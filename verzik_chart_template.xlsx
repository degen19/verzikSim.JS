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6">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B12 B13 C12 C13 G12 G13" showDropDown="0" showInputMessage="0" showErrorMessage="0" allowBlank="1" type="list">
      <formula1>"Ancestral,Virtus"</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B35 B36 C35 C36 G35 G36" showDropDown="0" showInputMessage="0" showErrorMessage="0" allowBlank="1" type="list">
      <formula1>"Ancestral,Virtus"</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12">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4">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4 B15 B16 C14 C15 C16 G14 G15 G16" showDropDown="0" showInputMessage="0" showErrorMessage="0" allowBlank="1" type="list">
      <formula1>"Ancestral,Virtus"</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2 B43 B44 C42 C43 C44 G42 G43 G44" showDropDown="0" showInputMessage="0" showErrorMessage="0" allowBlank="1" type="list">
      <formula1>"Ancestral,Virtus"</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2">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6 B17 B18 B19 C16 C17 C18 C19 G16 G17 G18 G19" showDropDown="0" showInputMessage="0" showErrorMessage="0" allowBlank="1" type="list">
      <formula1>"Ancestral,Virtus"</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9 B50 B51 B52 C49 C50 C51 C52 G49 G50 G51 G52" showDropDown="0" showInputMessage="0" showErrorMessage="0" allowBlank="1" type="list">
      <formula1>"Ancestral,Virtus"</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0">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8 B19 B20 B21 B22 C18 C19 C20 C21 C22 G18 G19 G20 G21 G22" showDropDown="0" showInputMessage="0" showErrorMessage="0" allowBlank="1" type="list">
      <formula1>"Ancestral,Virtus"</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56 B57 B58 B59 B60 C56 C57 C58 C59 C60 G56 G57 G58 G59 G60" showDropDown="0" showInputMessage="0" showErrorMessage="0" allowBlank="1" type="list">
      <formula1>"Ancestral,Virtus"</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MIN(100,B2+IF(AND(B2&lt;100,B3+1&gt;=IF(OR('2-man'!$F$4=TRUE,'2-man'!$F$4="TRUE",'2-man'!$F$4="Yes"),25,50)),10,0)+IF('2-man'!C$15=$Q$7,25,0))</f>
        <v/>
      </c>
      <c r="D1">
        <f>MIN(100,C2+IF(AND(C2&lt;100,C3+1&gt;=IF(OR('2-man'!$F$4=TRUE,'2-man'!$F$4="TRUE",'2-man'!$F$4="Yes"),25,50)),10,0)+IF('2-man'!D$15=$Q$7,25,0))</f>
        <v/>
      </c>
      <c r="E1">
        <f>MIN(100,D2+IF(AND(D2&lt;100,D3+1&gt;=IF(OR('2-man'!$F$4=TRUE,'2-man'!$F$4="TRUE",'2-man'!$F$4="Yes"),25,50)),10,0)+IF('2-man'!E$15=$Q$7,25,0))</f>
        <v/>
      </c>
      <c r="F1">
        <f>MIN(100,E2+IF(AND(E2&lt;100,E3+1&gt;=IF(OR('2-man'!$F$4=TRUE,'2-man'!$F$4="TRUE",'2-man'!$F$4="Yes"),25,50)),10,0)+IF('2-man'!F$15=$Q$7,25,0))</f>
        <v/>
      </c>
      <c r="G1">
        <f>MIN(100,F2+IF(AND(F2&lt;100,F3+1&gt;=IF(OR('2-man'!$F$4=TRUE,'2-man'!$F$4="TRUE",'2-man'!$F$4="Yes"),25,50)),10,0)+IF('2-man'!G$15=$Q$7,25,0))</f>
        <v/>
      </c>
      <c r="H1">
        <f>MIN(100,G2+IF(AND(G2&lt;100,G3+1&gt;=IF(OR('2-man'!$F$4=TRUE,'2-man'!$F$4="TRUE",'2-man'!$F$4="Yes"),25,50)),10,0)+IF('2-man'!H$15=$Q$7,25,0))</f>
        <v/>
      </c>
      <c r="I1">
        <f>MIN(100,H2+IF(AND(H2&lt;100,H3+1&gt;=IF(OR('2-man'!$F$4=TRUE,'2-man'!$F$4="TRUE",'2-man'!$F$4="Yes"),25,50)),10,0)+IF('2-man'!I$15=$Q$7,25,0))</f>
        <v/>
      </c>
      <c r="J1">
        <f>MIN(100,I2+IF(AND(I2&lt;100,I3+1&gt;=IF(OR('2-man'!$F$4=TRUE,'2-man'!$F$4="TRUE",'2-man'!$F$4="Yes"),25,50)),10,0)+IF('2-man'!J$15=$Q$7,25,0))</f>
        <v/>
      </c>
      <c r="K1">
        <f>MIN(100,J2+IF(AND(J2&lt;100,J3+1&gt;=IF(OR('2-man'!$F$4=TRUE,'2-man'!$F$4="TRUE",'2-man'!$F$4="Yes"),25,50)),10,0)+IF('2-man'!K$15=$Q$7,25,0))</f>
        <v/>
      </c>
      <c r="L1">
        <f>MIN(100,K2+IF(AND(K2&lt;100,K3+1&gt;=IF(OR('2-man'!$F$4=TRUE,'2-man'!$F$4="TRUE",'2-man'!$F$4="Yes"),25,50)),10,0)+IF('2-man'!L$15=$Q$7,25,0))</f>
        <v/>
      </c>
      <c r="M1">
        <f>MIN(100,L2+IF(AND(L2&lt;100,L3+1&gt;=IF(OR('2-man'!$F$4=TRUE,'2-man'!$F$4="TRUE",'2-man'!$F$4="Yes"),25,50)),10,0)+IF('2-man'!M$15=$Q$7,25,0))</f>
        <v/>
      </c>
      <c r="N1">
        <f>MIN(100,M2+IF(AND(M2&lt;100,M3+1&gt;=IF(OR('2-man'!$F$4=TRUE,'2-man'!$F$4="TRUE",'2-man'!$F$4="Yes"),25,50)),10,0)+IF('2-man'!N$15=$Q$7,25,0))</f>
        <v/>
      </c>
      <c r="O1">
        <f>MIN(100,N2+IF(AND(N2&lt;100,N3+1&gt;=IF(OR('2-man'!$F$4=TRUE,'2-man'!$F$4="TRUE",'2-man'!$F$4="Yes"),25,50)),10,0)+IF('2-man'!O$15=$Q$7,25,0))</f>
        <v/>
      </c>
      <c r="P1">
        <f>MIN(100,O2+IF(AND(O2&lt;100,O3+1&gt;=IF(OR('2-man'!$F$4=TRUE,'2-man'!$F$4="TRUE",'2-man'!$F$4="Yes"),25,50)),10,0)+IF('2-man'!P$15=$Q$7,25,0))</f>
        <v/>
      </c>
      <c r="Q1">
        <f>MIN(100,P2+IF(AND(P2&lt;100,P3+1&gt;=IF(OR('2-man'!$F$4=TRUE,'2-man'!$F$4="TRUE",'2-man'!$F$4="Yes"),25,50)),10,0)+IF('2-man'!Q$15=$Q$7,25,0))</f>
        <v/>
      </c>
      <c r="R1">
        <f>MIN(100,Q2+IF(AND(Q2&lt;100,Q3+1&gt;=IF(OR('2-man'!$F$4=TRUE,'2-man'!$F$4="TRUE",'2-man'!$F$4="Yes"),25,50)),10,0)+IF('2-man'!R$15=$Q$7,25,0))</f>
        <v/>
      </c>
      <c r="S1">
        <f>MIN(100,R2+IF(AND(R2&lt;100,R3+1&gt;=IF(OR('2-man'!$F$4=TRUE,'2-man'!$F$4="TRUE",'2-man'!$F$4="Yes"),25,50)),10,0)+IF('2-man'!S$15=$Q$7,25,0))</f>
        <v/>
      </c>
      <c r="T1">
        <f>MIN(100,S2+IF(AND(S2&lt;100,S3+1&gt;=IF(OR('2-man'!$F$4=TRUE,'2-man'!$F$4="TRUE",'2-man'!$F$4="Yes"),25,50)),10,0)+IF('2-man'!T$15=$Q$7,25,0))</f>
        <v/>
      </c>
      <c r="U1">
        <f>MIN(100,T2+IF(AND(T2&lt;100,T3+1&gt;=IF(OR('2-man'!$F$4=TRUE,'2-man'!$F$4="TRUE",'2-man'!$F$4="Yes"),25,50)),10,0)+IF('2-man'!U$15=$Q$7,25,0))</f>
        <v/>
      </c>
      <c r="V1">
        <f>MIN(100,U2+IF(AND(U2&lt;100,U3+1&gt;=IF(OR('2-man'!$F$4=TRUE,'2-man'!$F$4="TRUE",'2-man'!$F$4="Yes"),25,50)),10,0)+IF('2-man'!V$15=$Q$7,25,0))</f>
        <v/>
      </c>
      <c r="W1">
        <f>MIN(100,V2+IF(AND(V2&lt;100,V3+1&gt;=IF(OR('2-man'!$F$4=TRUE,'2-man'!$F$4="TRUE",'2-man'!$F$4="Yes"),25,50)),10,0)+IF('2-man'!W$15=$Q$7,25,0))</f>
        <v/>
      </c>
      <c r="X1">
        <f>MIN(100,W2+IF(AND(W2&lt;100,W3+1&gt;=IF(OR('2-man'!$F$4=TRUE,'2-man'!$F$4="TRUE",'2-man'!$F$4="Yes"),25,50)),10,0)+IF('2-man'!X$15=$Q$7,25,0))</f>
        <v/>
      </c>
      <c r="Y1">
        <f>MIN(100,X2+IF(AND(X2&lt;100,X3+1&gt;=IF(OR('2-man'!$F$4=TRUE,'2-man'!$F$4="TRUE",'2-man'!$F$4="Yes"),25,50)),10,0)+IF('2-man'!Y$15=$Q$7,25,0))</f>
        <v/>
      </c>
      <c r="Z1">
        <f>MIN(100,Y2+IF(AND(Y2&lt;100,Y3+1&gt;=IF(OR('2-man'!$F$4=TRUE,'2-man'!$F$4="TRUE",'2-man'!$F$4="Yes"),25,50)),10,0)+IF('2-man'!Z$15=$Q$7,25,0))</f>
        <v/>
      </c>
      <c r="AA1">
        <f>MIN(100,Z2+IF(AND(Z2&lt;100,Z3+1&gt;=IF(OR('2-man'!$F$4=TRUE,'2-man'!$F$4="TRUE",'2-man'!$F$4="Yes"),25,50)),10,0)+IF('2-man'!AA$15=$Q$7,25,0))</f>
        <v/>
      </c>
      <c r="AB1">
        <f>MIN(100,AA2+IF(AND(AA2&lt;100,AA3+1&gt;=IF(OR('2-man'!$F$4=TRUE,'2-man'!$F$4="TRUE",'2-man'!$F$4="Yes"),25,50)),10,0)+IF('2-man'!AB$15=$Q$7,25,0))</f>
        <v/>
      </c>
      <c r="AC1">
        <f>MIN(100,AB2+IF(AND(AB2&lt;100,AB3+1&gt;=IF(OR('2-man'!$F$4=TRUE,'2-man'!$F$4="TRUE",'2-man'!$F$4="Yes"),25,50)),10,0)+IF('2-man'!AC$15=$Q$7,25,0))</f>
        <v/>
      </c>
      <c r="AD1">
        <f>MIN(100,AC2+IF(AND(AC2&lt;100,AC3+1&gt;=IF(OR('2-man'!$F$4=TRUE,'2-man'!$F$4="TRUE",'2-man'!$F$4="Yes"),25,50)),10,0)+IF('2-man'!AD$15=$Q$7,25,0))</f>
        <v/>
      </c>
      <c r="AE1">
        <f>MIN(100,AD2+IF(AND(AD2&lt;100,AD3+1&gt;=IF(OR('2-man'!$F$4=TRUE,'2-man'!$F$4="TRUE",'2-man'!$F$4="Yes"),25,50)),10,0)+IF('2-man'!AE$15=$Q$7,25,0))</f>
        <v/>
      </c>
      <c r="AF1">
        <f>MIN(100,AE2+IF(AND(AE2&lt;100,AE3+1&gt;=IF(OR('2-man'!$F$4=TRUE,'2-man'!$F$4="TRUE",'2-man'!$F$4="Yes"),25,50)),10,0)+IF('2-man'!AF$15=$Q$7,25,0))</f>
        <v/>
      </c>
      <c r="AG1">
        <f>MIN(100,AF2+IF(AND(AF2&lt;100,AF3+1&gt;=IF(OR('2-man'!$F$4=TRUE,'2-man'!$F$4="TRUE",'2-man'!$F$4="Yes"),25,50)),10,0)+IF('2-man'!AG$15=$Q$7,25,0))</f>
        <v/>
      </c>
      <c r="AH1">
        <f>MIN(100,AG2+IF(AND(AG2&lt;100,AG3+1&gt;=IF(OR('2-man'!$F$4=TRUE,'2-man'!$F$4="TRUE",'2-man'!$F$4="Yes"),25,50)),10,0)+IF('2-man'!AH$15=$Q$7,25,0))</f>
        <v/>
      </c>
      <c r="AI1">
        <f>MIN(100,AH2+IF(AND(AH2&lt;100,AH3+1&gt;=IF(OR('2-man'!$F$4=TRUE,'2-man'!$F$4="TRUE",'2-man'!$F$4="Yes"),25,50)),10,0)+IF('2-man'!AI$15=$Q$7,25,0))</f>
        <v/>
      </c>
      <c r="AJ1">
        <f>MIN(100,AI2+IF(AND(AI2&lt;100,AI3+1&gt;=IF(OR('2-man'!$F$4=TRUE,'2-man'!$F$4="TRUE",'2-man'!$F$4="Yes"),25,50)),10,0)+IF('2-man'!AJ$15=$Q$7,25,0))</f>
        <v/>
      </c>
      <c r="AK1">
        <f>MIN(100,AJ2+IF(AND(AJ2&lt;100,AJ3+1&gt;=IF(OR('2-man'!$F$4=TRUE,'2-man'!$F$4="TRUE",'2-man'!$F$4="Yes"),25,50)),10,0)+IF('2-man'!AK$15=$Q$7,25,0))</f>
        <v/>
      </c>
      <c r="AL1">
        <f>MIN(100,AK2+IF(AND(AK2&lt;100,AK3+1&gt;=IF(OR('2-man'!$F$4=TRUE,'2-man'!$F$4="TRUE",'2-man'!$F$4="Yes"),25,50)),10,0)+IF('2-man'!AL$15=$Q$7,25,0))</f>
        <v/>
      </c>
      <c r="AM1">
        <f>MIN(100,AL2+IF(AND(AL2&lt;100,AL3+1&gt;=IF(OR('2-man'!$F$4=TRUE,'2-man'!$F$4="TRUE",'2-man'!$F$4="Yes"),25,50)),10,0)+IF('2-man'!AM$15=$Q$7,25,0))</f>
        <v/>
      </c>
      <c r="AN1">
        <f>MIN(100,AM2+IF(AND(AM2&lt;100,AM3+1&gt;=IF(OR('2-man'!$F$4=TRUE,'2-man'!$F$4="TRUE",'2-man'!$F$4="Yes"),25,50)),10,0)+IF('2-man'!AN$15=$Q$7,25,0))</f>
        <v/>
      </c>
      <c r="AO1">
        <f>MIN(100,AN2+IF(AND(AN2&lt;100,AN3+1&gt;=IF(OR('2-man'!$F$4=TRUE,'2-man'!$F$4="TRUE",'2-man'!$F$4="Yes"),25,50)),10,0)+IF('2-man'!AO$15=$Q$7,25,0))</f>
        <v/>
      </c>
      <c r="AP1">
        <f>MIN(100,AO2+IF(AND(AO2&lt;100,AO3+1&gt;=IF(OR('2-man'!$F$4=TRUE,'2-man'!$F$4="TRUE",'2-man'!$F$4="Yes"),25,50)),10,0)+IF('2-man'!AP$15=$Q$7,25,0))</f>
        <v/>
      </c>
      <c r="AQ1">
        <f>MIN(100,AP2+IF(AND(AP2&lt;100,AP3+1&gt;=IF(OR('2-man'!$F$4=TRUE,'2-man'!$F$4="TRUE",'2-man'!$F$4="Yes"),25,50)),10,0)+IF('2-man'!AQ$15=$Q$7,25,0))</f>
        <v/>
      </c>
      <c r="AR1">
        <f>MIN(100,AQ2+IF(AND(AQ2&lt;100,AQ3+1&gt;=IF(OR('2-man'!$F$4=TRUE,'2-man'!$F$4="TRUE",'2-man'!$F$4="Yes"),25,50)),10,0)+IF('2-man'!AR$15=$Q$7,25,0))</f>
        <v/>
      </c>
      <c r="AS1">
        <f>MIN(100,AR2+IF(AND(AR2&lt;100,AR3+1&gt;=IF(OR('2-man'!$F$4=TRUE,'2-man'!$F$4="TRUE",'2-man'!$F$4="Yes"),25,50)),10,0)+IF('2-man'!AS$15=$Q$7,25,0))</f>
        <v/>
      </c>
      <c r="AT1">
        <f>MIN(100,AS2+IF(AND(AS2&lt;100,AS3+1&gt;=IF(OR('2-man'!$F$4=TRUE,'2-man'!$F$4="TRUE",'2-man'!$F$4="Yes"),25,50)),10,0)+IF('2-man'!AT$15=$Q$7,25,0))</f>
        <v/>
      </c>
      <c r="AU1">
        <f>MIN(100,AT2+IF(AND(AT2&lt;100,AT3+1&gt;=IF(OR('2-man'!$F$4=TRUE,'2-man'!$F$4="TRUE",'2-man'!$F$4="Yes"),25,50)),10,0)+IF('2-man'!AU$15=$Q$7,25,0))</f>
        <v/>
      </c>
      <c r="AV1">
        <f>MIN(100,AU2+IF(AND(AU2&lt;100,AU3+1&gt;=IF(OR('2-man'!$F$4=TRUE,'2-man'!$F$4="TRUE",'2-man'!$F$4="Yes"),25,50)),10,0)+IF('2-man'!AV$15=$Q$7,25,0))</f>
        <v/>
      </c>
      <c r="AW1">
        <f>MIN(100,AV2+IF(AND(AV2&lt;100,AV3+1&gt;=IF(OR('2-man'!$F$4=TRUE,'2-man'!$F$4="TRUE",'2-man'!$F$4="Yes"),25,50)),10,0)+IF('2-man'!AW$15=$Q$7,25,0))</f>
        <v/>
      </c>
      <c r="AX1">
        <f>MIN(100,AW2+IF(AND(AW2&lt;100,AW3+1&gt;=IF(OR('2-man'!$F$4=TRUE,'2-man'!$F$4="TRUE",'2-man'!$F$4="Yes"),25,50)),10,0)+IF('2-man'!AX$15=$Q$7,25,0))</f>
        <v/>
      </c>
      <c r="AY1">
        <f>MIN(100,AX2+IF(AND(AX2&lt;100,AX3+1&gt;=IF(OR('2-man'!$F$4=TRUE,'2-man'!$F$4="TRUE",'2-man'!$F$4="Yes"),25,50)),10,0)+IF('2-man'!AY$15=$Q$7,25,0))</f>
        <v/>
      </c>
      <c r="AZ1">
        <f>MIN(100,AY2+IF(AND(AY2&lt;100,AY3+1&gt;=IF(OR('2-man'!$F$4=TRUE,'2-man'!$F$4="TRUE",'2-man'!$F$4="Yes"),25,50)),10,0)+IF('2-man'!AZ$15=$Q$7,25,0))</f>
        <v/>
      </c>
      <c r="BA1">
        <f>MIN(100,AZ2+IF(AND(AZ2&lt;100,AZ3+1&gt;=IF(OR('2-man'!$F$4=TRUE,'2-man'!$F$4="TRUE",'2-man'!$F$4="Yes"),25,50)),10,0)+IF('2-man'!BA$15=$Q$7,25,0))</f>
        <v/>
      </c>
      <c r="BB1">
        <f>MIN(100,BA2+IF(AND(BA2&lt;100,BA3+1&gt;=IF(OR('2-man'!$F$4=TRUE,'2-man'!$F$4="TRUE",'2-man'!$F$4="Yes"),25,50)),10,0)+IF('2-man'!BB$15=$Q$7,25,0))</f>
        <v/>
      </c>
      <c r="BC1">
        <f>MIN(100,BB2+IF(AND(BB2&lt;100,BB3+1&gt;=IF(OR('2-man'!$F$4=TRUE,'2-man'!$F$4="TRUE",'2-man'!$F$4="Yes"),25,50)),10,0)+IF('2-man'!BC$15=$Q$7,25,0))</f>
        <v/>
      </c>
      <c r="BD1">
        <f>MIN(100,BC2+IF(AND(BC2&lt;100,BC3+1&gt;=IF(OR('2-man'!$F$4=TRUE,'2-man'!$F$4="TRUE",'2-man'!$F$4="Yes"),25,50)),10,0)+IF('2-man'!BD$15=$Q$7,25,0))</f>
        <v/>
      </c>
      <c r="BE1">
        <f>MIN(100,BD2+IF(AND(BD2&lt;100,BD3+1&gt;=IF(OR('2-man'!$F$4=TRUE,'2-man'!$F$4="TRUE",'2-man'!$F$4="Yes"),25,50)),10,0)+IF('2-man'!BE$15=$Q$7,25,0))</f>
        <v/>
      </c>
      <c r="BF1">
        <f>MIN(100,BE2+IF(AND(BE2&lt;100,BE3+1&gt;=IF(OR('2-man'!$F$4=TRUE,'2-man'!$F$4="TRUE",'2-man'!$F$4="Yes"),25,50)),10,0)+IF('2-man'!BF$15=$Q$7,25,0))</f>
        <v/>
      </c>
      <c r="BG1">
        <f>MIN(100,BF2+IF(AND(BF2&lt;100,BF3+1&gt;=IF(OR('2-man'!$F$4=TRUE,'2-man'!$F$4="TRUE",'2-man'!$F$4="Yes"),25,50)),10,0)+IF('2-man'!BG$15=$Q$7,25,0))</f>
        <v/>
      </c>
      <c r="BH1">
        <f>MIN(100,BG2+IF(AND(BG2&lt;100,BG3+1&gt;=IF(OR('2-man'!$F$4=TRUE,'2-man'!$F$4="TRUE",'2-man'!$F$4="Yes"),25,50)),10,0)+IF('2-man'!BH$15=$Q$7,25,0))</f>
        <v/>
      </c>
      <c r="BI1">
        <f>MIN(100,BH2+IF(AND(BH2&lt;100,BH3+1&gt;=IF(OR('2-man'!$F$4=TRUE,'2-man'!$F$4="TRUE",'2-man'!$F$4="Yes"),25,50)),10,0)+IF('2-man'!BI$15=$Q$7,25,0))</f>
        <v/>
      </c>
      <c r="BJ1">
        <f>MIN(100,BI2+IF(AND(BI2&lt;100,BI3+1&gt;=IF(OR('2-man'!$F$4=TRUE,'2-man'!$F$4="TRUE",'2-man'!$F$4="Yes"),25,50)),10,0)+IF('2-man'!BJ$15=$Q$7,25,0))</f>
        <v/>
      </c>
      <c r="BK1">
        <f>MIN(100,BJ2+IF(AND(BJ2&lt;100,BJ3+1&gt;=IF(OR('2-man'!$F$4=TRUE,'2-man'!$F$4="TRUE",'2-man'!$F$4="Yes"),25,50)),10,0)+IF('2-man'!BK$15=$Q$7,25,0))</f>
        <v/>
      </c>
      <c r="BL1">
        <f>MIN(100,BK2+IF(AND(BK2&lt;100,BK3+1&gt;=IF(OR('2-man'!$F$4=TRUE,'2-man'!$F$4="TRUE",'2-man'!$F$4="Yes"),25,50)),10,0)+IF('2-man'!BL$15=$Q$7,25,0))</f>
        <v/>
      </c>
      <c r="BM1">
        <f>MIN(100,BL2+IF(AND(BL2&lt;100,BL3+1&gt;=IF(OR('2-man'!$F$4=TRUE,'2-man'!$F$4="TRUE",'2-man'!$F$4="Yes"),25,50)),10,0)+IF('2-man'!BM$15=$Q$7,25,0))</f>
        <v/>
      </c>
      <c r="BN1">
        <f>MIN(100,BM2+IF(AND(BM2&lt;100,BM3+1&gt;=IF(OR('2-man'!$F$4=TRUE,'2-man'!$F$4="TRUE",'2-man'!$F$4="Yes"),25,50)),10,0)+IF('2-man'!BN$15=$Q$7,25,0))</f>
        <v/>
      </c>
      <c r="BO1">
        <f>MIN(100,BN2+IF(AND(BN2&lt;100,BN3+1&gt;=IF(OR('2-man'!$F$4=TRUE,'2-man'!$F$4="TRUE",'2-man'!$F$4="Yes"),25,50)),10,0)+IF('2-man'!BO$15=$Q$7,25,0))</f>
        <v/>
      </c>
      <c r="BP1">
        <f>MIN(100,BO2+IF(AND(BO2&lt;100,BO3+1&gt;=IF(OR('2-man'!$F$4=TRUE,'2-man'!$F$4="TRUE",'2-man'!$F$4="Yes"),25,50)),10,0)+IF('2-man'!BP$15=$Q$7,25,0))</f>
        <v/>
      </c>
      <c r="BQ1">
        <f>MIN(100,BP2+IF(AND(BP2&lt;100,BP3+1&gt;=IF(OR('2-man'!$F$4=TRUE,'2-man'!$F$4="TRUE",'2-man'!$F$4="Yes"),25,50)),10,0)+IF('2-man'!BQ$15=$Q$7,25,0))</f>
        <v/>
      </c>
      <c r="BR1">
        <f>MIN(100,BQ2+IF(AND(BQ2&lt;100,BQ3+1&gt;=IF(OR('2-man'!$F$4=TRUE,'2-man'!$F$4="TRUE",'2-man'!$F$4="Yes"),25,50)),10,0)+IF('2-man'!BR$15=$Q$7,25,0))</f>
        <v/>
      </c>
      <c r="BS1">
        <f>MIN(100,BR2+IF(AND(BR2&lt;100,BR3+1&gt;=IF(OR('2-man'!$F$4=TRUE,'2-man'!$F$4="TRUE",'2-man'!$F$4="Yes"),25,50)),10,0)+IF('2-man'!BS$15=$Q$7,25,0))</f>
        <v/>
      </c>
      <c r="BT1">
        <f>MIN(100,BS2+IF(AND(BS2&lt;100,BS3+1&gt;=IF(OR('2-man'!$F$4=TRUE,'2-man'!$F$4="TRUE",'2-man'!$F$4="Yes"),25,50)),10,0)+IF('2-man'!BT$15=$Q$7,25,0))</f>
        <v/>
      </c>
      <c r="BU1">
        <f>MIN(100,BT2+IF(AND(BT2&lt;100,BT3+1&gt;=IF(OR('2-man'!$F$4=TRUE,'2-man'!$F$4="TRUE",'2-man'!$F$4="Yes"),25,50)),10,0)+IF('2-man'!BU$15=$Q$7,25,0))</f>
        <v/>
      </c>
      <c r="BV1">
        <f>MIN(100,BU2+IF(AND(BU2&lt;100,BU3+1&gt;=IF(OR('2-man'!$F$4=TRUE,'2-man'!$F$4="TRUE",'2-man'!$F$4="Yes"),25,50)),10,0)+IF('2-man'!BV$15=$Q$7,25,0))</f>
        <v/>
      </c>
      <c r="BW1">
        <f>MIN(100,BV2+IF(AND(BV2&lt;100,BV3+1&gt;=IF(OR('2-man'!$F$4=TRUE,'2-man'!$F$4="TRUE",'2-man'!$F$4="Yes"),25,50)),10,0)+IF('2-man'!BW$15=$Q$7,25,0))</f>
        <v/>
      </c>
      <c r="BX1">
        <f>MIN(100,BW2+IF(AND(BW2&lt;100,BW3+1&gt;=IF(OR('2-man'!$F$4=TRUE,'2-man'!$F$4="TRUE",'2-man'!$F$4="Yes"),25,50)),10,0)+IF('2-man'!BX$15=$Q$7,25,0))</f>
        <v/>
      </c>
      <c r="BY1">
        <f>MIN(100,BX2+IF(AND(BX2&lt;100,BX3+1&gt;=IF(OR('2-man'!$F$4=TRUE,'2-man'!$F$4="TRUE",'2-man'!$F$4="Yes"),25,50)),10,0)+IF('2-man'!BY$15=$Q$7,25,0))</f>
        <v/>
      </c>
      <c r="BZ1">
        <f>MIN(100,BY2+IF(AND(BY2&lt;100,BY3+1&gt;=IF(OR('2-man'!$F$4=TRUE,'2-man'!$F$4="TRUE",'2-man'!$F$4="Yes"),25,50)),10,0)+IF('2-man'!BZ$15=$Q$7,25,0))</f>
        <v/>
      </c>
      <c r="CA1">
        <f>MIN(100,BZ2+IF(AND(BZ2&lt;100,BZ3+1&gt;=IF(OR('2-man'!$F$4=TRUE,'2-man'!$F$4="TRUE",'2-man'!$F$4="Yes"),25,50)),10,0)+IF('2-man'!CA$15=$Q$7,25,0))</f>
        <v/>
      </c>
      <c r="CB1">
        <f>MIN(100,CA2+IF(AND(CA2&lt;100,CA3+1&gt;=IF(OR('2-man'!$F$4=TRUE,'2-man'!$F$4="TRUE",'2-man'!$F$4="Yes"),25,50)),10,0)+IF('2-man'!CB$15=$Q$7,25,0))</f>
        <v/>
      </c>
      <c r="CC1">
        <f>MIN(100,CB2+IF(AND(CB2&lt;100,CB3+1&gt;=IF(OR('2-man'!$F$4=TRUE,'2-man'!$F$4="TRUE",'2-man'!$F$4="Yes"),25,50)),10,0)+IF('2-man'!CC$15=$Q$7,25,0))</f>
        <v/>
      </c>
      <c r="CD1">
        <f>MIN(100,CC2+IF(AND(CC2&lt;100,CC3+1&gt;=IF(OR('2-man'!$F$4=TRUE,'2-man'!$F$4="TRUE",'2-man'!$F$4="Yes"),25,50)),10,0)+IF('2-man'!CD$15=$Q$7,25,0))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2-man'!C$16="R",MIN(100,C1+10),IF('2-man'!C$16="P",MIN(100,C1+25),IF(AND('2-man'!C$16="D",C1&gt;=35,'2-man'!C$15&lt;=IF('2-man'!$BF$4="",999,'2-man'!$BF$4)),C1-35,IF(AND(LEFT('2-man'!C$16,3)="ST&gt;",C1&gt;=100,'2-man'!C$15&lt;=IF('2-man'!$BF$4="",999,'2-man'!$BF$4)),0,IF(AND(OR(AND('2-man'!C$17="ST&gt;1",C9&gt;=100)),'2-man'!C$15&lt;=IF('2-man'!$BF$4="",999,'2-man'!$BF$4)),100,C1)))))</f>
        <v/>
      </c>
      <c r="D2">
        <f>IF('2-man'!D$16="R",MIN(100,D1+10),IF('2-man'!D$16="P",MIN(100,D1+25),IF(AND('2-man'!D$16="D",D1&gt;=35,'2-man'!D$15&lt;=IF('2-man'!$BF$4="",999,'2-man'!$BF$4)),D1-35,IF(AND(LEFT('2-man'!D$16,3)="ST&gt;",D1&gt;=100,'2-man'!D$15&lt;=IF('2-man'!$BF$4="",999,'2-man'!$BF$4)),0,IF(AND(OR(AND('2-man'!D$17="ST&gt;1",D9&gt;=100)),'2-man'!D$15&lt;=IF('2-man'!$BF$4="",999,'2-man'!$BF$4)),100,D1)))))</f>
        <v/>
      </c>
      <c r="E2">
        <f>IF('2-man'!E$16="R",MIN(100,E1+10),IF('2-man'!E$16="P",MIN(100,E1+25),IF(AND('2-man'!E$16="D",E1&gt;=35,'2-man'!E$15&lt;=IF('2-man'!$BF$4="",999,'2-man'!$BF$4)),E1-35,IF(AND(LEFT('2-man'!E$16,3)="ST&gt;",E1&gt;=100,'2-man'!E$15&lt;=IF('2-man'!$BF$4="",999,'2-man'!$BF$4)),0,IF(AND(OR(AND('2-man'!E$17="ST&gt;1",E9&gt;=100)),'2-man'!E$15&lt;=IF('2-man'!$BF$4="",999,'2-man'!$BF$4)),100,E1)))))</f>
        <v/>
      </c>
      <c r="F2">
        <f>IF('2-man'!F$16="R",MIN(100,F1+10),IF('2-man'!F$16="P",MIN(100,F1+25),IF(AND('2-man'!F$16="D",F1&gt;=35,'2-man'!F$15&lt;=IF('2-man'!$BF$4="",999,'2-man'!$BF$4)),F1-35,IF(AND(LEFT('2-man'!F$16,3)="ST&gt;",F1&gt;=100,'2-man'!F$15&lt;=IF('2-man'!$BF$4="",999,'2-man'!$BF$4)),0,IF(AND(OR(AND('2-man'!F$17="ST&gt;1",F9&gt;=100)),'2-man'!F$15&lt;=IF('2-man'!$BF$4="",999,'2-man'!$BF$4)),100,F1)))))</f>
        <v/>
      </c>
      <c r="G2">
        <f>IF('2-man'!G$16="R",MIN(100,G1+10),IF('2-man'!G$16="P",MIN(100,G1+25),IF(AND('2-man'!G$16="D",G1&gt;=35,'2-man'!G$15&lt;=IF('2-man'!$BF$4="",999,'2-man'!$BF$4)),G1-35,IF(AND(LEFT('2-man'!G$16,3)="ST&gt;",G1&gt;=100,'2-man'!G$15&lt;=IF('2-man'!$BF$4="",999,'2-man'!$BF$4)),0,IF(AND(OR(AND('2-man'!G$17="ST&gt;1",G9&gt;=100)),'2-man'!G$15&lt;=IF('2-man'!$BF$4="",999,'2-man'!$BF$4)),100,G1)))))</f>
        <v/>
      </c>
      <c r="H2">
        <f>IF('2-man'!H$16="R",MIN(100,H1+10),IF('2-man'!H$16="P",MIN(100,H1+25),IF(AND('2-man'!H$16="D",H1&gt;=35,'2-man'!H$15&lt;=IF('2-man'!$BF$4="",999,'2-man'!$BF$4)),H1-35,IF(AND(LEFT('2-man'!H$16,3)="ST&gt;",H1&gt;=100,'2-man'!H$15&lt;=IF('2-man'!$BF$4="",999,'2-man'!$BF$4)),0,IF(AND(OR(AND('2-man'!H$17="ST&gt;1",H9&gt;=100)),'2-man'!H$15&lt;=IF('2-man'!$BF$4="",999,'2-man'!$BF$4)),100,H1)))))</f>
        <v/>
      </c>
      <c r="I2">
        <f>IF('2-man'!I$16="R",MIN(100,I1+10),IF('2-man'!I$16="P",MIN(100,I1+25),IF(AND('2-man'!I$16="D",I1&gt;=35,'2-man'!I$15&lt;=IF('2-man'!$BF$4="",999,'2-man'!$BF$4)),I1-35,IF(AND(LEFT('2-man'!I$16,3)="ST&gt;",I1&gt;=100,'2-man'!I$15&lt;=IF('2-man'!$BF$4="",999,'2-man'!$BF$4)),0,IF(AND(OR(AND('2-man'!I$17="ST&gt;1",I9&gt;=100)),'2-man'!I$15&lt;=IF('2-man'!$BF$4="",999,'2-man'!$BF$4)),100,I1)))))</f>
        <v/>
      </c>
      <c r="J2">
        <f>IF('2-man'!J$16="R",MIN(100,J1+10),IF('2-man'!J$16="P",MIN(100,J1+25),IF(AND('2-man'!J$16="D",J1&gt;=35,'2-man'!J$15&lt;=IF('2-man'!$BF$4="",999,'2-man'!$BF$4)),J1-35,IF(AND(LEFT('2-man'!J$16,3)="ST&gt;",J1&gt;=100,'2-man'!J$15&lt;=IF('2-man'!$BF$4="",999,'2-man'!$BF$4)),0,IF(AND(OR(AND('2-man'!J$17="ST&gt;1",J9&gt;=100)),'2-man'!J$15&lt;=IF('2-man'!$BF$4="",999,'2-man'!$BF$4)),100,J1)))))</f>
        <v/>
      </c>
      <c r="K2">
        <f>IF('2-man'!K$16="R",MIN(100,K1+10),IF('2-man'!K$16="P",MIN(100,K1+25),IF(AND('2-man'!K$16="D",K1&gt;=35,'2-man'!K$15&lt;=IF('2-man'!$BF$4="",999,'2-man'!$BF$4)),K1-35,IF(AND(LEFT('2-man'!K$16,3)="ST&gt;",K1&gt;=100,'2-man'!K$15&lt;=IF('2-man'!$BF$4="",999,'2-man'!$BF$4)),0,IF(AND(OR(AND('2-man'!K$17="ST&gt;1",K9&gt;=100)),'2-man'!K$15&lt;=IF('2-man'!$BF$4="",999,'2-man'!$BF$4)),100,K1)))))</f>
        <v/>
      </c>
      <c r="L2">
        <f>IF('2-man'!L$16="R",MIN(100,L1+10),IF('2-man'!L$16="P",MIN(100,L1+25),IF(AND('2-man'!L$16="D",L1&gt;=35,'2-man'!L$15&lt;=IF('2-man'!$BF$4="",999,'2-man'!$BF$4)),L1-35,IF(AND(LEFT('2-man'!L$16,3)="ST&gt;",L1&gt;=100,'2-man'!L$15&lt;=IF('2-man'!$BF$4="",999,'2-man'!$BF$4)),0,IF(AND(OR(AND('2-man'!L$17="ST&gt;1",L9&gt;=100)),'2-man'!L$15&lt;=IF('2-man'!$BF$4="",999,'2-man'!$BF$4)),100,L1)))))</f>
        <v/>
      </c>
      <c r="M2">
        <f>IF('2-man'!M$16="R",MIN(100,M1+10),IF('2-man'!M$16="P",MIN(100,M1+25),IF(AND('2-man'!M$16="D",M1&gt;=35,'2-man'!M$15&lt;=IF('2-man'!$BF$4="",999,'2-man'!$BF$4)),M1-35,IF(AND(LEFT('2-man'!M$16,3)="ST&gt;",M1&gt;=100,'2-man'!M$15&lt;=IF('2-man'!$BF$4="",999,'2-man'!$BF$4)),0,IF(AND(OR(AND('2-man'!M$17="ST&gt;1",M9&gt;=100)),'2-man'!M$15&lt;=IF('2-man'!$BF$4="",999,'2-man'!$BF$4)),100,M1)))))</f>
        <v/>
      </c>
      <c r="N2">
        <f>IF('2-man'!N$16="R",MIN(100,N1+10),IF('2-man'!N$16="P",MIN(100,N1+25),IF(AND('2-man'!N$16="D",N1&gt;=35,'2-man'!N$15&lt;=IF('2-man'!$BF$4="",999,'2-man'!$BF$4)),N1-35,IF(AND(LEFT('2-man'!N$16,3)="ST&gt;",N1&gt;=100,'2-man'!N$15&lt;=IF('2-man'!$BF$4="",999,'2-man'!$BF$4)),0,IF(AND(OR(AND('2-man'!N$17="ST&gt;1",N9&gt;=100)),'2-man'!N$15&lt;=IF('2-man'!$BF$4="",999,'2-man'!$BF$4)),100,N1)))))</f>
        <v/>
      </c>
      <c r="O2">
        <f>IF('2-man'!O$16="R",MIN(100,O1+10),IF('2-man'!O$16="P",MIN(100,O1+25),IF(AND('2-man'!O$16="D",O1&gt;=35,'2-man'!O$15&lt;=IF('2-man'!$BF$4="",999,'2-man'!$BF$4)),O1-35,IF(AND(LEFT('2-man'!O$16,3)="ST&gt;",O1&gt;=100,'2-man'!O$15&lt;=IF('2-man'!$BF$4="",999,'2-man'!$BF$4)),0,IF(AND(OR(AND('2-man'!O$17="ST&gt;1",O9&gt;=100)),'2-man'!O$15&lt;=IF('2-man'!$BF$4="",999,'2-man'!$BF$4)),100,O1)))))</f>
        <v/>
      </c>
      <c r="P2">
        <f>IF('2-man'!P$16="R",MIN(100,P1+10),IF('2-man'!P$16="P",MIN(100,P1+25),IF(AND('2-man'!P$16="D",P1&gt;=35,'2-man'!P$15&lt;=IF('2-man'!$BF$4="",999,'2-man'!$BF$4)),P1-35,IF(AND(LEFT('2-man'!P$16,3)="ST&gt;",P1&gt;=100,'2-man'!P$15&lt;=IF('2-man'!$BF$4="",999,'2-man'!$BF$4)),0,IF(AND(OR(AND('2-man'!P$17="ST&gt;1",P9&gt;=100)),'2-man'!P$15&lt;=IF('2-man'!$BF$4="",999,'2-man'!$BF$4)),100,P1)))))</f>
        <v/>
      </c>
      <c r="Q2">
        <f>IF('2-man'!Q$16="R",MIN(100,Q1+10),IF('2-man'!Q$16="P",MIN(100,Q1+25),IF(AND('2-man'!Q$16="D",Q1&gt;=35,'2-man'!Q$15&lt;=IF('2-man'!$BF$4="",999,'2-man'!$BF$4)),Q1-35,IF(AND(LEFT('2-man'!Q$16,3)="ST&gt;",Q1&gt;=100,'2-man'!Q$15&lt;=IF('2-man'!$BF$4="",999,'2-man'!$BF$4)),0,IF(AND(OR(AND('2-man'!Q$17="ST&gt;1",Q9&gt;=100)),'2-man'!Q$15&lt;=IF('2-man'!$BF$4="",999,'2-man'!$BF$4)),100,Q1)))))</f>
        <v/>
      </c>
      <c r="R2">
        <f>IF('2-man'!R$16="R",MIN(100,R1+10),IF('2-man'!R$16="P",MIN(100,R1+25),IF(AND('2-man'!R$16="D",R1&gt;=35,'2-man'!R$15&lt;=IF('2-man'!$BF$4="",999,'2-man'!$BF$4)),R1-35,IF(AND(LEFT('2-man'!R$16,3)="ST&gt;",R1&gt;=100,'2-man'!R$15&lt;=IF('2-man'!$BF$4="",999,'2-man'!$BF$4)),0,IF(AND(OR(AND('2-man'!R$17="ST&gt;1",R9&gt;=100)),'2-man'!R$15&lt;=IF('2-man'!$BF$4="",999,'2-man'!$BF$4)),100,R1)))))</f>
        <v/>
      </c>
      <c r="S2">
        <f>IF('2-man'!S$16="R",MIN(100,S1+10),IF('2-man'!S$16="P",MIN(100,S1+25),IF(AND('2-man'!S$16="D",S1&gt;=35,'2-man'!S$15&lt;=IF('2-man'!$BF$4="",999,'2-man'!$BF$4)),S1-35,IF(AND(LEFT('2-man'!S$16,3)="ST&gt;",S1&gt;=100,'2-man'!S$15&lt;=IF('2-man'!$BF$4="",999,'2-man'!$BF$4)),0,IF(AND(OR(AND('2-man'!S$17="ST&gt;1",S9&gt;=100)),'2-man'!S$15&lt;=IF('2-man'!$BF$4="",999,'2-man'!$BF$4)),100,S1)))))</f>
        <v/>
      </c>
      <c r="T2">
        <f>IF('2-man'!T$16="R",MIN(100,T1+10),IF('2-man'!T$16="P",MIN(100,T1+25),IF(AND('2-man'!T$16="D",T1&gt;=35,'2-man'!T$15&lt;=IF('2-man'!$BF$4="",999,'2-man'!$BF$4)),T1-35,IF(AND(LEFT('2-man'!T$16,3)="ST&gt;",T1&gt;=100,'2-man'!T$15&lt;=IF('2-man'!$BF$4="",999,'2-man'!$BF$4)),0,IF(AND(OR(AND('2-man'!T$17="ST&gt;1",T9&gt;=100)),'2-man'!T$15&lt;=IF('2-man'!$BF$4="",999,'2-man'!$BF$4)),100,T1)))))</f>
        <v/>
      </c>
      <c r="U2">
        <f>IF('2-man'!U$16="R",MIN(100,U1+10),IF('2-man'!U$16="P",MIN(100,U1+25),IF(AND('2-man'!U$16="D",U1&gt;=35,'2-man'!U$15&lt;=IF('2-man'!$BF$4="",999,'2-man'!$BF$4)),U1-35,IF(AND(LEFT('2-man'!U$16,3)="ST&gt;",U1&gt;=100,'2-man'!U$15&lt;=IF('2-man'!$BF$4="",999,'2-man'!$BF$4)),0,IF(AND(OR(AND('2-man'!U$17="ST&gt;1",U9&gt;=100)),'2-man'!U$15&lt;=IF('2-man'!$BF$4="",999,'2-man'!$BF$4)),100,U1)))))</f>
        <v/>
      </c>
      <c r="V2">
        <f>IF('2-man'!V$16="R",MIN(100,V1+10),IF('2-man'!V$16="P",MIN(100,V1+25),IF(AND('2-man'!V$16="D",V1&gt;=35,'2-man'!V$15&lt;=IF('2-man'!$BF$4="",999,'2-man'!$BF$4)),V1-35,IF(AND(LEFT('2-man'!V$16,3)="ST&gt;",V1&gt;=100,'2-man'!V$15&lt;=IF('2-man'!$BF$4="",999,'2-man'!$BF$4)),0,IF(AND(OR(AND('2-man'!V$17="ST&gt;1",V9&gt;=100)),'2-man'!V$15&lt;=IF('2-man'!$BF$4="",999,'2-man'!$BF$4)),100,V1)))))</f>
        <v/>
      </c>
      <c r="W2">
        <f>IF('2-man'!W$16="R",MIN(100,W1+10),IF('2-man'!W$16="P",MIN(100,W1+25),IF(AND('2-man'!W$16="D",W1&gt;=35,'2-man'!W$15&lt;=IF('2-man'!$BF$4="",999,'2-man'!$BF$4)),W1-35,IF(AND(LEFT('2-man'!W$16,3)="ST&gt;",W1&gt;=100,'2-man'!W$15&lt;=IF('2-man'!$BF$4="",999,'2-man'!$BF$4)),0,IF(AND(OR(AND('2-man'!W$17="ST&gt;1",W9&gt;=100)),'2-man'!W$15&lt;=IF('2-man'!$BF$4="",999,'2-man'!$BF$4)),100,W1)))))</f>
        <v/>
      </c>
      <c r="X2">
        <f>IF('2-man'!X$16="R",MIN(100,X1+10),IF('2-man'!X$16="P",MIN(100,X1+25),IF(AND('2-man'!X$16="D",X1&gt;=35,'2-man'!X$15&lt;=IF('2-man'!$BF$4="",999,'2-man'!$BF$4)),X1-35,IF(AND(LEFT('2-man'!X$16,3)="ST&gt;",X1&gt;=100,'2-man'!X$15&lt;=IF('2-man'!$BF$4="",999,'2-man'!$BF$4)),0,IF(AND(OR(AND('2-man'!X$17="ST&gt;1",X9&gt;=100)),'2-man'!X$15&lt;=IF('2-man'!$BF$4="",999,'2-man'!$BF$4)),100,X1)))))</f>
        <v/>
      </c>
      <c r="Y2">
        <f>IF('2-man'!Y$16="R",MIN(100,Y1+10),IF('2-man'!Y$16="P",MIN(100,Y1+25),IF(AND('2-man'!Y$16="D",Y1&gt;=35,'2-man'!Y$15&lt;=IF('2-man'!$BF$4="",999,'2-man'!$BF$4)),Y1-35,IF(AND(LEFT('2-man'!Y$16,3)="ST&gt;",Y1&gt;=100,'2-man'!Y$15&lt;=IF('2-man'!$BF$4="",999,'2-man'!$BF$4)),0,IF(AND(OR(AND('2-man'!Y$17="ST&gt;1",Y9&gt;=100)),'2-man'!Y$15&lt;=IF('2-man'!$BF$4="",999,'2-man'!$BF$4)),100,Y1)))))</f>
        <v/>
      </c>
      <c r="Z2">
        <f>IF('2-man'!Z$16="R",MIN(100,Z1+10),IF('2-man'!Z$16="P",MIN(100,Z1+25),IF(AND('2-man'!Z$16="D",Z1&gt;=35,'2-man'!Z$15&lt;=IF('2-man'!$BF$4="",999,'2-man'!$BF$4)),Z1-35,IF(AND(LEFT('2-man'!Z$16,3)="ST&gt;",Z1&gt;=100,'2-man'!Z$15&lt;=IF('2-man'!$BF$4="",999,'2-man'!$BF$4)),0,IF(AND(OR(AND('2-man'!Z$17="ST&gt;1",Z9&gt;=100)),'2-man'!Z$15&lt;=IF('2-man'!$BF$4="",999,'2-man'!$BF$4)),100,Z1)))))</f>
        <v/>
      </c>
      <c r="AA2">
        <f>IF('2-man'!AA$16="R",MIN(100,AA1+10),IF('2-man'!AA$16="P",MIN(100,AA1+25),IF(AND('2-man'!AA$16="D",AA1&gt;=35,'2-man'!AA$15&lt;=IF('2-man'!$BF$4="",999,'2-man'!$BF$4)),AA1-35,IF(AND(LEFT('2-man'!AA$16,3)="ST&gt;",AA1&gt;=100,'2-man'!AA$15&lt;=IF('2-man'!$BF$4="",999,'2-man'!$BF$4)),0,IF(AND(OR(AND('2-man'!AA$17="ST&gt;1",AA9&gt;=100)),'2-man'!AA$15&lt;=IF('2-man'!$BF$4="",999,'2-man'!$BF$4)),100,AA1)))))</f>
        <v/>
      </c>
      <c r="AB2">
        <f>IF('2-man'!AB$16="R",MIN(100,AB1+10),IF('2-man'!AB$16="P",MIN(100,AB1+25),IF(AND('2-man'!AB$16="D",AB1&gt;=35,'2-man'!AB$15&lt;=IF('2-man'!$BF$4="",999,'2-man'!$BF$4)),AB1-35,IF(AND(LEFT('2-man'!AB$16,3)="ST&gt;",AB1&gt;=100,'2-man'!AB$15&lt;=IF('2-man'!$BF$4="",999,'2-man'!$BF$4)),0,IF(AND(OR(AND('2-man'!AB$17="ST&gt;1",AB9&gt;=100)),'2-man'!AB$15&lt;=IF('2-man'!$BF$4="",999,'2-man'!$BF$4)),100,AB1)))))</f>
        <v/>
      </c>
      <c r="AC2">
        <f>IF('2-man'!AC$16="R",MIN(100,AC1+10),IF('2-man'!AC$16="P",MIN(100,AC1+25),IF(AND('2-man'!AC$16="D",AC1&gt;=35,'2-man'!AC$15&lt;=IF('2-man'!$BF$4="",999,'2-man'!$BF$4)),AC1-35,IF(AND(LEFT('2-man'!AC$16,3)="ST&gt;",AC1&gt;=100,'2-man'!AC$15&lt;=IF('2-man'!$BF$4="",999,'2-man'!$BF$4)),0,IF(AND(OR(AND('2-man'!AC$17="ST&gt;1",AC9&gt;=100)),'2-man'!AC$15&lt;=IF('2-man'!$BF$4="",999,'2-man'!$BF$4)),100,AC1)))))</f>
        <v/>
      </c>
      <c r="AD2">
        <f>IF('2-man'!AD$16="R",MIN(100,AD1+10),IF('2-man'!AD$16="P",MIN(100,AD1+25),IF(AND('2-man'!AD$16="D",AD1&gt;=35,'2-man'!AD$15&lt;=IF('2-man'!$BF$4="",999,'2-man'!$BF$4)),AD1-35,IF(AND(LEFT('2-man'!AD$16,3)="ST&gt;",AD1&gt;=100,'2-man'!AD$15&lt;=IF('2-man'!$BF$4="",999,'2-man'!$BF$4)),0,IF(AND(OR(AND('2-man'!AD$17="ST&gt;1",AD9&gt;=100)),'2-man'!AD$15&lt;=IF('2-man'!$BF$4="",999,'2-man'!$BF$4)),100,AD1)))))</f>
        <v/>
      </c>
      <c r="AE2">
        <f>IF('2-man'!AE$16="R",MIN(100,AE1+10),IF('2-man'!AE$16="P",MIN(100,AE1+25),IF(AND('2-man'!AE$16="D",AE1&gt;=35,'2-man'!AE$15&lt;=IF('2-man'!$BF$4="",999,'2-man'!$BF$4)),AE1-35,IF(AND(LEFT('2-man'!AE$16,3)="ST&gt;",AE1&gt;=100,'2-man'!AE$15&lt;=IF('2-man'!$BF$4="",999,'2-man'!$BF$4)),0,IF(AND(OR(AND('2-man'!AE$17="ST&gt;1",AE9&gt;=100)),'2-man'!AE$15&lt;=IF('2-man'!$BF$4="",999,'2-man'!$BF$4)),100,AE1)))))</f>
        <v/>
      </c>
      <c r="AF2">
        <f>IF('2-man'!AF$16="R",MIN(100,AF1+10),IF('2-man'!AF$16="P",MIN(100,AF1+25),IF(AND('2-man'!AF$16="D",AF1&gt;=35,'2-man'!AF$15&lt;=IF('2-man'!$BF$4="",999,'2-man'!$BF$4)),AF1-35,IF(AND(LEFT('2-man'!AF$16,3)="ST&gt;",AF1&gt;=100,'2-man'!AF$15&lt;=IF('2-man'!$BF$4="",999,'2-man'!$BF$4)),0,IF(AND(OR(AND('2-man'!AF$17="ST&gt;1",AF9&gt;=100)),'2-man'!AF$15&lt;=IF('2-man'!$BF$4="",999,'2-man'!$BF$4)),100,AF1)))))</f>
        <v/>
      </c>
      <c r="AG2">
        <f>IF('2-man'!AG$16="R",MIN(100,AG1+10),IF('2-man'!AG$16="P",MIN(100,AG1+25),IF(AND('2-man'!AG$16="D",AG1&gt;=35,'2-man'!AG$15&lt;=IF('2-man'!$BF$4="",999,'2-man'!$BF$4)),AG1-35,IF(AND(LEFT('2-man'!AG$16,3)="ST&gt;",AG1&gt;=100,'2-man'!AG$15&lt;=IF('2-man'!$BF$4="",999,'2-man'!$BF$4)),0,IF(AND(OR(AND('2-man'!AG$17="ST&gt;1",AG9&gt;=100)),'2-man'!AG$15&lt;=IF('2-man'!$BF$4="",999,'2-man'!$BF$4)),100,AG1)))))</f>
        <v/>
      </c>
      <c r="AH2">
        <f>IF('2-man'!AH$16="R",MIN(100,AH1+10),IF('2-man'!AH$16="P",MIN(100,AH1+25),IF(AND('2-man'!AH$16="D",AH1&gt;=35,'2-man'!AH$15&lt;=IF('2-man'!$BF$4="",999,'2-man'!$BF$4)),AH1-35,IF(AND(LEFT('2-man'!AH$16,3)="ST&gt;",AH1&gt;=100,'2-man'!AH$15&lt;=IF('2-man'!$BF$4="",999,'2-man'!$BF$4)),0,IF(AND(OR(AND('2-man'!AH$17="ST&gt;1",AH9&gt;=100)),'2-man'!AH$15&lt;=IF('2-man'!$BF$4="",999,'2-man'!$BF$4)),100,AH1)))))</f>
        <v/>
      </c>
      <c r="AI2">
        <f>IF('2-man'!AI$16="R",MIN(100,AI1+10),IF('2-man'!AI$16="P",MIN(100,AI1+25),IF(AND('2-man'!AI$16="D",AI1&gt;=35,'2-man'!AI$15&lt;=IF('2-man'!$BF$4="",999,'2-man'!$BF$4)),AI1-35,IF(AND(LEFT('2-man'!AI$16,3)="ST&gt;",AI1&gt;=100,'2-man'!AI$15&lt;=IF('2-man'!$BF$4="",999,'2-man'!$BF$4)),0,IF(AND(OR(AND('2-man'!AI$17="ST&gt;1",AI9&gt;=100)),'2-man'!AI$15&lt;=IF('2-man'!$BF$4="",999,'2-man'!$BF$4)),100,AI1)))))</f>
        <v/>
      </c>
      <c r="AJ2">
        <f>IF('2-man'!AJ$16="R",MIN(100,AJ1+10),IF('2-man'!AJ$16="P",MIN(100,AJ1+25),IF(AND('2-man'!AJ$16="D",AJ1&gt;=35,'2-man'!AJ$15&lt;=IF('2-man'!$BF$4="",999,'2-man'!$BF$4)),AJ1-35,IF(AND(LEFT('2-man'!AJ$16,3)="ST&gt;",AJ1&gt;=100,'2-man'!AJ$15&lt;=IF('2-man'!$BF$4="",999,'2-man'!$BF$4)),0,IF(AND(OR(AND('2-man'!AJ$17="ST&gt;1",AJ9&gt;=100)),'2-man'!AJ$15&lt;=IF('2-man'!$BF$4="",999,'2-man'!$BF$4)),100,AJ1)))))</f>
        <v/>
      </c>
      <c r="AK2">
        <f>IF('2-man'!AK$16="R",MIN(100,AK1+10),IF('2-man'!AK$16="P",MIN(100,AK1+25),IF(AND('2-man'!AK$16="D",AK1&gt;=35,'2-man'!AK$15&lt;=IF('2-man'!$BF$4="",999,'2-man'!$BF$4)),AK1-35,IF(AND(LEFT('2-man'!AK$16,3)="ST&gt;",AK1&gt;=100,'2-man'!AK$15&lt;=IF('2-man'!$BF$4="",999,'2-man'!$BF$4)),0,IF(AND(OR(AND('2-man'!AK$17="ST&gt;1",AK9&gt;=100)),'2-man'!AK$15&lt;=IF('2-man'!$BF$4="",999,'2-man'!$BF$4)),100,AK1)))))</f>
        <v/>
      </c>
      <c r="AL2">
        <f>IF('2-man'!AL$16="R",MIN(100,AL1+10),IF('2-man'!AL$16="P",MIN(100,AL1+25),IF(AND('2-man'!AL$16="D",AL1&gt;=35,'2-man'!AL$15&lt;=IF('2-man'!$BF$4="",999,'2-man'!$BF$4)),AL1-35,IF(AND(LEFT('2-man'!AL$16,3)="ST&gt;",AL1&gt;=100,'2-man'!AL$15&lt;=IF('2-man'!$BF$4="",999,'2-man'!$BF$4)),0,IF(AND(OR(AND('2-man'!AL$17="ST&gt;1",AL9&gt;=100)),'2-man'!AL$15&lt;=IF('2-man'!$BF$4="",999,'2-man'!$BF$4)),100,AL1)))))</f>
        <v/>
      </c>
      <c r="AM2">
        <f>IF('2-man'!AM$16="R",MIN(100,AM1+10),IF('2-man'!AM$16="P",MIN(100,AM1+25),IF(AND('2-man'!AM$16="D",AM1&gt;=35,'2-man'!AM$15&lt;=IF('2-man'!$BF$4="",999,'2-man'!$BF$4)),AM1-35,IF(AND(LEFT('2-man'!AM$16,3)="ST&gt;",AM1&gt;=100,'2-man'!AM$15&lt;=IF('2-man'!$BF$4="",999,'2-man'!$BF$4)),0,IF(AND(OR(AND('2-man'!AM$17="ST&gt;1",AM9&gt;=100)),'2-man'!AM$15&lt;=IF('2-man'!$BF$4="",999,'2-man'!$BF$4)),100,AM1)))))</f>
        <v/>
      </c>
      <c r="AN2">
        <f>IF('2-man'!AN$16="R",MIN(100,AN1+10),IF('2-man'!AN$16="P",MIN(100,AN1+25),IF(AND('2-man'!AN$16="D",AN1&gt;=35,'2-man'!AN$15&lt;=IF('2-man'!$BF$4="",999,'2-man'!$BF$4)),AN1-35,IF(AND(LEFT('2-man'!AN$16,3)="ST&gt;",AN1&gt;=100,'2-man'!AN$15&lt;=IF('2-man'!$BF$4="",999,'2-man'!$BF$4)),0,IF(AND(OR(AND('2-man'!AN$17="ST&gt;1",AN9&gt;=100)),'2-man'!AN$15&lt;=IF('2-man'!$BF$4="",999,'2-man'!$BF$4)),100,AN1)))))</f>
        <v/>
      </c>
      <c r="AO2">
        <f>IF('2-man'!AO$16="R",MIN(100,AO1+10),IF('2-man'!AO$16="P",MIN(100,AO1+25),IF(AND('2-man'!AO$16="D",AO1&gt;=35,'2-man'!AO$15&lt;=IF('2-man'!$BF$4="",999,'2-man'!$BF$4)),AO1-35,IF(AND(LEFT('2-man'!AO$16,3)="ST&gt;",AO1&gt;=100,'2-man'!AO$15&lt;=IF('2-man'!$BF$4="",999,'2-man'!$BF$4)),0,IF(AND(OR(AND('2-man'!AO$17="ST&gt;1",AO9&gt;=100)),'2-man'!AO$15&lt;=IF('2-man'!$BF$4="",999,'2-man'!$BF$4)),100,AO1)))))</f>
        <v/>
      </c>
      <c r="AP2">
        <f>IF('2-man'!AP$16="R",MIN(100,AP1+10),IF('2-man'!AP$16="P",MIN(100,AP1+25),IF(AND('2-man'!AP$16="D",AP1&gt;=35,'2-man'!AP$15&lt;=IF('2-man'!$BF$4="",999,'2-man'!$BF$4)),AP1-35,IF(AND(LEFT('2-man'!AP$16,3)="ST&gt;",AP1&gt;=100,'2-man'!AP$15&lt;=IF('2-man'!$BF$4="",999,'2-man'!$BF$4)),0,IF(AND(OR(AND('2-man'!AP$17="ST&gt;1",AP9&gt;=100)),'2-man'!AP$15&lt;=IF('2-man'!$BF$4="",999,'2-man'!$BF$4)),100,AP1)))))</f>
        <v/>
      </c>
      <c r="AQ2">
        <f>IF('2-man'!AQ$16="R",MIN(100,AQ1+10),IF('2-man'!AQ$16="P",MIN(100,AQ1+25),IF(AND('2-man'!AQ$16="D",AQ1&gt;=35,'2-man'!AQ$15&lt;=IF('2-man'!$BF$4="",999,'2-man'!$BF$4)),AQ1-35,IF(AND(LEFT('2-man'!AQ$16,3)="ST&gt;",AQ1&gt;=100,'2-man'!AQ$15&lt;=IF('2-man'!$BF$4="",999,'2-man'!$BF$4)),0,IF(AND(OR(AND('2-man'!AQ$17="ST&gt;1",AQ9&gt;=100)),'2-man'!AQ$15&lt;=IF('2-man'!$BF$4="",999,'2-man'!$BF$4)),100,AQ1)))))</f>
        <v/>
      </c>
      <c r="AR2">
        <f>IF('2-man'!AR$16="R",MIN(100,AR1+10),IF('2-man'!AR$16="P",MIN(100,AR1+25),IF(AND('2-man'!AR$16="D",AR1&gt;=35,'2-man'!AR$15&lt;=IF('2-man'!$BF$4="",999,'2-man'!$BF$4)),AR1-35,IF(AND(LEFT('2-man'!AR$16,3)="ST&gt;",AR1&gt;=100,'2-man'!AR$15&lt;=IF('2-man'!$BF$4="",999,'2-man'!$BF$4)),0,IF(AND(OR(AND('2-man'!AR$17="ST&gt;1",AR9&gt;=100)),'2-man'!AR$15&lt;=IF('2-man'!$BF$4="",999,'2-man'!$BF$4)),100,AR1)))))</f>
        <v/>
      </c>
      <c r="AS2">
        <f>IF('2-man'!AS$16="R",MIN(100,AS1+10),IF('2-man'!AS$16="P",MIN(100,AS1+25),IF(AND('2-man'!AS$16="D",AS1&gt;=35,'2-man'!AS$15&lt;=IF('2-man'!$BF$4="",999,'2-man'!$BF$4)),AS1-35,IF(AND(LEFT('2-man'!AS$16,3)="ST&gt;",AS1&gt;=100,'2-man'!AS$15&lt;=IF('2-man'!$BF$4="",999,'2-man'!$BF$4)),0,IF(AND(OR(AND('2-man'!AS$17="ST&gt;1",AS9&gt;=100)),'2-man'!AS$15&lt;=IF('2-man'!$BF$4="",999,'2-man'!$BF$4)),100,AS1)))))</f>
        <v/>
      </c>
      <c r="AT2">
        <f>IF('2-man'!AT$16="R",MIN(100,AT1+10),IF('2-man'!AT$16="P",MIN(100,AT1+25),IF(AND('2-man'!AT$16="D",AT1&gt;=35,'2-man'!AT$15&lt;=IF('2-man'!$BF$4="",999,'2-man'!$BF$4)),AT1-35,IF(AND(LEFT('2-man'!AT$16,3)="ST&gt;",AT1&gt;=100,'2-man'!AT$15&lt;=IF('2-man'!$BF$4="",999,'2-man'!$BF$4)),0,IF(AND(OR(AND('2-man'!AT$17="ST&gt;1",AT9&gt;=100)),'2-man'!AT$15&lt;=IF('2-man'!$BF$4="",999,'2-man'!$BF$4)),100,AT1)))))</f>
        <v/>
      </c>
      <c r="AU2">
        <f>IF('2-man'!AU$16="R",MIN(100,AU1+10),IF('2-man'!AU$16="P",MIN(100,AU1+25),IF(AND('2-man'!AU$16="D",AU1&gt;=35,'2-man'!AU$15&lt;=IF('2-man'!$BF$4="",999,'2-man'!$BF$4)),AU1-35,IF(AND(LEFT('2-man'!AU$16,3)="ST&gt;",AU1&gt;=100,'2-man'!AU$15&lt;=IF('2-man'!$BF$4="",999,'2-man'!$BF$4)),0,IF(AND(OR(AND('2-man'!AU$17="ST&gt;1",AU9&gt;=100)),'2-man'!AU$15&lt;=IF('2-man'!$BF$4="",999,'2-man'!$BF$4)),100,AU1)))))</f>
        <v/>
      </c>
      <c r="AV2">
        <f>IF('2-man'!AV$16="R",MIN(100,AV1+10),IF('2-man'!AV$16="P",MIN(100,AV1+25),IF(AND('2-man'!AV$16="D",AV1&gt;=35,'2-man'!AV$15&lt;=IF('2-man'!$BF$4="",999,'2-man'!$BF$4)),AV1-35,IF(AND(LEFT('2-man'!AV$16,3)="ST&gt;",AV1&gt;=100,'2-man'!AV$15&lt;=IF('2-man'!$BF$4="",999,'2-man'!$BF$4)),0,IF(AND(OR(AND('2-man'!AV$17="ST&gt;1",AV9&gt;=100)),'2-man'!AV$15&lt;=IF('2-man'!$BF$4="",999,'2-man'!$BF$4)),100,AV1)))))</f>
        <v/>
      </c>
      <c r="AW2">
        <f>IF('2-man'!AW$16="R",MIN(100,AW1+10),IF('2-man'!AW$16="P",MIN(100,AW1+25),IF(AND('2-man'!AW$16="D",AW1&gt;=35,'2-man'!AW$15&lt;=IF('2-man'!$BF$4="",999,'2-man'!$BF$4)),AW1-35,IF(AND(LEFT('2-man'!AW$16,3)="ST&gt;",AW1&gt;=100,'2-man'!AW$15&lt;=IF('2-man'!$BF$4="",999,'2-man'!$BF$4)),0,IF(AND(OR(AND('2-man'!AW$17="ST&gt;1",AW9&gt;=100)),'2-man'!AW$15&lt;=IF('2-man'!$BF$4="",999,'2-man'!$BF$4)),100,AW1)))))</f>
        <v/>
      </c>
      <c r="AX2">
        <f>IF('2-man'!AX$16="R",MIN(100,AX1+10),IF('2-man'!AX$16="P",MIN(100,AX1+25),IF(AND('2-man'!AX$16="D",AX1&gt;=35,'2-man'!AX$15&lt;=IF('2-man'!$BF$4="",999,'2-man'!$BF$4)),AX1-35,IF(AND(LEFT('2-man'!AX$16,3)="ST&gt;",AX1&gt;=100,'2-man'!AX$15&lt;=IF('2-man'!$BF$4="",999,'2-man'!$BF$4)),0,IF(AND(OR(AND('2-man'!AX$17="ST&gt;1",AX9&gt;=100)),'2-man'!AX$15&lt;=IF('2-man'!$BF$4="",999,'2-man'!$BF$4)),100,AX1)))))</f>
        <v/>
      </c>
      <c r="AY2">
        <f>IF('2-man'!AY$16="R",MIN(100,AY1+10),IF('2-man'!AY$16="P",MIN(100,AY1+25),IF(AND('2-man'!AY$16="D",AY1&gt;=35,'2-man'!AY$15&lt;=IF('2-man'!$BF$4="",999,'2-man'!$BF$4)),AY1-35,IF(AND(LEFT('2-man'!AY$16,3)="ST&gt;",AY1&gt;=100,'2-man'!AY$15&lt;=IF('2-man'!$BF$4="",999,'2-man'!$BF$4)),0,IF(AND(OR(AND('2-man'!AY$17="ST&gt;1",AY9&gt;=100)),'2-man'!AY$15&lt;=IF('2-man'!$BF$4="",999,'2-man'!$BF$4)),100,AY1)))))</f>
        <v/>
      </c>
      <c r="AZ2">
        <f>IF('2-man'!AZ$16="R",MIN(100,AZ1+10),IF('2-man'!AZ$16="P",MIN(100,AZ1+25),IF(AND('2-man'!AZ$16="D",AZ1&gt;=35,'2-man'!AZ$15&lt;=IF('2-man'!$BF$4="",999,'2-man'!$BF$4)),AZ1-35,IF(AND(LEFT('2-man'!AZ$16,3)="ST&gt;",AZ1&gt;=100,'2-man'!AZ$15&lt;=IF('2-man'!$BF$4="",999,'2-man'!$BF$4)),0,IF(AND(OR(AND('2-man'!AZ$17="ST&gt;1",AZ9&gt;=100)),'2-man'!AZ$15&lt;=IF('2-man'!$BF$4="",999,'2-man'!$BF$4)),100,AZ1)))))</f>
        <v/>
      </c>
      <c r="BA2">
        <f>IF('2-man'!BA$16="R",MIN(100,BA1+10),IF('2-man'!BA$16="P",MIN(100,BA1+25),IF(AND('2-man'!BA$16="D",BA1&gt;=35,'2-man'!BA$15&lt;=IF('2-man'!$BF$4="",999,'2-man'!$BF$4)),BA1-35,IF(AND(LEFT('2-man'!BA$16,3)="ST&gt;",BA1&gt;=100,'2-man'!BA$15&lt;=IF('2-man'!$BF$4="",999,'2-man'!$BF$4)),0,IF(AND(OR(AND('2-man'!BA$17="ST&gt;1",BA9&gt;=100)),'2-man'!BA$15&lt;=IF('2-man'!$BF$4="",999,'2-man'!$BF$4)),100,BA1)))))</f>
        <v/>
      </c>
      <c r="BB2">
        <f>IF('2-man'!BB$16="R",MIN(100,BB1+10),IF('2-man'!BB$16="P",MIN(100,BB1+25),IF(AND('2-man'!BB$16="D",BB1&gt;=35,'2-man'!BB$15&lt;=IF('2-man'!$BF$4="",999,'2-man'!$BF$4)),BB1-35,IF(AND(LEFT('2-man'!BB$16,3)="ST&gt;",BB1&gt;=100,'2-man'!BB$15&lt;=IF('2-man'!$BF$4="",999,'2-man'!$BF$4)),0,IF(AND(OR(AND('2-man'!BB$17="ST&gt;1",BB9&gt;=100)),'2-man'!BB$15&lt;=IF('2-man'!$BF$4="",999,'2-man'!$BF$4)),100,BB1)))))</f>
        <v/>
      </c>
      <c r="BC2">
        <f>IF('2-man'!BC$16="R",MIN(100,BC1+10),IF('2-man'!BC$16="P",MIN(100,BC1+25),IF(AND('2-man'!BC$16="D",BC1&gt;=35,'2-man'!BC$15&lt;=IF('2-man'!$BF$4="",999,'2-man'!$BF$4)),BC1-35,IF(AND(LEFT('2-man'!BC$16,3)="ST&gt;",BC1&gt;=100,'2-man'!BC$15&lt;=IF('2-man'!$BF$4="",999,'2-man'!$BF$4)),0,IF(AND(OR(AND('2-man'!BC$17="ST&gt;1",BC9&gt;=100)),'2-man'!BC$15&lt;=IF('2-man'!$BF$4="",999,'2-man'!$BF$4)),100,BC1)))))</f>
        <v/>
      </c>
      <c r="BD2">
        <f>IF('2-man'!BD$16="R",MIN(100,BD1+10),IF('2-man'!BD$16="P",MIN(100,BD1+25),IF(AND('2-man'!BD$16="D",BD1&gt;=35,'2-man'!BD$15&lt;=IF('2-man'!$BF$4="",999,'2-man'!$BF$4)),BD1-35,IF(AND(LEFT('2-man'!BD$16,3)="ST&gt;",BD1&gt;=100,'2-man'!BD$15&lt;=IF('2-man'!$BF$4="",999,'2-man'!$BF$4)),0,IF(AND(OR(AND('2-man'!BD$17="ST&gt;1",BD9&gt;=100)),'2-man'!BD$15&lt;=IF('2-man'!$BF$4="",999,'2-man'!$BF$4)),100,BD1)))))</f>
        <v/>
      </c>
      <c r="BE2">
        <f>IF('2-man'!BE$16="R",MIN(100,BE1+10),IF('2-man'!BE$16="P",MIN(100,BE1+25),IF(AND('2-man'!BE$16="D",BE1&gt;=35,'2-man'!BE$15&lt;=IF('2-man'!$BF$4="",999,'2-man'!$BF$4)),BE1-35,IF(AND(LEFT('2-man'!BE$16,3)="ST&gt;",BE1&gt;=100,'2-man'!BE$15&lt;=IF('2-man'!$BF$4="",999,'2-man'!$BF$4)),0,IF(AND(OR(AND('2-man'!BE$17="ST&gt;1",BE9&gt;=100)),'2-man'!BE$15&lt;=IF('2-man'!$BF$4="",999,'2-man'!$BF$4)),100,BE1)))))</f>
        <v/>
      </c>
      <c r="BF2">
        <f>IF('2-man'!BF$16="R",MIN(100,BF1+10),IF('2-man'!BF$16="P",MIN(100,BF1+25),IF(AND('2-man'!BF$16="D",BF1&gt;=35,'2-man'!BF$15&lt;=IF('2-man'!$BF$4="",999,'2-man'!$BF$4)),BF1-35,IF(AND(LEFT('2-man'!BF$16,3)="ST&gt;",BF1&gt;=100,'2-man'!BF$15&lt;=IF('2-man'!$BF$4="",999,'2-man'!$BF$4)),0,IF(AND(OR(AND('2-man'!BF$17="ST&gt;1",BF9&gt;=100)),'2-man'!BF$15&lt;=IF('2-man'!$BF$4="",999,'2-man'!$BF$4)),100,BF1)))))</f>
        <v/>
      </c>
      <c r="BG2">
        <f>IF('2-man'!BG$16="R",MIN(100,BG1+10),IF('2-man'!BG$16="P",MIN(100,BG1+25),IF(AND('2-man'!BG$16="D",BG1&gt;=35,'2-man'!BG$15&lt;=IF('2-man'!$BF$4="",999,'2-man'!$BF$4)),BG1-35,IF(AND(LEFT('2-man'!BG$16,3)="ST&gt;",BG1&gt;=100,'2-man'!BG$15&lt;=IF('2-man'!$BF$4="",999,'2-man'!$BF$4)),0,IF(AND(OR(AND('2-man'!BG$17="ST&gt;1",BG9&gt;=100)),'2-man'!BG$15&lt;=IF('2-man'!$BF$4="",999,'2-man'!$BF$4)),100,BG1)))))</f>
        <v/>
      </c>
      <c r="BH2">
        <f>IF('2-man'!BH$16="R",MIN(100,BH1+10),IF('2-man'!BH$16="P",MIN(100,BH1+25),IF(AND('2-man'!BH$16="D",BH1&gt;=35,'2-man'!BH$15&lt;=IF('2-man'!$BF$4="",999,'2-man'!$BF$4)),BH1-35,IF(AND(LEFT('2-man'!BH$16,3)="ST&gt;",BH1&gt;=100,'2-man'!BH$15&lt;=IF('2-man'!$BF$4="",999,'2-man'!$BF$4)),0,IF(AND(OR(AND('2-man'!BH$17="ST&gt;1",BH9&gt;=100)),'2-man'!BH$15&lt;=IF('2-man'!$BF$4="",999,'2-man'!$BF$4)),100,BH1)))))</f>
        <v/>
      </c>
      <c r="BI2">
        <f>IF('2-man'!BI$16="R",MIN(100,BI1+10),IF('2-man'!BI$16="P",MIN(100,BI1+25),IF(AND('2-man'!BI$16="D",BI1&gt;=35,'2-man'!BI$15&lt;=IF('2-man'!$BF$4="",999,'2-man'!$BF$4)),BI1-35,IF(AND(LEFT('2-man'!BI$16,3)="ST&gt;",BI1&gt;=100,'2-man'!BI$15&lt;=IF('2-man'!$BF$4="",999,'2-man'!$BF$4)),0,IF(AND(OR(AND('2-man'!BI$17="ST&gt;1",BI9&gt;=100)),'2-man'!BI$15&lt;=IF('2-man'!$BF$4="",999,'2-man'!$BF$4)),100,BI1)))))</f>
        <v/>
      </c>
      <c r="BJ2">
        <f>IF('2-man'!BJ$16="R",MIN(100,BJ1+10),IF('2-man'!BJ$16="P",MIN(100,BJ1+25),IF(AND('2-man'!BJ$16="D",BJ1&gt;=35,'2-man'!BJ$15&lt;=IF('2-man'!$BF$4="",999,'2-man'!$BF$4)),BJ1-35,IF(AND(LEFT('2-man'!BJ$16,3)="ST&gt;",BJ1&gt;=100,'2-man'!BJ$15&lt;=IF('2-man'!$BF$4="",999,'2-man'!$BF$4)),0,IF(AND(OR(AND('2-man'!BJ$17="ST&gt;1",BJ9&gt;=100)),'2-man'!BJ$15&lt;=IF('2-man'!$BF$4="",999,'2-man'!$BF$4)),100,BJ1)))))</f>
        <v/>
      </c>
      <c r="BK2">
        <f>IF('2-man'!BK$16="R",MIN(100,BK1+10),IF('2-man'!BK$16="P",MIN(100,BK1+25),IF(AND('2-man'!BK$16="D",BK1&gt;=35,'2-man'!BK$15&lt;=IF('2-man'!$BF$4="",999,'2-man'!$BF$4)),BK1-35,IF(AND(LEFT('2-man'!BK$16,3)="ST&gt;",BK1&gt;=100,'2-man'!BK$15&lt;=IF('2-man'!$BF$4="",999,'2-man'!$BF$4)),0,IF(AND(OR(AND('2-man'!BK$17="ST&gt;1",BK9&gt;=100)),'2-man'!BK$15&lt;=IF('2-man'!$BF$4="",999,'2-man'!$BF$4)),100,BK1)))))</f>
        <v/>
      </c>
      <c r="BL2">
        <f>IF('2-man'!BL$16="R",MIN(100,BL1+10),IF('2-man'!BL$16="P",MIN(100,BL1+25),IF(AND('2-man'!BL$16="D",BL1&gt;=35,'2-man'!BL$15&lt;=IF('2-man'!$BF$4="",999,'2-man'!$BF$4)),BL1-35,IF(AND(LEFT('2-man'!BL$16,3)="ST&gt;",BL1&gt;=100,'2-man'!BL$15&lt;=IF('2-man'!$BF$4="",999,'2-man'!$BF$4)),0,IF(AND(OR(AND('2-man'!BL$17="ST&gt;1",BL9&gt;=100)),'2-man'!BL$15&lt;=IF('2-man'!$BF$4="",999,'2-man'!$BF$4)),100,BL1)))))</f>
        <v/>
      </c>
      <c r="BM2">
        <f>IF('2-man'!BM$16="R",MIN(100,BM1+10),IF('2-man'!BM$16="P",MIN(100,BM1+25),IF(AND('2-man'!BM$16="D",BM1&gt;=35,'2-man'!BM$15&lt;=IF('2-man'!$BF$4="",999,'2-man'!$BF$4)),BM1-35,IF(AND(LEFT('2-man'!BM$16,3)="ST&gt;",BM1&gt;=100,'2-man'!BM$15&lt;=IF('2-man'!$BF$4="",999,'2-man'!$BF$4)),0,IF(AND(OR(AND('2-man'!BM$17="ST&gt;1",BM9&gt;=100)),'2-man'!BM$15&lt;=IF('2-man'!$BF$4="",999,'2-man'!$BF$4)),100,BM1)))))</f>
        <v/>
      </c>
      <c r="BN2">
        <f>IF('2-man'!BN$16="R",MIN(100,BN1+10),IF('2-man'!BN$16="P",MIN(100,BN1+25),IF(AND('2-man'!BN$16="D",BN1&gt;=35,'2-man'!BN$15&lt;=IF('2-man'!$BF$4="",999,'2-man'!$BF$4)),BN1-35,IF(AND(LEFT('2-man'!BN$16,3)="ST&gt;",BN1&gt;=100,'2-man'!BN$15&lt;=IF('2-man'!$BF$4="",999,'2-man'!$BF$4)),0,IF(AND(OR(AND('2-man'!BN$17="ST&gt;1",BN9&gt;=100)),'2-man'!BN$15&lt;=IF('2-man'!$BF$4="",999,'2-man'!$BF$4)),100,BN1)))))</f>
        <v/>
      </c>
      <c r="BO2">
        <f>IF('2-man'!BO$16="R",MIN(100,BO1+10),IF('2-man'!BO$16="P",MIN(100,BO1+25),IF(AND('2-man'!BO$16="D",BO1&gt;=35,'2-man'!BO$15&lt;=IF('2-man'!$BF$4="",999,'2-man'!$BF$4)),BO1-35,IF(AND(LEFT('2-man'!BO$16,3)="ST&gt;",BO1&gt;=100,'2-man'!BO$15&lt;=IF('2-man'!$BF$4="",999,'2-man'!$BF$4)),0,IF(AND(OR(AND('2-man'!BO$17="ST&gt;1",BO9&gt;=100)),'2-man'!BO$15&lt;=IF('2-man'!$BF$4="",999,'2-man'!$BF$4)),100,BO1)))))</f>
        <v/>
      </c>
      <c r="BP2">
        <f>IF('2-man'!BP$16="R",MIN(100,BP1+10),IF('2-man'!BP$16="P",MIN(100,BP1+25),IF(AND('2-man'!BP$16="D",BP1&gt;=35,'2-man'!BP$15&lt;=IF('2-man'!$BF$4="",999,'2-man'!$BF$4)),BP1-35,IF(AND(LEFT('2-man'!BP$16,3)="ST&gt;",BP1&gt;=100,'2-man'!BP$15&lt;=IF('2-man'!$BF$4="",999,'2-man'!$BF$4)),0,IF(AND(OR(AND('2-man'!BP$17="ST&gt;1",BP9&gt;=100)),'2-man'!BP$15&lt;=IF('2-man'!$BF$4="",999,'2-man'!$BF$4)),100,BP1)))))</f>
        <v/>
      </c>
      <c r="BQ2">
        <f>IF('2-man'!BQ$16="R",MIN(100,BQ1+10),IF('2-man'!BQ$16="P",MIN(100,BQ1+25),IF(AND('2-man'!BQ$16="D",BQ1&gt;=35,'2-man'!BQ$15&lt;=IF('2-man'!$BF$4="",999,'2-man'!$BF$4)),BQ1-35,IF(AND(LEFT('2-man'!BQ$16,3)="ST&gt;",BQ1&gt;=100,'2-man'!BQ$15&lt;=IF('2-man'!$BF$4="",999,'2-man'!$BF$4)),0,IF(AND(OR(AND('2-man'!BQ$17="ST&gt;1",BQ9&gt;=100)),'2-man'!BQ$15&lt;=IF('2-man'!$BF$4="",999,'2-man'!$BF$4)),100,BQ1)))))</f>
        <v/>
      </c>
      <c r="BR2">
        <f>IF('2-man'!BR$16="R",MIN(100,BR1+10),IF('2-man'!BR$16="P",MIN(100,BR1+25),IF(AND('2-man'!BR$16="D",BR1&gt;=35,'2-man'!BR$15&lt;=IF('2-man'!$BF$4="",999,'2-man'!$BF$4)),BR1-35,IF(AND(LEFT('2-man'!BR$16,3)="ST&gt;",BR1&gt;=100,'2-man'!BR$15&lt;=IF('2-man'!$BF$4="",999,'2-man'!$BF$4)),0,IF(AND(OR(AND('2-man'!BR$17="ST&gt;1",BR9&gt;=100)),'2-man'!BR$15&lt;=IF('2-man'!$BF$4="",999,'2-man'!$BF$4)),100,BR1)))))</f>
        <v/>
      </c>
      <c r="BS2">
        <f>IF('2-man'!BS$16="R",MIN(100,BS1+10),IF('2-man'!BS$16="P",MIN(100,BS1+25),IF(AND('2-man'!BS$16="D",BS1&gt;=35,'2-man'!BS$15&lt;=IF('2-man'!$BF$4="",999,'2-man'!$BF$4)),BS1-35,IF(AND(LEFT('2-man'!BS$16,3)="ST&gt;",BS1&gt;=100,'2-man'!BS$15&lt;=IF('2-man'!$BF$4="",999,'2-man'!$BF$4)),0,IF(AND(OR(AND('2-man'!BS$17="ST&gt;1",BS9&gt;=100)),'2-man'!BS$15&lt;=IF('2-man'!$BF$4="",999,'2-man'!$BF$4)),100,BS1)))))</f>
        <v/>
      </c>
      <c r="BT2">
        <f>IF('2-man'!BT$16="R",MIN(100,BT1+10),IF('2-man'!BT$16="P",MIN(100,BT1+25),IF(AND('2-man'!BT$16="D",BT1&gt;=35,'2-man'!BT$15&lt;=IF('2-man'!$BF$4="",999,'2-man'!$BF$4)),BT1-35,IF(AND(LEFT('2-man'!BT$16,3)="ST&gt;",BT1&gt;=100,'2-man'!BT$15&lt;=IF('2-man'!$BF$4="",999,'2-man'!$BF$4)),0,IF(AND(OR(AND('2-man'!BT$17="ST&gt;1",BT9&gt;=100)),'2-man'!BT$15&lt;=IF('2-man'!$BF$4="",999,'2-man'!$BF$4)),100,BT1)))))</f>
        <v/>
      </c>
      <c r="BU2">
        <f>IF('2-man'!BU$16="R",MIN(100,BU1+10),IF('2-man'!BU$16="P",MIN(100,BU1+25),IF(AND('2-man'!BU$16="D",BU1&gt;=35,'2-man'!BU$15&lt;=IF('2-man'!$BF$4="",999,'2-man'!$BF$4)),BU1-35,IF(AND(LEFT('2-man'!BU$16,3)="ST&gt;",BU1&gt;=100,'2-man'!BU$15&lt;=IF('2-man'!$BF$4="",999,'2-man'!$BF$4)),0,IF(AND(OR(AND('2-man'!BU$17="ST&gt;1",BU9&gt;=100)),'2-man'!BU$15&lt;=IF('2-man'!$BF$4="",999,'2-man'!$BF$4)),100,BU1)))))</f>
        <v/>
      </c>
      <c r="BV2">
        <f>IF('2-man'!BV$16="R",MIN(100,BV1+10),IF('2-man'!BV$16="P",MIN(100,BV1+25),IF(AND('2-man'!BV$16="D",BV1&gt;=35,'2-man'!BV$15&lt;=IF('2-man'!$BF$4="",999,'2-man'!$BF$4)),BV1-35,IF(AND(LEFT('2-man'!BV$16,3)="ST&gt;",BV1&gt;=100,'2-man'!BV$15&lt;=IF('2-man'!$BF$4="",999,'2-man'!$BF$4)),0,IF(AND(OR(AND('2-man'!BV$17="ST&gt;1",BV9&gt;=100)),'2-man'!BV$15&lt;=IF('2-man'!$BF$4="",999,'2-man'!$BF$4)),100,BV1)))))</f>
        <v/>
      </c>
      <c r="BW2">
        <f>IF('2-man'!BW$16="R",MIN(100,BW1+10),IF('2-man'!BW$16="P",MIN(100,BW1+25),IF(AND('2-man'!BW$16="D",BW1&gt;=35,'2-man'!BW$15&lt;=IF('2-man'!$BF$4="",999,'2-man'!$BF$4)),BW1-35,IF(AND(LEFT('2-man'!BW$16,3)="ST&gt;",BW1&gt;=100,'2-man'!BW$15&lt;=IF('2-man'!$BF$4="",999,'2-man'!$BF$4)),0,IF(AND(OR(AND('2-man'!BW$17="ST&gt;1",BW9&gt;=100)),'2-man'!BW$15&lt;=IF('2-man'!$BF$4="",999,'2-man'!$BF$4)),100,BW1)))))</f>
        <v/>
      </c>
      <c r="BX2">
        <f>IF('2-man'!BX$16="R",MIN(100,BX1+10),IF('2-man'!BX$16="P",MIN(100,BX1+25),IF(AND('2-man'!BX$16="D",BX1&gt;=35,'2-man'!BX$15&lt;=IF('2-man'!$BF$4="",999,'2-man'!$BF$4)),BX1-35,IF(AND(LEFT('2-man'!BX$16,3)="ST&gt;",BX1&gt;=100,'2-man'!BX$15&lt;=IF('2-man'!$BF$4="",999,'2-man'!$BF$4)),0,IF(AND(OR(AND('2-man'!BX$17="ST&gt;1",BX9&gt;=100)),'2-man'!BX$15&lt;=IF('2-man'!$BF$4="",999,'2-man'!$BF$4)),100,BX1)))))</f>
        <v/>
      </c>
      <c r="BY2">
        <f>IF('2-man'!BY$16="R",MIN(100,BY1+10),IF('2-man'!BY$16="P",MIN(100,BY1+25),IF(AND('2-man'!BY$16="D",BY1&gt;=35,'2-man'!BY$15&lt;=IF('2-man'!$BF$4="",999,'2-man'!$BF$4)),BY1-35,IF(AND(LEFT('2-man'!BY$16,3)="ST&gt;",BY1&gt;=100,'2-man'!BY$15&lt;=IF('2-man'!$BF$4="",999,'2-man'!$BF$4)),0,IF(AND(OR(AND('2-man'!BY$17="ST&gt;1",BY9&gt;=100)),'2-man'!BY$15&lt;=IF('2-man'!$BF$4="",999,'2-man'!$BF$4)),100,BY1)))))</f>
        <v/>
      </c>
      <c r="BZ2">
        <f>IF('2-man'!BZ$16="R",MIN(100,BZ1+10),IF('2-man'!BZ$16="P",MIN(100,BZ1+25),IF(AND('2-man'!BZ$16="D",BZ1&gt;=35,'2-man'!BZ$15&lt;=IF('2-man'!$BF$4="",999,'2-man'!$BF$4)),BZ1-35,IF(AND(LEFT('2-man'!BZ$16,3)="ST&gt;",BZ1&gt;=100,'2-man'!BZ$15&lt;=IF('2-man'!$BF$4="",999,'2-man'!$BF$4)),0,IF(AND(OR(AND('2-man'!BZ$17="ST&gt;1",BZ9&gt;=100)),'2-man'!BZ$15&lt;=IF('2-man'!$BF$4="",999,'2-man'!$BF$4)),100,BZ1)))))</f>
        <v/>
      </c>
      <c r="CA2">
        <f>IF('2-man'!CA$16="R",MIN(100,CA1+10),IF('2-man'!CA$16="P",MIN(100,CA1+25),IF(AND('2-man'!CA$16="D",CA1&gt;=35,'2-man'!CA$15&lt;=IF('2-man'!$BF$4="",999,'2-man'!$BF$4)),CA1-35,IF(AND(LEFT('2-man'!CA$16,3)="ST&gt;",CA1&gt;=100,'2-man'!CA$15&lt;=IF('2-man'!$BF$4="",999,'2-man'!$BF$4)),0,IF(AND(OR(AND('2-man'!CA$17="ST&gt;1",CA9&gt;=100)),'2-man'!CA$15&lt;=IF('2-man'!$BF$4="",999,'2-man'!$BF$4)),100,CA1)))))</f>
        <v/>
      </c>
      <c r="CB2">
        <f>IF('2-man'!CB$16="R",MIN(100,CB1+10),IF('2-man'!CB$16="P",MIN(100,CB1+25),IF(AND('2-man'!CB$16="D",CB1&gt;=35,'2-man'!CB$15&lt;=IF('2-man'!$BF$4="",999,'2-man'!$BF$4)),CB1-35,IF(AND(LEFT('2-man'!CB$16,3)="ST&gt;",CB1&gt;=100,'2-man'!CB$15&lt;=IF('2-man'!$BF$4="",999,'2-man'!$BF$4)),0,IF(AND(OR(AND('2-man'!CB$17="ST&gt;1",CB9&gt;=100)),'2-man'!CB$15&lt;=IF('2-man'!$BF$4="",999,'2-man'!$BF$4)),100,CB1)))))</f>
        <v/>
      </c>
      <c r="CC2">
        <f>IF('2-man'!CC$16="R",MIN(100,CC1+10),IF('2-man'!CC$16="P",MIN(100,CC1+25),IF(AND('2-man'!CC$16="D",CC1&gt;=35,'2-man'!CC$15&lt;=IF('2-man'!$BF$4="",999,'2-man'!$BF$4)),CC1-35,IF(AND(LEFT('2-man'!CC$16,3)="ST&gt;",CC1&gt;=100,'2-man'!CC$15&lt;=IF('2-man'!$BF$4="",999,'2-man'!$BF$4)),0,IF(AND(OR(AND('2-man'!CC$17="ST&gt;1",CC9&gt;=100)),'2-man'!CC$15&lt;=IF('2-man'!$BF$4="",999,'2-man'!$BF$4)),100,CC1)))))</f>
        <v/>
      </c>
      <c r="CD2">
        <f>IF('2-man'!CD$16="R",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IF('2-man'!C$16="R",0,IF(B2&gt;=100,0,IF(B3+1&gt;=IF(OR('2-man'!$F$4=TRUE,'2-man'!$F$4="TRUE",'2-man'!$F$4="Yes"),25,50),0,B3+1)))</f>
        <v/>
      </c>
      <c r="D3">
        <f>IF('2-man'!D$16="R",0,IF(C2&gt;=100,0,IF(C3+1&gt;=IF(OR('2-man'!$F$4=TRUE,'2-man'!$F$4="TRUE",'2-man'!$F$4="Yes"),25,50),0,C3+1)))</f>
        <v/>
      </c>
      <c r="E3">
        <f>IF('2-man'!E$16="R",0,IF(D2&gt;=100,0,IF(D3+1&gt;=IF(OR('2-man'!$F$4=TRUE,'2-man'!$F$4="TRUE",'2-man'!$F$4="Yes"),25,50),0,D3+1)))</f>
        <v/>
      </c>
      <c r="F3">
        <f>IF('2-man'!F$16="R",0,IF(E2&gt;=100,0,IF(E3+1&gt;=IF(OR('2-man'!$F$4=TRUE,'2-man'!$F$4="TRUE",'2-man'!$F$4="Yes"),25,50),0,E3+1)))</f>
        <v/>
      </c>
      <c r="G3">
        <f>IF('2-man'!G$16="R",0,IF(F2&gt;=100,0,IF(F3+1&gt;=IF(OR('2-man'!$F$4=TRUE,'2-man'!$F$4="TRUE",'2-man'!$F$4="Yes"),25,50),0,F3+1)))</f>
        <v/>
      </c>
      <c r="H3">
        <f>IF('2-man'!H$16="R",0,IF(G2&gt;=100,0,IF(G3+1&gt;=IF(OR('2-man'!$F$4=TRUE,'2-man'!$F$4="TRUE",'2-man'!$F$4="Yes"),25,50),0,G3+1)))</f>
        <v/>
      </c>
      <c r="I3">
        <f>IF('2-man'!I$16="R",0,IF(H2&gt;=100,0,IF(H3+1&gt;=IF(OR('2-man'!$F$4=TRUE,'2-man'!$F$4="TRUE",'2-man'!$F$4="Yes"),25,50),0,H3+1)))</f>
        <v/>
      </c>
      <c r="J3">
        <f>IF('2-man'!J$16="R",0,IF(I2&gt;=100,0,IF(I3+1&gt;=IF(OR('2-man'!$F$4=TRUE,'2-man'!$F$4="TRUE",'2-man'!$F$4="Yes"),25,50),0,I3+1)))</f>
        <v/>
      </c>
      <c r="K3">
        <f>IF('2-man'!K$16="R",0,IF(J2&gt;=100,0,IF(J3+1&gt;=IF(OR('2-man'!$F$4=TRUE,'2-man'!$F$4="TRUE",'2-man'!$F$4="Yes"),25,50),0,J3+1)))</f>
        <v/>
      </c>
      <c r="L3">
        <f>IF('2-man'!L$16="R",0,IF(K2&gt;=100,0,IF(K3+1&gt;=IF(OR('2-man'!$F$4=TRUE,'2-man'!$F$4="TRUE",'2-man'!$F$4="Yes"),25,50),0,K3+1)))</f>
        <v/>
      </c>
      <c r="M3">
        <f>IF('2-man'!M$16="R",0,IF(L2&gt;=100,0,IF(L3+1&gt;=IF(OR('2-man'!$F$4=TRUE,'2-man'!$F$4="TRUE",'2-man'!$F$4="Yes"),25,50),0,L3+1)))</f>
        <v/>
      </c>
      <c r="N3">
        <f>IF('2-man'!N$16="R",0,IF(M2&gt;=100,0,IF(M3+1&gt;=IF(OR('2-man'!$F$4=TRUE,'2-man'!$F$4="TRUE",'2-man'!$F$4="Yes"),25,50),0,M3+1)))</f>
        <v/>
      </c>
      <c r="O3">
        <f>IF('2-man'!O$16="R",0,IF(N2&gt;=100,0,IF(N3+1&gt;=IF(OR('2-man'!$F$4=TRUE,'2-man'!$F$4="TRUE",'2-man'!$F$4="Yes"),25,50),0,N3+1)))</f>
        <v/>
      </c>
      <c r="P3">
        <f>IF('2-man'!P$16="R",0,IF(O2&gt;=100,0,IF(O3+1&gt;=IF(OR('2-man'!$F$4=TRUE,'2-man'!$F$4="TRUE",'2-man'!$F$4="Yes"),25,50),0,O3+1)))</f>
        <v/>
      </c>
      <c r="Q3">
        <f>IF('2-man'!Q$16="R",0,IF(P2&gt;=100,0,IF(P3+1&gt;=IF(OR('2-man'!$F$4=TRUE,'2-man'!$F$4="TRUE",'2-man'!$F$4="Yes"),25,50),0,P3+1)))</f>
        <v/>
      </c>
      <c r="R3">
        <f>IF('2-man'!R$16="R",0,IF(Q2&gt;=100,0,IF(Q3+1&gt;=IF(OR('2-man'!$F$4=TRUE,'2-man'!$F$4="TRUE",'2-man'!$F$4="Yes"),25,50),0,Q3+1)))</f>
        <v/>
      </c>
      <c r="S3">
        <f>IF('2-man'!S$16="R",0,IF(R2&gt;=100,0,IF(R3+1&gt;=IF(OR('2-man'!$F$4=TRUE,'2-man'!$F$4="TRUE",'2-man'!$F$4="Yes"),25,50),0,R3+1)))</f>
        <v/>
      </c>
      <c r="T3">
        <f>IF('2-man'!T$16="R",0,IF(S2&gt;=100,0,IF(S3+1&gt;=IF(OR('2-man'!$F$4=TRUE,'2-man'!$F$4="TRUE",'2-man'!$F$4="Yes"),25,50),0,S3+1)))</f>
        <v/>
      </c>
      <c r="U3">
        <f>IF('2-man'!U$16="R",0,IF(T2&gt;=100,0,IF(T3+1&gt;=IF(OR('2-man'!$F$4=TRUE,'2-man'!$F$4="TRUE",'2-man'!$F$4="Yes"),25,50),0,T3+1)))</f>
        <v/>
      </c>
      <c r="V3">
        <f>IF('2-man'!V$16="R",0,IF(U2&gt;=100,0,IF(U3+1&gt;=IF(OR('2-man'!$F$4=TRUE,'2-man'!$F$4="TRUE",'2-man'!$F$4="Yes"),25,50),0,U3+1)))</f>
        <v/>
      </c>
      <c r="W3">
        <f>IF('2-man'!W$16="R",0,IF(V2&gt;=100,0,IF(V3+1&gt;=IF(OR('2-man'!$F$4=TRUE,'2-man'!$F$4="TRUE",'2-man'!$F$4="Yes"),25,50),0,V3+1)))</f>
        <v/>
      </c>
      <c r="X3">
        <f>IF('2-man'!X$16="R",0,IF(W2&gt;=100,0,IF(W3+1&gt;=IF(OR('2-man'!$F$4=TRUE,'2-man'!$F$4="TRUE",'2-man'!$F$4="Yes"),25,50),0,W3+1)))</f>
        <v/>
      </c>
      <c r="Y3">
        <f>IF('2-man'!Y$16="R",0,IF(X2&gt;=100,0,IF(X3+1&gt;=IF(OR('2-man'!$F$4=TRUE,'2-man'!$F$4="TRUE",'2-man'!$F$4="Yes"),25,50),0,X3+1)))</f>
        <v/>
      </c>
      <c r="Z3">
        <f>IF('2-man'!Z$16="R",0,IF(Y2&gt;=100,0,IF(Y3+1&gt;=IF(OR('2-man'!$F$4=TRUE,'2-man'!$F$4="TRUE",'2-man'!$F$4="Yes"),25,50),0,Y3+1)))</f>
        <v/>
      </c>
      <c r="AA3">
        <f>IF('2-man'!AA$16="R",0,IF(Z2&gt;=100,0,IF(Z3+1&gt;=IF(OR('2-man'!$F$4=TRUE,'2-man'!$F$4="TRUE",'2-man'!$F$4="Yes"),25,50),0,Z3+1)))</f>
        <v/>
      </c>
      <c r="AB3">
        <f>IF('2-man'!AB$16="R",0,IF(AA2&gt;=100,0,IF(AA3+1&gt;=IF(OR('2-man'!$F$4=TRUE,'2-man'!$F$4="TRUE",'2-man'!$F$4="Yes"),25,50),0,AA3+1)))</f>
        <v/>
      </c>
      <c r="AC3">
        <f>IF('2-man'!AC$16="R",0,IF(AB2&gt;=100,0,IF(AB3+1&gt;=IF(OR('2-man'!$F$4=TRUE,'2-man'!$F$4="TRUE",'2-man'!$F$4="Yes"),25,50),0,AB3+1)))</f>
        <v/>
      </c>
      <c r="AD3">
        <f>IF('2-man'!AD$16="R",0,IF(AC2&gt;=100,0,IF(AC3+1&gt;=IF(OR('2-man'!$F$4=TRUE,'2-man'!$F$4="TRUE",'2-man'!$F$4="Yes"),25,50),0,AC3+1)))</f>
        <v/>
      </c>
      <c r="AE3">
        <f>IF('2-man'!AE$16="R",0,IF(AD2&gt;=100,0,IF(AD3+1&gt;=IF(OR('2-man'!$F$4=TRUE,'2-man'!$F$4="TRUE",'2-man'!$F$4="Yes"),25,50),0,AD3+1)))</f>
        <v/>
      </c>
      <c r="AF3">
        <f>IF('2-man'!AF$16="R",0,IF(AE2&gt;=100,0,IF(AE3+1&gt;=IF(OR('2-man'!$F$4=TRUE,'2-man'!$F$4="TRUE",'2-man'!$F$4="Yes"),25,50),0,AE3+1)))</f>
        <v/>
      </c>
      <c r="AG3">
        <f>IF('2-man'!AG$16="R",0,IF(AF2&gt;=100,0,IF(AF3+1&gt;=IF(OR('2-man'!$F$4=TRUE,'2-man'!$F$4="TRUE",'2-man'!$F$4="Yes"),25,50),0,AF3+1)))</f>
        <v/>
      </c>
      <c r="AH3">
        <f>IF('2-man'!AH$16="R",0,IF(AG2&gt;=100,0,IF(AG3+1&gt;=IF(OR('2-man'!$F$4=TRUE,'2-man'!$F$4="TRUE",'2-man'!$F$4="Yes"),25,50),0,AG3+1)))</f>
        <v/>
      </c>
      <c r="AI3">
        <f>IF('2-man'!AI$16="R",0,IF(AH2&gt;=100,0,IF(AH3+1&gt;=IF(OR('2-man'!$F$4=TRUE,'2-man'!$F$4="TRUE",'2-man'!$F$4="Yes"),25,50),0,AH3+1)))</f>
        <v/>
      </c>
      <c r="AJ3">
        <f>IF('2-man'!AJ$16="R",0,IF(AI2&gt;=100,0,IF(AI3+1&gt;=IF(OR('2-man'!$F$4=TRUE,'2-man'!$F$4="TRUE",'2-man'!$F$4="Yes"),25,50),0,AI3+1)))</f>
        <v/>
      </c>
      <c r="AK3">
        <f>IF('2-man'!AK$16="R",0,IF(AJ2&gt;=100,0,IF(AJ3+1&gt;=IF(OR('2-man'!$F$4=TRUE,'2-man'!$F$4="TRUE",'2-man'!$F$4="Yes"),25,50),0,AJ3+1)))</f>
        <v/>
      </c>
      <c r="AL3">
        <f>IF('2-man'!AL$16="R",0,IF(AK2&gt;=100,0,IF(AK3+1&gt;=IF(OR('2-man'!$F$4=TRUE,'2-man'!$F$4="TRUE",'2-man'!$F$4="Yes"),25,50),0,AK3+1)))</f>
        <v/>
      </c>
      <c r="AM3">
        <f>IF('2-man'!AM$16="R",0,IF(AL2&gt;=100,0,IF(AL3+1&gt;=IF(OR('2-man'!$F$4=TRUE,'2-man'!$F$4="TRUE",'2-man'!$F$4="Yes"),25,50),0,AL3+1)))</f>
        <v/>
      </c>
      <c r="AN3">
        <f>IF('2-man'!AN$16="R",0,IF(AM2&gt;=100,0,IF(AM3+1&gt;=IF(OR('2-man'!$F$4=TRUE,'2-man'!$F$4="TRUE",'2-man'!$F$4="Yes"),25,50),0,AM3+1)))</f>
        <v/>
      </c>
      <c r="AO3">
        <f>IF('2-man'!AO$16="R",0,IF(AN2&gt;=100,0,IF(AN3+1&gt;=IF(OR('2-man'!$F$4=TRUE,'2-man'!$F$4="TRUE",'2-man'!$F$4="Yes"),25,50),0,AN3+1)))</f>
        <v/>
      </c>
      <c r="AP3">
        <f>IF('2-man'!AP$16="R",0,IF(AO2&gt;=100,0,IF(AO3+1&gt;=IF(OR('2-man'!$F$4=TRUE,'2-man'!$F$4="TRUE",'2-man'!$F$4="Yes"),25,50),0,AO3+1)))</f>
        <v/>
      </c>
      <c r="AQ3">
        <f>IF('2-man'!AQ$16="R",0,IF(AP2&gt;=100,0,IF(AP3+1&gt;=IF(OR('2-man'!$F$4=TRUE,'2-man'!$F$4="TRUE",'2-man'!$F$4="Yes"),25,50),0,AP3+1)))</f>
        <v/>
      </c>
      <c r="AR3">
        <f>IF('2-man'!AR$16="R",0,IF(AQ2&gt;=100,0,IF(AQ3+1&gt;=IF(OR('2-man'!$F$4=TRUE,'2-man'!$F$4="TRUE",'2-man'!$F$4="Yes"),25,50),0,AQ3+1)))</f>
        <v/>
      </c>
      <c r="AS3">
        <f>IF('2-man'!AS$16="R",0,IF(AR2&gt;=100,0,IF(AR3+1&gt;=IF(OR('2-man'!$F$4=TRUE,'2-man'!$F$4="TRUE",'2-man'!$F$4="Yes"),25,50),0,AR3+1)))</f>
        <v/>
      </c>
      <c r="AT3">
        <f>IF('2-man'!AT$16="R",0,IF(AS2&gt;=100,0,IF(AS3+1&gt;=IF(OR('2-man'!$F$4=TRUE,'2-man'!$F$4="TRUE",'2-man'!$F$4="Yes"),25,50),0,AS3+1)))</f>
        <v/>
      </c>
      <c r="AU3">
        <f>IF('2-man'!AU$16="R",0,IF(AT2&gt;=100,0,IF(AT3+1&gt;=IF(OR('2-man'!$F$4=TRUE,'2-man'!$F$4="TRUE",'2-man'!$F$4="Yes"),25,50),0,AT3+1)))</f>
        <v/>
      </c>
      <c r="AV3">
        <f>IF('2-man'!AV$16="R",0,IF(AU2&gt;=100,0,IF(AU3+1&gt;=IF(OR('2-man'!$F$4=TRUE,'2-man'!$F$4="TRUE",'2-man'!$F$4="Yes"),25,50),0,AU3+1)))</f>
        <v/>
      </c>
      <c r="AW3">
        <f>IF('2-man'!AW$16="R",0,IF(AV2&gt;=100,0,IF(AV3+1&gt;=IF(OR('2-man'!$F$4=TRUE,'2-man'!$F$4="TRUE",'2-man'!$F$4="Yes"),25,50),0,AV3+1)))</f>
        <v/>
      </c>
      <c r="AX3">
        <f>IF('2-man'!AX$16="R",0,IF(AW2&gt;=100,0,IF(AW3+1&gt;=IF(OR('2-man'!$F$4=TRUE,'2-man'!$F$4="TRUE",'2-man'!$F$4="Yes"),25,50),0,AW3+1)))</f>
        <v/>
      </c>
      <c r="AY3">
        <f>IF('2-man'!AY$16="R",0,IF(AX2&gt;=100,0,IF(AX3+1&gt;=IF(OR('2-man'!$F$4=TRUE,'2-man'!$F$4="TRUE",'2-man'!$F$4="Yes"),25,50),0,AX3+1)))</f>
        <v/>
      </c>
      <c r="AZ3">
        <f>IF('2-man'!AZ$16="R",0,IF(AY2&gt;=100,0,IF(AY3+1&gt;=IF(OR('2-man'!$F$4=TRUE,'2-man'!$F$4="TRUE",'2-man'!$F$4="Yes"),25,50),0,AY3+1)))</f>
        <v/>
      </c>
      <c r="BA3">
        <f>IF('2-man'!BA$16="R",0,IF(AZ2&gt;=100,0,IF(AZ3+1&gt;=IF(OR('2-man'!$F$4=TRUE,'2-man'!$F$4="TRUE",'2-man'!$F$4="Yes"),25,50),0,AZ3+1)))</f>
        <v/>
      </c>
      <c r="BB3">
        <f>IF('2-man'!BB$16="R",0,IF(BA2&gt;=100,0,IF(BA3+1&gt;=IF(OR('2-man'!$F$4=TRUE,'2-man'!$F$4="TRUE",'2-man'!$F$4="Yes"),25,50),0,BA3+1)))</f>
        <v/>
      </c>
      <c r="BC3">
        <f>IF('2-man'!BC$16="R",0,IF(BB2&gt;=100,0,IF(BB3+1&gt;=IF(OR('2-man'!$F$4=TRUE,'2-man'!$F$4="TRUE",'2-man'!$F$4="Yes"),25,50),0,BB3+1)))</f>
        <v/>
      </c>
      <c r="BD3">
        <f>IF('2-man'!BD$16="R",0,IF(BC2&gt;=100,0,IF(BC3+1&gt;=IF(OR('2-man'!$F$4=TRUE,'2-man'!$F$4="TRUE",'2-man'!$F$4="Yes"),25,50),0,BC3+1)))</f>
        <v/>
      </c>
      <c r="BE3">
        <f>IF('2-man'!BE$16="R",0,IF(BD2&gt;=100,0,IF(BD3+1&gt;=IF(OR('2-man'!$F$4=TRUE,'2-man'!$F$4="TRUE",'2-man'!$F$4="Yes"),25,50),0,BD3+1)))</f>
        <v/>
      </c>
      <c r="BF3">
        <f>IF('2-man'!BF$16="R",0,IF(BE2&gt;=100,0,IF(BE3+1&gt;=IF(OR('2-man'!$F$4=TRUE,'2-man'!$F$4="TRUE",'2-man'!$F$4="Yes"),25,50),0,BE3+1)))</f>
        <v/>
      </c>
      <c r="BG3">
        <f>IF('2-man'!BG$16="R",0,IF(BF2&gt;=100,0,IF(BF3+1&gt;=IF(OR('2-man'!$F$4=TRUE,'2-man'!$F$4="TRUE",'2-man'!$F$4="Yes"),25,50),0,BF3+1)))</f>
        <v/>
      </c>
      <c r="BH3">
        <f>IF('2-man'!BH$16="R",0,IF(BG2&gt;=100,0,IF(BG3+1&gt;=IF(OR('2-man'!$F$4=TRUE,'2-man'!$F$4="TRUE",'2-man'!$F$4="Yes"),25,50),0,BG3+1)))</f>
        <v/>
      </c>
      <c r="BI3">
        <f>IF('2-man'!BI$16="R",0,IF(BH2&gt;=100,0,IF(BH3+1&gt;=IF(OR('2-man'!$F$4=TRUE,'2-man'!$F$4="TRUE",'2-man'!$F$4="Yes"),25,50),0,BH3+1)))</f>
        <v/>
      </c>
      <c r="BJ3">
        <f>IF('2-man'!BJ$16="R",0,IF(BI2&gt;=100,0,IF(BI3+1&gt;=IF(OR('2-man'!$F$4=TRUE,'2-man'!$F$4="TRUE",'2-man'!$F$4="Yes"),25,50),0,BI3+1)))</f>
        <v/>
      </c>
      <c r="BK3">
        <f>IF('2-man'!BK$16="R",0,IF(BJ2&gt;=100,0,IF(BJ3+1&gt;=IF(OR('2-man'!$F$4=TRUE,'2-man'!$F$4="TRUE",'2-man'!$F$4="Yes"),25,50),0,BJ3+1)))</f>
        <v/>
      </c>
      <c r="BL3">
        <f>IF('2-man'!BL$16="R",0,IF(BK2&gt;=100,0,IF(BK3+1&gt;=IF(OR('2-man'!$F$4=TRUE,'2-man'!$F$4="TRUE",'2-man'!$F$4="Yes"),25,50),0,BK3+1)))</f>
        <v/>
      </c>
      <c r="BM3">
        <f>IF('2-man'!BM$16="R",0,IF(BL2&gt;=100,0,IF(BL3+1&gt;=IF(OR('2-man'!$F$4=TRUE,'2-man'!$F$4="TRUE",'2-man'!$F$4="Yes"),25,50),0,BL3+1)))</f>
        <v/>
      </c>
      <c r="BN3">
        <f>IF('2-man'!BN$16="R",0,IF(BM2&gt;=100,0,IF(BM3+1&gt;=IF(OR('2-man'!$F$4=TRUE,'2-man'!$F$4="TRUE",'2-man'!$F$4="Yes"),25,50),0,BM3+1)))</f>
        <v/>
      </c>
      <c r="BO3">
        <f>IF('2-man'!BO$16="R",0,IF(BN2&gt;=100,0,IF(BN3+1&gt;=IF(OR('2-man'!$F$4=TRUE,'2-man'!$F$4="TRUE",'2-man'!$F$4="Yes"),25,50),0,BN3+1)))</f>
        <v/>
      </c>
      <c r="BP3">
        <f>IF('2-man'!BP$16="R",0,IF(BO2&gt;=100,0,IF(BO3+1&gt;=IF(OR('2-man'!$F$4=TRUE,'2-man'!$F$4="TRUE",'2-man'!$F$4="Yes"),25,50),0,BO3+1)))</f>
        <v/>
      </c>
      <c r="BQ3">
        <f>IF('2-man'!BQ$16="R",0,IF(BP2&gt;=100,0,IF(BP3+1&gt;=IF(OR('2-man'!$F$4=TRUE,'2-man'!$F$4="TRUE",'2-man'!$F$4="Yes"),25,50),0,BP3+1)))</f>
        <v/>
      </c>
      <c r="BR3">
        <f>IF('2-man'!BR$16="R",0,IF(BQ2&gt;=100,0,IF(BQ3+1&gt;=IF(OR('2-man'!$F$4=TRUE,'2-man'!$F$4="TRUE",'2-man'!$F$4="Yes"),25,50),0,BQ3+1)))</f>
        <v/>
      </c>
      <c r="BS3">
        <f>IF('2-man'!BS$16="R",0,IF(BR2&gt;=100,0,IF(BR3+1&gt;=IF(OR('2-man'!$F$4=TRUE,'2-man'!$F$4="TRUE",'2-man'!$F$4="Yes"),25,50),0,BR3+1)))</f>
        <v/>
      </c>
      <c r="BT3">
        <f>IF('2-man'!BT$16="R",0,IF(BS2&gt;=100,0,IF(BS3+1&gt;=IF(OR('2-man'!$F$4=TRUE,'2-man'!$F$4="TRUE",'2-man'!$F$4="Yes"),25,50),0,BS3+1)))</f>
        <v/>
      </c>
      <c r="BU3">
        <f>IF('2-man'!BU$16="R",0,IF(BT2&gt;=100,0,IF(BT3+1&gt;=IF(OR('2-man'!$F$4=TRUE,'2-man'!$F$4="TRUE",'2-man'!$F$4="Yes"),25,50),0,BT3+1)))</f>
        <v/>
      </c>
      <c r="BV3">
        <f>IF('2-man'!BV$16="R",0,IF(BU2&gt;=100,0,IF(BU3+1&gt;=IF(OR('2-man'!$F$4=TRUE,'2-man'!$F$4="TRUE",'2-man'!$F$4="Yes"),25,50),0,BU3+1)))</f>
        <v/>
      </c>
      <c r="BW3">
        <f>IF('2-man'!BW$16="R",0,IF(BV2&gt;=100,0,IF(BV3+1&gt;=IF(OR('2-man'!$F$4=TRUE,'2-man'!$F$4="TRUE",'2-man'!$F$4="Yes"),25,50),0,BV3+1)))</f>
        <v/>
      </c>
      <c r="BX3">
        <f>IF('2-man'!BX$16="R",0,IF(BW2&gt;=100,0,IF(BW3+1&gt;=IF(OR('2-man'!$F$4=TRUE,'2-man'!$F$4="TRUE",'2-man'!$F$4="Yes"),25,50),0,BW3+1)))</f>
        <v/>
      </c>
      <c r="BY3">
        <f>IF('2-man'!BY$16="R",0,IF(BX2&gt;=100,0,IF(BX3+1&gt;=IF(OR('2-man'!$F$4=TRUE,'2-man'!$F$4="TRUE",'2-man'!$F$4="Yes"),25,50),0,BX3+1)))</f>
        <v/>
      </c>
      <c r="BZ3">
        <f>IF('2-man'!BZ$16="R",0,IF(BY2&gt;=100,0,IF(BY3+1&gt;=IF(OR('2-man'!$F$4=TRUE,'2-man'!$F$4="TRUE",'2-man'!$F$4="Yes"),25,50),0,BY3+1)))</f>
        <v/>
      </c>
      <c r="CA3">
        <f>IF('2-man'!CA$16="R",0,IF(BZ2&gt;=100,0,IF(BZ3+1&gt;=IF(OR('2-man'!$F$4=TRUE,'2-man'!$F$4="TRUE",'2-man'!$F$4="Yes"),25,50),0,BZ3+1)))</f>
        <v/>
      </c>
      <c r="CB3">
        <f>IF('2-man'!CB$16="R",0,IF(CA2&gt;=100,0,IF(CA3+1&gt;=IF(OR('2-man'!$F$4=TRUE,'2-man'!$F$4="TRUE",'2-man'!$F$4="Yes"),25,50),0,CA3+1)))</f>
        <v/>
      </c>
      <c r="CC3">
        <f>IF('2-man'!CC$16="R",0,IF(CB2&gt;=100,0,IF(CB3+1&gt;=IF(OR('2-man'!$F$4=TRUE,'2-man'!$F$4="TRUE",'2-man'!$F$4="Yes"),25,50),0,CB3+1)))</f>
        <v/>
      </c>
      <c r="CD3">
        <f>IF('2-man'!CD$16="R",0,IF(CC2&gt;=100,0,IF(CC3+1&gt;=IF(OR('2-man'!$F$4=TRUE,'2-man'!$F$4="TRUE",'2-man'!$F$4="Yes"),25,50),0,CC3+1)))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row>
    <row r="8">
      <c r="A8" t="inlineStr">
        <is>
          <t>P1 act</t>
        </is>
      </c>
      <c r="C8">
        <f>IF(OR('2-man'!C$16="P",'2-man'!C$16="R",AND('2-man'!C$15&lt;=IF('2-man'!$BF$4="",999,'2-man'!$BF$4),OR('2-man'!C$16="D",LEFT('2-man'!C$16,3)="ST&gt;",OR(AND('2-man'!C$17="ST&gt;1",C9&gt;=100))))),'2-man'!C$15,0)</f>
        <v/>
      </c>
      <c r="D8">
        <f>IF(OR('2-man'!D$16="P",'2-man'!D$16="R",AND('2-man'!D$15&lt;=IF('2-man'!$BF$4="",999,'2-man'!$BF$4),OR('2-man'!D$16="D",LEFT('2-man'!D$16,3)="ST&gt;",OR(AND('2-man'!D$17="ST&gt;1",D9&gt;=100))))),'2-man'!D$15,0)</f>
        <v/>
      </c>
      <c r="E8">
        <f>IF(OR('2-man'!E$16="P",'2-man'!E$16="R",AND('2-man'!E$15&lt;=IF('2-man'!$BF$4="",999,'2-man'!$BF$4),OR('2-man'!E$16="D",LEFT('2-man'!E$16,3)="ST&gt;",OR(AND('2-man'!E$17="ST&gt;1",E9&gt;=100))))),'2-man'!E$15,0)</f>
        <v/>
      </c>
      <c r="F8">
        <f>IF(OR('2-man'!F$16="P",'2-man'!F$16="R",AND('2-man'!F$15&lt;=IF('2-man'!$BF$4="",999,'2-man'!$BF$4),OR('2-man'!F$16="D",LEFT('2-man'!F$16,3)="ST&gt;",OR(AND('2-man'!F$17="ST&gt;1",F9&gt;=100))))),'2-man'!F$15,0)</f>
        <v/>
      </c>
      <c r="G8">
        <f>IF(OR('2-man'!G$16="P",'2-man'!G$16="R",AND('2-man'!G$15&lt;=IF('2-man'!$BF$4="",999,'2-man'!$BF$4),OR('2-man'!G$16="D",LEFT('2-man'!G$16,3)="ST&gt;",OR(AND('2-man'!G$17="ST&gt;1",G9&gt;=100))))),'2-man'!G$15,0)</f>
        <v/>
      </c>
      <c r="H8">
        <f>IF(OR('2-man'!H$16="P",'2-man'!H$16="R",AND('2-man'!H$15&lt;=IF('2-man'!$BF$4="",999,'2-man'!$BF$4),OR('2-man'!H$16="D",LEFT('2-man'!H$16,3)="ST&gt;",OR(AND('2-man'!H$17="ST&gt;1",H9&gt;=100))))),'2-man'!H$15,0)</f>
        <v/>
      </c>
      <c r="I8">
        <f>IF(OR('2-man'!I$16="P",'2-man'!I$16="R",AND('2-man'!I$15&lt;=IF('2-man'!$BF$4="",999,'2-man'!$BF$4),OR('2-man'!I$16="D",LEFT('2-man'!I$16,3)="ST&gt;",OR(AND('2-man'!I$17="ST&gt;1",I9&gt;=100))))),'2-man'!I$15,0)</f>
        <v/>
      </c>
      <c r="J8">
        <f>IF(OR('2-man'!J$16="P",'2-man'!J$16="R",AND('2-man'!J$15&lt;=IF('2-man'!$BF$4="",999,'2-man'!$BF$4),OR('2-man'!J$16="D",LEFT('2-man'!J$16,3)="ST&gt;",OR(AND('2-man'!J$17="ST&gt;1",J9&gt;=100))))),'2-man'!J$15,0)</f>
        <v/>
      </c>
      <c r="K8">
        <f>IF(OR('2-man'!K$16="P",'2-man'!K$16="R",AND('2-man'!K$15&lt;=IF('2-man'!$BF$4="",999,'2-man'!$BF$4),OR('2-man'!K$16="D",LEFT('2-man'!K$16,3)="ST&gt;",OR(AND('2-man'!K$17="ST&gt;1",K9&gt;=100))))),'2-man'!K$15,0)</f>
        <v/>
      </c>
      <c r="L8">
        <f>IF(OR('2-man'!L$16="P",'2-man'!L$16="R",AND('2-man'!L$15&lt;=IF('2-man'!$BF$4="",999,'2-man'!$BF$4),OR('2-man'!L$16="D",LEFT('2-man'!L$16,3)="ST&gt;",OR(AND('2-man'!L$17="ST&gt;1",L9&gt;=100))))),'2-man'!L$15,0)</f>
        <v/>
      </c>
      <c r="M8">
        <f>IF(OR('2-man'!M$16="P",'2-man'!M$16="R",AND('2-man'!M$15&lt;=IF('2-man'!$BF$4="",999,'2-man'!$BF$4),OR('2-man'!M$16="D",LEFT('2-man'!M$16,3)="ST&gt;",OR(AND('2-man'!M$17="ST&gt;1",M9&gt;=100))))),'2-man'!M$15,0)</f>
        <v/>
      </c>
      <c r="N8">
        <f>IF(OR('2-man'!N$16="P",'2-man'!N$16="R",AND('2-man'!N$15&lt;=IF('2-man'!$BF$4="",999,'2-man'!$BF$4),OR('2-man'!N$16="D",LEFT('2-man'!N$16,3)="ST&gt;",OR(AND('2-man'!N$17="ST&gt;1",N9&gt;=100))))),'2-man'!N$15,0)</f>
        <v/>
      </c>
      <c r="O8">
        <f>IF(OR('2-man'!O$16="P",'2-man'!O$16="R",AND('2-man'!O$15&lt;=IF('2-man'!$BF$4="",999,'2-man'!$BF$4),OR('2-man'!O$16="D",LEFT('2-man'!O$16,3)="ST&gt;",OR(AND('2-man'!O$17="ST&gt;1",O9&gt;=100))))),'2-man'!O$15,0)</f>
        <v/>
      </c>
      <c r="P8">
        <f>IF(OR('2-man'!P$16="P",'2-man'!P$16="R",AND('2-man'!P$15&lt;=IF('2-man'!$BF$4="",999,'2-man'!$BF$4),OR('2-man'!P$16="D",LEFT('2-man'!P$16,3)="ST&gt;",OR(AND('2-man'!P$17="ST&gt;1",P9&gt;=100))))),'2-man'!P$15,0)</f>
        <v/>
      </c>
      <c r="Q8">
        <f>IF(OR('2-man'!Q$16="P",'2-man'!Q$16="R",AND('2-man'!Q$15&lt;=IF('2-man'!$BF$4="",999,'2-man'!$BF$4),OR('2-man'!Q$16="D",LEFT('2-man'!Q$16,3)="ST&gt;",OR(AND('2-man'!Q$17="ST&gt;1",Q9&gt;=100))))),'2-man'!Q$15,0)</f>
        <v/>
      </c>
      <c r="R8">
        <f>IF(OR('2-man'!R$16="P",'2-man'!R$16="R",AND('2-man'!R$15&lt;=IF('2-man'!$BF$4="",999,'2-man'!$BF$4),OR('2-man'!R$16="D",LEFT('2-man'!R$16,3)="ST&gt;",OR(AND('2-man'!R$17="ST&gt;1",R9&gt;=100))))),'2-man'!R$15,0)</f>
        <v/>
      </c>
      <c r="S8">
        <f>IF(OR('2-man'!S$16="P",'2-man'!S$16="R",AND('2-man'!S$15&lt;=IF('2-man'!$BF$4="",999,'2-man'!$BF$4),OR('2-man'!S$16="D",LEFT('2-man'!S$16,3)="ST&gt;",OR(AND('2-man'!S$17="ST&gt;1",S9&gt;=100))))),'2-man'!S$15,0)</f>
        <v/>
      </c>
      <c r="T8">
        <f>IF(OR('2-man'!T$16="P",'2-man'!T$16="R",AND('2-man'!T$15&lt;=IF('2-man'!$BF$4="",999,'2-man'!$BF$4),OR('2-man'!T$16="D",LEFT('2-man'!T$16,3)="ST&gt;",OR(AND('2-man'!T$17="ST&gt;1",T9&gt;=100))))),'2-man'!T$15,0)</f>
        <v/>
      </c>
      <c r="U8">
        <f>IF(OR('2-man'!U$16="P",'2-man'!U$16="R",AND('2-man'!U$15&lt;=IF('2-man'!$BF$4="",999,'2-man'!$BF$4),OR('2-man'!U$16="D",LEFT('2-man'!U$16,3)="ST&gt;",OR(AND('2-man'!U$17="ST&gt;1",U9&gt;=100))))),'2-man'!U$15,0)</f>
        <v/>
      </c>
      <c r="V8">
        <f>IF(OR('2-man'!V$16="P",'2-man'!V$16="R",AND('2-man'!V$15&lt;=IF('2-man'!$BF$4="",999,'2-man'!$BF$4),OR('2-man'!V$16="D",LEFT('2-man'!V$16,3)="ST&gt;",OR(AND('2-man'!V$17="ST&gt;1",V9&gt;=100))))),'2-man'!V$15,0)</f>
        <v/>
      </c>
      <c r="W8">
        <f>IF(OR('2-man'!W$16="P",'2-man'!W$16="R",AND('2-man'!W$15&lt;=IF('2-man'!$BF$4="",999,'2-man'!$BF$4),OR('2-man'!W$16="D",LEFT('2-man'!W$16,3)="ST&gt;",OR(AND('2-man'!W$17="ST&gt;1",W9&gt;=100))))),'2-man'!W$15,0)</f>
        <v/>
      </c>
      <c r="X8">
        <f>IF(OR('2-man'!X$16="P",'2-man'!X$16="R",AND('2-man'!X$15&lt;=IF('2-man'!$BF$4="",999,'2-man'!$BF$4),OR('2-man'!X$16="D",LEFT('2-man'!X$16,3)="ST&gt;",OR(AND('2-man'!X$17="ST&gt;1",X9&gt;=100))))),'2-man'!X$15,0)</f>
        <v/>
      </c>
      <c r="Y8">
        <f>IF(OR('2-man'!Y$16="P",'2-man'!Y$16="R",AND('2-man'!Y$15&lt;=IF('2-man'!$BF$4="",999,'2-man'!$BF$4),OR('2-man'!Y$16="D",LEFT('2-man'!Y$16,3)="ST&gt;",OR(AND('2-man'!Y$17="ST&gt;1",Y9&gt;=100))))),'2-man'!Y$15,0)</f>
        <v/>
      </c>
      <c r="Z8">
        <f>IF(OR('2-man'!Z$16="P",'2-man'!Z$16="R",AND('2-man'!Z$15&lt;=IF('2-man'!$BF$4="",999,'2-man'!$BF$4),OR('2-man'!Z$16="D",LEFT('2-man'!Z$16,3)="ST&gt;",OR(AND('2-man'!Z$17="ST&gt;1",Z9&gt;=100))))),'2-man'!Z$15,0)</f>
        <v/>
      </c>
      <c r="AA8">
        <f>IF(OR('2-man'!AA$16="P",'2-man'!AA$16="R",AND('2-man'!AA$15&lt;=IF('2-man'!$BF$4="",999,'2-man'!$BF$4),OR('2-man'!AA$16="D",LEFT('2-man'!AA$16,3)="ST&gt;",OR(AND('2-man'!AA$17="ST&gt;1",AA9&gt;=100))))),'2-man'!AA$15,0)</f>
        <v/>
      </c>
      <c r="AB8">
        <f>IF(OR('2-man'!AB$16="P",'2-man'!AB$16="R",AND('2-man'!AB$15&lt;=IF('2-man'!$BF$4="",999,'2-man'!$BF$4),OR('2-man'!AB$16="D",LEFT('2-man'!AB$16,3)="ST&gt;",OR(AND('2-man'!AB$17="ST&gt;1",AB9&gt;=100))))),'2-man'!AB$15,0)</f>
        <v/>
      </c>
      <c r="AC8">
        <f>IF(OR('2-man'!AC$16="P",'2-man'!AC$16="R",AND('2-man'!AC$15&lt;=IF('2-man'!$BF$4="",999,'2-man'!$BF$4),OR('2-man'!AC$16="D",LEFT('2-man'!AC$16,3)="ST&gt;",OR(AND('2-man'!AC$17="ST&gt;1",AC9&gt;=100))))),'2-man'!AC$15,0)</f>
        <v/>
      </c>
      <c r="AD8">
        <f>IF(OR('2-man'!AD$16="P",'2-man'!AD$16="R",AND('2-man'!AD$15&lt;=IF('2-man'!$BF$4="",999,'2-man'!$BF$4),OR('2-man'!AD$16="D",LEFT('2-man'!AD$16,3)="ST&gt;",OR(AND('2-man'!AD$17="ST&gt;1",AD9&gt;=100))))),'2-man'!AD$15,0)</f>
        <v/>
      </c>
      <c r="AE8">
        <f>IF(OR('2-man'!AE$16="P",'2-man'!AE$16="R",AND('2-man'!AE$15&lt;=IF('2-man'!$BF$4="",999,'2-man'!$BF$4),OR('2-man'!AE$16="D",LEFT('2-man'!AE$16,3)="ST&gt;",OR(AND('2-man'!AE$17="ST&gt;1",AE9&gt;=100))))),'2-man'!AE$15,0)</f>
        <v/>
      </c>
      <c r="AF8">
        <f>IF(OR('2-man'!AF$16="P",'2-man'!AF$16="R",AND('2-man'!AF$15&lt;=IF('2-man'!$BF$4="",999,'2-man'!$BF$4),OR('2-man'!AF$16="D",LEFT('2-man'!AF$16,3)="ST&gt;",OR(AND('2-man'!AF$17="ST&gt;1",AF9&gt;=100))))),'2-man'!AF$15,0)</f>
        <v/>
      </c>
      <c r="AG8">
        <f>IF(OR('2-man'!AG$16="P",'2-man'!AG$16="R",AND('2-man'!AG$15&lt;=IF('2-man'!$BF$4="",999,'2-man'!$BF$4),OR('2-man'!AG$16="D",LEFT('2-man'!AG$16,3)="ST&gt;",OR(AND('2-man'!AG$17="ST&gt;1",AG9&gt;=100))))),'2-man'!AG$15,0)</f>
        <v/>
      </c>
      <c r="AH8">
        <f>IF(OR('2-man'!AH$16="P",'2-man'!AH$16="R",AND('2-man'!AH$15&lt;=IF('2-man'!$BF$4="",999,'2-man'!$BF$4),OR('2-man'!AH$16="D",LEFT('2-man'!AH$16,3)="ST&gt;",OR(AND('2-man'!AH$17="ST&gt;1",AH9&gt;=100))))),'2-man'!AH$15,0)</f>
        <v/>
      </c>
      <c r="AI8">
        <f>IF(OR('2-man'!AI$16="P",'2-man'!AI$16="R",AND('2-man'!AI$15&lt;=IF('2-man'!$BF$4="",999,'2-man'!$BF$4),OR('2-man'!AI$16="D",LEFT('2-man'!AI$16,3)="ST&gt;",OR(AND('2-man'!AI$17="ST&gt;1",AI9&gt;=100))))),'2-man'!AI$15,0)</f>
        <v/>
      </c>
      <c r="AJ8">
        <f>IF(OR('2-man'!AJ$16="P",'2-man'!AJ$16="R",AND('2-man'!AJ$15&lt;=IF('2-man'!$BF$4="",999,'2-man'!$BF$4),OR('2-man'!AJ$16="D",LEFT('2-man'!AJ$16,3)="ST&gt;",OR(AND('2-man'!AJ$17="ST&gt;1",AJ9&gt;=100))))),'2-man'!AJ$15,0)</f>
        <v/>
      </c>
      <c r="AK8">
        <f>IF(OR('2-man'!AK$16="P",'2-man'!AK$16="R",AND('2-man'!AK$15&lt;=IF('2-man'!$BF$4="",999,'2-man'!$BF$4),OR('2-man'!AK$16="D",LEFT('2-man'!AK$16,3)="ST&gt;",OR(AND('2-man'!AK$17="ST&gt;1",AK9&gt;=100))))),'2-man'!AK$15,0)</f>
        <v/>
      </c>
      <c r="AL8">
        <f>IF(OR('2-man'!AL$16="P",'2-man'!AL$16="R",AND('2-man'!AL$15&lt;=IF('2-man'!$BF$4="",999,'2-man'!$BF$4),OR('2-man'!AL$16="D",LEFT('2-man'!AL$16,3)="ST&gt;",OR(AND('2-man'!AL$17="ST&gt;1",AL9&gt;=100))))),'2-man'!AL$15,0)</f>
        <v/>
      </c>
      <c r="AM8">
        <f>IF(OR('2-man'!AM$16="P",'2-man'!AM$16="R",AND('2-man'!AM$15&lt;=IF('2-man'!$BF$4="",999,'2-man'!$BF$4),OR('2-man'!AM$16="D",LEFT('2-man'!AM$16,3)="ST&gt;",OR(AND('2-man'!AM$17="ST&gt;1",AM9&gt;=100))))),'2-man'!AM$15,0)</f>
        <v/>
      </c>
      <c r="AN8">
        <f>IF(OR('2-man'!AN$16="P",'2-man'!AN$16="R",AND('2-man'!AN$15&lt;=IF('2-man'!$BF$4="",999,'2-man'!$BF$4),OR('2-man'!AN$16="D",LEFT('2-man'!AN$16,3)="ST&gt;",OR(AND('2-man'!AN$17="ST&gt;1",AN9&gt;=100))))),'2-man'!AN$15,0)</f>
        <v/>
      </c>
      <c r="AO8">
        <f>IF(OR('2-man'!AO$16="P",'2-man'!AO$16="R",AND('2-man'!AO$15&lt;=IF('2-man'!$BF$4="",999,'2-man'!$BF$4),OR('2-man'!AO$16="D",LEFT('2-man'!AO$16,3)="ST&gt;",OR(AND('2-man'!AO$17="ST&gt;1",AO9&gt;=100))))),'2-man'!AO$15,0)</f>
        <v/>
      </c>
      <c r="AP8">
        <f>IF(OR('2-man'!AP$16="P",'2-man'!AP$16="R",AND('2-man'!AP$15&lt;=IF('2-man'!$BF$4="",999,'2-man'!$BF$4),OR('2-man'!AP$16="D",LEFT('2-man'!AP$16,3)="ST&gt;",OR(AND('2-man'!AP$17="ST&gt;1",AP9&gt;=100))))),'2-man'!AP$15,0)</f>
        <v/>
      </c>
      <c r="AQ8">
        <f>IF(OR('2-man'!AQ$16="P",'2-man'!AQ$16="R",AND('2-man'!AQ$15&lt;=IF('2-man'!$BF$4="",999,'2-man'!$BF$4),OR('2-man'!AQ$16="D",LEFT('2-man'!AQ$16,3)="ST&gt;",OR(AND('2-man'!AQ$17="ST&gt;1",AQ9&gt;=100))))),'2-man'!AQ$15,0)</f>
        <v/>
      </c>
      <c r="AR8">
        <f>IF(OR('2-man'!AR$16="P",'2-man'!AR$16="R",AND('2-man'!AR$15&lt;=IF('2-man'!$BF$4="",999,'2-man'!$BF$4),OR('2-man'!AR$16="D",LEFT('2-man'!AR$16,3)="ST&gt;",OR(AND('2-man'!AR$17="ST&gt;1",AR9&gt;=100))))),'2-man'!AR$15,0)</f>
        <v/>
      </c>
      <c r="AS8">
        <f>IF(OR('2-man'!AS$16="P",'2-man'!AS$16="R",AND('2-man'!AS$15&lt;=IF('2-man'!$BF$4="",999,'2-man'!$BF$4),OR('2-man'!AS$16="D",LEFT('2-man'!AS$16,3)="ST&gt;",OR(AND('2-man'!AS$17="ST&gt;1",AS9&gt;=100))))),'2-man'!AS$15,0)</f>
        <v/>
      </c>
      <c r="AT8">
        <f>IF(OR('2-man'!AT$16="P",'2-man'!AT$16="R",AND('2-man'!AT$15&lt;=IF('2-man'!$BF$4="",999,'2-man'!$BF$4),OR('2-man'!AT$16="D",LEFT('2-man'!AT$16,3)="ST&gt;",OR(AND('2-man'!AT$17="ST&gt;1",AT9&gt;=100))))),'2-man'!AT$15,0)</f>
        <v/>
      </c>
      <c r="AU8">
        <f>IF(OR('2-man'!AU$16="P",'2-man'!AU$16="R",AND('2-man'!AU$15&lt;=IF('2-man'!$BF$4="",999,'2-man'!$BF$4),OR('2-man'!AU$16="D",LEFT('2-man'!AU$16,3)="ST&gt;",OR(AND('2-man'!AU$17="ST&gt;1",AU9&gt;=100))))),'2-man'!AU$15,0)</f>
        <v/>
      </c>
      <c r="AV8">
        <f>IF(OR('2-man'!AV$16="P",'2-man'!AV$16="R",AND('2-man'!AV$15&lt;=IF('2-man'!$BF$4="",999,'2-man'!$BF$4),OR('2-man'!AV$16="D",LEFT('2-man'!AV$16,3)="ST&gt;",OR(AND('2-man'!AV$17="ST&gt;1",AV9&gt;=100))))),'2-man'!AV$15,0)</f>
        <v/>
      </c>
      <c r="AW8">
        <f>IF(OR('2-man'!AW$16="P",'2-man'!AW$16="R",AND('2-man'!AW$15&lt;=IF('2-man'!$BF$4="",999,'2-man'!$BF$4),OR('2-man'!AW$16="D",LEFT('2-man'!AW$16,3)="ST&gt;",OR(AND('2-man'!AW$17="ST&gt;1",AW9&gt;=100))))),'2-man'!AW$15,0)</f>
        <v/>
      </c>
      <c r="AX8">
        <f>IF(OR('2-man'!AX$16="P",'2-man'!AX$16="R",AND('2-man'!AX$15&lt;=IF('2-man'!$BF$4="",999,'2-man'!$BF$4),OR('2-man'!AX$16="D",LEFT('2-man'!AX$16,3)="ST&gt;",OR(AND('2-man'!AX$17="ST&gt;1",AX9&gt;=100))))),'2-man'!AX$15,0)</f>
        <v/>
      </c>
      <c r="AY8">
        <f>IF(OR('2-man'!AY$16="P",'2-man'!AY$16="R",AND('2-man'!AY$15&lt;=IF('2-man'!$BF$4="",999,'2-man'!$BF$4),OR('2-man'!AY$16="D",LEFT('2-man'!AY$16,3)="ST&gt;",OR(AND('2-man'!AY$17="ST&gt;1",AY9&gt;=100))))),'2-man'!AY$15,0)</f>
        <v/>
      </c>
      <c r="AZ8">
        <f>IF(OR('2-man'!AZ$16="P",'2-man'!AZ$16="R",AND('2-man'!AZ$15&lt;=IF('2-man'!$BF$4="",999,'2-man'!$BF$4),OR('2-man'!AZ$16="D",LEFT('2-man'!AZ$16,3)="ST&gt;",OR(AND('2-man'!AZ$17="ST&gt;1",AZ9&gt;=100))))),'2-man'!AZ$15,0)</f>
        <v/>
      </c>
      <c r="BA8">
        <f>IF(OR('2-man'!BA$16="P",'2-man'!BA$16="R",AND('2-man'!BA$15&lt;=IF('2-man'!$BF$4="",999,'2-man'!$BF$4),OR('2-man'!BA$16="D",LEFT('2-man'!BA$16,3)="ST&gt;",OR(AND('2-man'!BA$17="ST&gt;1",BA9&gt;=100))))),'2-man'!BA$15,0)</f>
        <v/>
      </c>
      <c r="BB8">
        <f>IF(OR('2-man'!BB$16="P",'2-man'!BB$16="R",AND('2-man'!BB$15&lt;=IF('2-man'!$BF$4="",999,'2-man'!$BF$4),OR('2-man'!BB$16="D",LEFT('2-man'!BB$16,3)="ST&gt;",OR(AND('2-man'!BB$17="ST&gt;1",BB9&gt;=100))))),'2-man'!BB$15,0)</f>
        <v/>
      </c>
      <c r="BC8">
        <f>IF(OR('2-man'!BC$16="P",'2-man'!BC$16="R",AND('2-man'!BC$15&lt;=IF('2-man'!$BF$4="",999,'2-man'!$BF$4),OR('2-man'!BC$16="D",LEFT('2-man'!BC$16,3)="ST&gt;",OR(AND('2-man'!BC$17="ST&gt;1",BC9&gt;=100))))),'2-man'!BC$15,0)</f>
        <v/>
      </c>
      <c r="BD8">
        <f>IF(OR('2-man'!BD$16="P",'2-man'!BD$16="R",AND('2-man'!BD$15&lt;=IF('2-man'!$BF$4="",999,'2-man'!$BF$4),OR('2-man'!BD$16="D",LEFT('2-man'!BD$16,3)="ST&gt;",OR(AND('2-man'!BD$17="ST&gt;1",BD9&gt;=100))))),'2-man'!BD$15,0)</f>
        <v/>
      </c>
      <c r="BE8">
        <f>IF(OR('2-man'!BE$16="P",'2-man'!BE$16="R",AND('2-man'!BE$15&lt;=IF('2-man'!$BF$4="",999,'2-man'!$BF$4),OR('2-man'!BE$16="D",LEFT('2-man'!BE$16,3)="ST&gt;",OR(AND('2-man'!BE$17="ST&gt;1",BE9&gt;=100))))),'2-man'!BE$15,0)</f>
        <v/>
      </c>
      <c r="BF8">
        <f>IF(OR('2-man'!BF$16="P",'2-man'!BF$16="R",AND('2-man'!BF$15&lt;=IF('2-man'!$BF$4="",999,'2-man'!$BF$4),OR('2-man'!BF$16="D",LEFT('2-man'!BF$16,3)="ST&gt;",OR(AND('2-man'!BF$17="ST&gt;1",BF9&gt;=100))))),'2-man'!BF$15,0)</f>
        <v/>
      </c>
      <c r="BG8">
        <f>IF(OR('2-man'!BG$16="P",'2-man'!BG$16="R",AND('2-man'!BG$15&lt;=IF('2-man'!$BF$4="",999,'2-man'!$BF$4),OR('2-man'!BG$16="D",LEFT('2-man'!BG$16,3)="ST&gt;",OR(AND('2-man'!BG$17="ST&gt;1",BG9&gt;=100))))),'2-man'!BG$15,0)</f>
        <v/>
      </c>
      <c r="BH8">
        <f>IF(OR('2-man'!BH$16="P",'2-man'!BH$16="R",AND('2-man'!BH$15&lt;=IF('2-man'!$BF$4="",999,'2-man'!$BF$4),OR('2-man'!BH$16="D",LEFT('2-man'!BH$16,3)="ST&gt;",OR(AND('2-man'!BH$17="ST&gt;1",BH9&gt;=100))))),'2-man'!BH$15,0)</f>
        <v/>
      </c>
      <c r="BI8">
        <f>IF(OR('2-man'!BI$16="P",'2-man'!BI$16="R",AND('2-man'!BI$15&lt;=IF('2-man'!$BF$4="",999,'2-man'!$BF$4),OR('2-man'!BI$16="D",LEFT('2-man'!BI$16,3)="ST&gt;",OR(AND('2-man'!BI$17="ST&gt;1",BI9&gt;=100))))),'2-man'!BI$15,0)</f>
        <v/>
      </c>
      <c r="BJ8">
        <f>IF(OR('2-man'!BJ$16="P",'2-man'!BJ$16="R",AND('2-man'!BJ$15&lt;=IF('2-man'!$BF$4="",999,'2-man'!$BF$4),OR('2-man'!BJ$16="D",LEFT('2-man'!BJ$16,3)="ST&gt;",OR(AND('2-man'!BJ$17="ST&gt;1",BJ9&gt;=100))))),'2-man'!BJ$15,0)</f>
        <v/>
      </c>
      <c r="BK8">
        <f>IF(OR('2-man'!BK$16="P",'2-man'!BK$16="R",AND('2-man'!BK$15&lt;=IF('2-man'!$BF$4="",999,'2-man'!$BF$4),OR('2-man'!BK$16="D",LEFT('2-man'!BK$16,3)="ST&gt;",OR(AND('2-man'!BK$17="ST&gt;1",BK9&gt;=100))))),'2-man'!BK$15,0)</f>
        <v/>
      </c>
      <c r="BL8">
        <f>IF(OR('2-man'!BL$16="P",'2-man'!BL$16="R",AND('2-man'!BL$15&lt;=IF('2-man'!$BF$4="",999,'2-man'!$BF$4),OR('2-man'!BL$16="D",LEFT('2-man'!BL$16,3)="ST&gt;",OR(AND('2-man'!BL$17="ST&gt;1",BL9&gt;=100))))),'2-man'!BL$15,0)</f>
        <v/>
      </c>
      <c r="BM8">
        <f>IF(OR('2-man'!BM$16="P",'2-man'!BM$16="R",AND('2-man'!BM$15&lt;=IF('2-man'!$BF$4="",999,'2-man'!$BF$4),OR('2-man'!BM$16="D",LEFT('2-man'!BM$16,3)="ST&gt;",OR(AND('2-man'!BM$17="ST&gt;1",BM9&gt;=100))))),'2-man'!BM$15,0)</f>
        <v/>
      </c>
      <c r="BN8">
        <f>IF(OR('2-man'!BN$16="P",'2-man'!BN$16="R",AND('2-man'!BN$15&lt;=IF('2-man'!$BF$4="",999,'2-man'!$BF$4),OR('2-man'!BN$16="D",LEFT('2-man'!BN$16,3)="ST&gt;",OR(AND('2-man'!BN$17="ST&gt;1",BN9&gt;=100))))),'2-man'!BN$15,0)</f>
        <v/>
      </c>
      <c r="BO8">
        <f>IF(OR('2-man'!BO$16="P",'2-man'!BO$16="R",AND('2-man'!BO$15&lt;=IF('2-man'!$BF$4="",999,'2-man'!$BF$4),OR('2-man'!BO$16="D",LEFT('2-man'!BO$16,3)="ST&gt;",OR(AND('2-man'!BO$17="ST&gt;1",BO9&gt;=100))))),'2-man'!BO$15,0)</f>
        <v/>
      </c>
      <c r="BP8">
        <f>IF(OR('2-man'!BP$16="P",'2-man'!BP$16="R",AND('2-man'!BP$15&lt;=IF('2-man'!$BF$4="",999,'2-man'!$BF$4),OR('2-man'!BP$16="D",LEFT('2-man'!BP$16,3)="ST&gt;",OR(AND('2-man'!BP$17="ST&gt;1",BP9&gt;=100))))),'2-man'!BP$15,0)</f>
        <v/>
      </c>
      <c r="BQ8">
        <f>IF(OR('2-man'!BQ$16="P",'2-man'!BQ$16="R",AND('2-man'!BQ$15&lt;=IF('2-man'!$BF$4="",999,'2-man'!$BF$4),OR('2-man'!BQ$16="D",LEFT('2-man'!BQ$16,3)="ST&gt;",OR(AND('2-man'!BQ$17="ST&gt;1",BQ9&gt;=100))))),'2-man'!BQ$15,0)</f>
        <v/>
      </c>
      <c r="BR8">
        <f>IF(OR('2-man'!BR$16="P",'2-man'!BR$16="R",AND('2-man'!BR$15&lt;=IF('2-man'!$BF$4="",999,'2-man'!$BF$4),OR('2-man'!BR$16="D",LEFT('2-man'!BR$16,3)="ST&gt;",OR(AND('2-man'!BR$17="ST&gt;1",BR9&gt;=100))))),'2-man'!BR$15,0)</f>
        <v/>
      </c>
      <c r="BS8">
        <f>IF(OR('2-man'!BS$16="P",'2-man'!BS$16="R",AND('2-man'!BS$15&lt;=IF('2-man'!$BF$4="",999,'2-man'!$BF$4),OR('2-man'!BS$16="D",LEFT('2-man'!BS$16,3)="ST&gt;",OR(AND('2-man'!BS$17="ST&gt;1",BS9&gt;=100))))),'2-man'!BS$15,0)</f>
        <v/>
      </c>
      <c r="BT8">
        <f>IF(OR('2-man'!BT$16="P",'2-man'!BT$16="R",AND('2-man'!BT$15&lt;=IF('2-man'!$BF$4="",999,'2-man'!$BF$4),OR('2-man'!BT$16="D",LEFT('2-man'!BT$16,3)="ST&gt;",OR(AND('2-man'!BT$17="ST&gt;1",BT9&gt;=100))))),'2-man'!BT$15,0)</f>
        <v/>
      </c>
      <c r="BU8">
        <f>IF(OR('2-man'!BU$16="P",'2-man'!BU$16="R",AND('2-man'!BU$15&lt;=IF('2-man'!$BF$4="",999,'2-man'!$BF$4),OR('2-man'!BU$16="D",LEFT('2-man'!BU$16,3)="ST&gt;",OR(AND('2-man'!BU$17="ST&gt;1",BU9&gt;=100))))),'2-man'!BU$15,0)</f>
        <v/>
      </c>
      <c r="BV8">
        <f>IF(OR('2-man'!BV$16="P",'2-man'!BV$16="R",AND('2-man'!BV$15&lt;=IF('2-man'!$BF$4="",999,'2-man'!$BF$4),OR('2-man'!BV$16="D",LEFT('2-man'!BV$16,3)="ST&gt;",OR(AND('2-man'!BV$17="ST&gt;1",BV9&gt;=100))))),'2-man'!BV$15,0)</f>
        <v/>
      </c>
      <c r="BW8">
        <f>IF(OR('2-man'!BW$16="P",'2-man'!BW$16="R",AND('2-man'!BW$15&lt;=IF('2-man'!$BF$4="",999,'2-man'!$BF$4),OR('2-man'!BW$16="D",LEFT('2-man'!BW$16,3)="ST&gt;",OR(AND('2-man'!BW$17="ST&gt;1",BW9&gt;=100))))),'2-man'!BW$15,0)</f>
        <v/>
      </c>
      <c r="BX8">
        <f>IF(OR('2-man'!BX$16="P",'2-man'!BX$16="R",AND('2-man'!BX$15&lt;=IF('2-man'!$BF$4="",999,'2-man'!$BF$4),OR('2-man'!BX$16="D",LEFT('2-man'!BX$16,3)="ST&gt;",OR(AND('2-man'!BX$17="ST&gt;1",BX9&gt;=100))))),'2-man'!BX$15,0)</f>
        <v/>
      </c>
      <c r="BY8">
        <f>IF(OR('2-man'!BY$16="P",'2-man'!BY$16="R",AND('2-man'!BY$15&lt;=IF('2-man'!$BF$4="",999,'2-man'!$BF$4),OR('2-man'!BY$16="D",LEFT('2-man'!BY$16,3)="ST&gt;",OR(AND('2-man'!BY$17="ST&gt;1",BY9&gt;=100))))),'2-man'!BY$15,0)</f>
        <v/>
      </c>
      <c r="BZ8">
        <f>IF(OR('2-man'!BZ$16="P",'2-man'!BZ$16="R",AND('2-man'!BZ$15&lt;=IF('2-man'!$BF$4="",999,'2-man'!$BF$4),OR('2-man'!BZ$16="D",LEFT('2-man'!BZ$16,3)="ST&gt;",OR(AND('2-man'!BZ$17="ST&gt;1",BZ9&gt;=100))))),'2-man'!BZ$15,0)</f>
        <v/>
      </c>
      <c r="CA8">
        <f>IF(OR('2-man'!CA$16="P",'2-man'!CA$16="R",AND('2-man'!CA$15&lt;=IF('2-man'!$BF$4="",999,'2-man'!$BF$4),OR('2-man'!CA$16="D",LEFT('2-man'!CA$16,3)="ST&gt;",OR(AND('2-man'!CA$17="ST&gt;1",CA9&gt;=100))))),'2-man'!CA$15,0)</f>
        <v/>
      </c>
      <c r="CB8">
        <f>IF(OR('2-man'!CB$16="P",'2-man'!CB$16="R",AND('2-man'!CB$15&lt;=IF('2-man'!$BF$4="",999,'2-man'!$BF$4),OR('2-man'!CB$16="D",LEFT('2-man'!CB$16,3)="ST&gt;",OR(AND('2-man'!CB$17="ST&gt;1",CB9&gt;=100))))),'2-man'!CB$15,0)</f>
        <v/>
      </c>
      <c r="CC8">
        <f>IF(OR('2-man'!CC$16="P",'2-man'!CC$16="R",AND('2-man'!CC$15&lt;=IF('2-man'!$BF$4="",999,'2-man'!$BF$4),OR('2-man'!CC$16="D",LEFT('2-man'!CC$16,3)="ST&gt;",OR(AND('2-man'!CC$17="ST&gt;1",CC9&gt;=100))))),'2-man'!CC$15,0)</f>
        <v/>
      </c>
      <c r="CD8">
        <f>IF(OR('2-man'!CD$16="P",'2-man'!CD$16="R",AND('2-man'!CD$15&lt;=IF('2-man'!$BF$4="",999,'2-man'!$BF$4),OR('2-man'!CD$16="D",LEFT('2-man'!CD$16,3)="ST&gt;",OR(AND('2-man'!CD$17="ST&gt;1",CD9&gt;=100))))),'2-man'!CD$15,0)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MIN(100,B10+IF(AND(B10&lt;100,B11+1&gt;=IF(OR('2-man'!$F$5=TRUE,'2-man'!$F$5="TRUE",'2-man'!$F$5="Yes"),25,50)),10,0)+IF('2-man'!C$15=$Q$15,25,0))</f>
        <v/>
      </c>
      <c r="D9">
        <f>MIN(100,C10+IF(AND(C10&lt;100,C11+1&gt;=IF(OR('2-man'!$F$5=TRUE,'2-man'!$F$5="TRUE",'2-man'!$F$5="Yes"),25,50)),10,0)+IF('2-man'!D$15=$Q$15,25,0))</f>
        <v/>
      </c>
      <c r="E9">
        <f>MIN(100,D10+IF(AND(D10&lt;100,D11+1&gt;=IF(OR('2-man'!$F$5=TRUE,'2-man'!$F$5="TRUE",'2-man'!$F$5="Yes"),25,50)),10,0)+IF('2-man'!E$15=$Q$15,25,0))</f>
        <v/>
      </c>
      <c r="F9">
        <f>MIN(100,E10+IF(AND(E10&lt;100,E11+1&gt;=IF(OR('2-man'!$F$5=TRUE,'2-man'!$F$5="TRUE",'2-man'!$F$5="Yes"),25,50)),10,0)+IF('2-man'!F$15=$Q$15,25,0))</f>
        <v/>
      </c>
      <c r="G9">
        <f>MIN(100,F10+IF(AND(F10&lt;100,F11+1&gt;=IF(OR('2-man'!$F$5=TRUE,'2-man'!$F$5="TRUE",'2-man'!$F$5="Yes"),25,50)),10,0)+IF('2-man'!G$15=$Q$15,25,0))</f>
        <v/>
      </c>
      <c r="H9">
        <f>MIN(100,G10+IF(AND(G10&lt;100,G11+1&gt;=IF(OR('2-man'!$F$5=TRUE,'2-man'!$F$5="TRUE",'2-man'!$F$5="Yes"),25,50)),10,0)+IF('2-man'!H$15=$Q$15,25,0))</f>
        <v/>
      </c>
      <c r="I9">
        <f>MIN(100,H10+IF(AND(H10&lt;100,H11+1&gt;=IF(OR('2-man'!$F$5=TRUE,'2-man'!$F$5="TRUE",'2-man'!$F$5="Yes"),25,50)),10,0)+IF('2-man'!I$15=$Q$15,25,0))</f>
        <v/>
      </c>
      <c r="J9">
        <f>MIN(100,I10+IF(AND(I10&lt;100,I11+1&gt;=IF(OR('2-man'!$F$5=TRUE,'2-man'!$F$5="TRUE",'2-man'!$F$5="Yes"),25,50)),10,0)+IF('2-man'!J$15=$Q$15,25,0))</f>
        <v/>
      </c>
      <c r="K9">
        <f>MIN(100,J10+IF(AND(J10&lt;100,J11+1&gt;=IF(OR('2-man'!$F$5=TRUE,'2-man'!$F$5="TRUE",'2-man'!$F$5="Yes"),25,50)),10,0)+IF('2-man'!K$15=$Q$15,25,0))</f>
        <v/>
      </c>
      <c r="L9">
        <f>MIN(100,K10+IF(AND(K10&lt;100,K11+1&gt;=IF(OR('2-man'!$F$5=TRUE,'2-man'!$F$5="TRUE",'2-man'!$F$5="Yes"),25,50)),10,0)+IF('2-man'!L$15=$Q$15,25,0))</f>
        <v/>
      </c>
      <c r="M9">
        <f>MIN(100,L10+IF(AND(L10&lt;100,L11+1&gt;=IF(OR('2-man'!$F$5=TRUE,'2-man'!$F$5="TRUE",'2-man'!$F$5="Yes"),25,50)),10,0)+IF('2-man'!M$15=$Q$15,25,0))</f>
        <v/>
      </c>
      <c r="N9">
        <f>MIN(100,M10+IF(AND(M10&lt;100,M11+1&gt;=IF(OR('2-man'!$F$5=TRUE,'2-man'!$F$5="TRUE",'2-man'!$F$5="Yes"),25,50)),10,0)+IF('2-man'!N$15=$Q$15,25,0))</f>
        <v/>
      </c>
      <c r="O9">
        <f>MIN(100,N10+IF(AND(N10&lt;100,N11+1&gt;=IF(OR('2-man'!$F$5=TRUE,'2-man'!$F$5="TRUE",'2-man'!$F$5="Yes"),25,50)),10,0)+IF('2-man'!O$15=$Q$15,25,0))</f>
        <v/>
      </c>
      <c r="P9">
        <f>MIN(100,O10+IF(AND(O10&lt;100,O11+1&gt;=IF(OR('2-man'!$F$5=TRUE,'2-man'!$F$5="TRUE",'2-man'!$F$5="Yes"),25,50)),10,0)+IF('2-man'!P$15=$Q$15,25,0))</f>
        <v/>
      </c>
      <c r="Q9">
        <f>MIN(100,P10+IF(AND(P10&lt;100,P11+1&gt;=IF(OR('2-man'!$F$5=TRUE,'2-man'!$F$5="TRUE",'2-man'!$F$5="Yes"),25,50)),10,0)+IF('2-man'!Q$15=$Q$15,25,0))</f>
        <v/>
      </c>
      <c r="R9">
        <f>MIN(100,Q10+IF(AND(Q10&lt;100,Q11+1&gt;=IF(OR('2-man'!$F$5=TRUE,'2-man'!$F$5="TRUE",'2-man'!$F$5="Yes"),25,50)),10,0)+IF('2-man'!R$15=$Q$15,25,0))</f>
        <v/>
      </c>
      <c r="S9">
        <f>MIN(100,R10+IF(AND(R10&lt;100,R11+1&gt;=IF(OR('2-man'!$F$5=TRUE,'2-man'!$F$5="TRUE",'2-man'!$F$5="Yes"),25,50)),10,0)+IF('2-man'!S$15=$Q$15,25,0))</f>
        <v/>
      </c>
      <c r="T9">
        <f>MIN(100,S10+IF(AND(S10&lt;100,S11+1&gt;=IF(OR('2-man'!$F$5=TRUE,'2-man'!$F$5="TRUE",'2-man'!$F$5="Yes"),25,50)),10,0)+IF('2-man'!T$15=$Q$15,25,0))</f>
        <v/>
      </c>
      <c r="U9">
        <f>MIN(100,T10+IF(AND(T10&lt;100,T11+1&gt;=IF(OR('2-man'!$F$5=TRUE,'2-man'!$F$5="TRUE",'2-man'!$F$5="Yes"),25,50)),10,0)+IF('2-man'!U$15=$Q$15,25,0))</f>
        <v/>
      </c>
      <c r="V9">
        <f>MIN(100,U10+IF(AND(U10&lt;100,U11+1&gt;=IF(OR('2-man'!$F$5=TRUE,'2-man'!$F$5="TRUE",'2-man'!$F$5="Yes"),25,50)),10,0)+IF('2-man'!V$15=$Q$15,25,0))</f>
        <v/>
      </c>
      <c r="W9">
        <f>MIN(100,V10+IF(AND(V10&lt;100,V11+1&gt;=IF(OR('2-man'!$F$5=TRUE,'2-man'!$F$5="TRUE",'2-man'!$F$5="Yes"),25,50)),10,0)+IF('2-man'!W$15=$Q$15,25,0))</f>
        <v/>
      </c>
      <c r="X9">
        <f>MIN(100,W10+IF(AND(W10&lt;100,W11+1&gt;=IF(OR('2-man'!$F$5=TRUE,'2-man'!$F$5="TRUE",'2-man'!$F$5="Yes"),25,50)),10,0)+IF('2-man'!X$15=$Q$15,25,0))</f>
        <v/>
      </c>
      <c r="Y9">
        <f>MIN(100,X10+IF(AND(X10&lt;100,X11+1&gt;=IF(OR('2-man'!$F$5=TRUE,'2-man'!$F$5="TRUE",'2-man'!$F$5="Yes"),25,50)),10,0)+IF('2-man'!Y$15=$Q$15,25,0))</f>
        <v/>
      </c>
      <c r="Z9">
        <f>MIN(100,Y10+IF(AND(Y10&lt;100,Y11+1&gt;=IF(OR('2-man'!$F$5=TRUE,'2-man'!$F$5="TRUE",'2-man'!$F$5="Yes"),25,50)),10,0)+IF('2-man'!Z$15=$Q$15,25,0))</f>
        <v/>
      </c>
      <c r="AA9">
        <f>MIN(100,Z10+IF(AND(Z10&lt;100,Z11+1&gt;=IF(OR('2-man'!$F$5=TRUE,'2-man'!$F$5="TRUE",'2-man'!$F$5="Yes"),25,50)),10,0)+IF('2-man'!AA$15=$Q$15,25,0))</f>
        <v/>
      </c>
      <c r="AB9">
        <f>MIN(100,AA10+IF(AND(AA10&lt;100,AA11+1&gt;=IF(OR('2-man'!$F$5=TRUE,'2-man'!$F$5="TRUE",'2-man'!$F$5="Yes"),25,50)),10,0)+IF('2-man'!AB$15=$Q$15,25,0))</f>
        <v/>
      </c>
      <c r="AC9">
        <f>MIN(100,AB10+IF(AND(AB10&lt;100,AB11+1&gt;=IF(OR('2-man'!$F$5=TRUE,'2-man'!$F$5="TRUE",'2-man'!$F$5="Yes"),25,50)),10,0)+IF('2-man'!AC$15=$Q$15,25,0))</f>
        <v/>
      </c>
      <c r="AD9">
        <f>MIN(100,AC10+IF(AND(AC10&lt;100,AC11+1&gt;=IF(OR('2-man'!$F$5=TRUE,'2-man'!$F$5="TRUE",'2-man'!$F$5="Yes"),25,50)),10,0)+IF('2-man'!AD$15=$Q$15,25,0))</f>
        <v/>
      </c>
      <c r="AE9">
        <f>MIN(100,AD10+IF(AND(AD10&lt;100,AD11+1&gt;=IF(OR('2-man'!$F$5=TRUE,'2-man'!$F$5="TRUE",'2-man'!$F$5="Yes"),25,50)),10,0)+IF('2-man'!AE$15=$Q$15,25,0))</f>
        <v/>
      </c>
      <c r="AF9">
        <f>MIN(100,AE10+IF(AND(AE10&lt;100,AE11+1&gt;=IF(OR('2-man'!$F$5=TRUE,'2-man'!$F$5="TRUE",'2-man'!$F$5="Yes"),25,50)),10,0)+IF('2-man'!AF$15=$Q$15,25,0))</f>
        <v/>
      </c>
      <c r="AG9">
        <f>MIN(100,AF10+IF(AND(AF10&lt;100,AF11+1&gt;=IF(OR('2-man'!$F$5=TRUE,'2-man'!$F$5="TRUE",'2-man'!$F$5="Yes"),25,50)),10,0)+IF('2-man'!AG$15=$Q$15,25,0))</f>
        <v/>
      </c>
      <c r="AH9">
        <f>MIN(100,AG10+IF(AND(AG10&lt;100,AG11+1&gt;=IF(OR('2-man'!$F$5=TRUE,'2-man'!$F$5="TRUE",'2-man'!$F$5="Yes"),25,50)),10,0)+IF('2-man'!AH$15=$Q$15,25,0))</f>
        <v/>
      </c>
      <c r="AI9">
        <f>MIN(100,AH10+IF(AND(AH10&lt;100,AH11+1&gt;=IF(OR('2-man'!$F$5=TRUE,'2-man'!$F$5="TRUE",'2-man'!$F$5="Yes"),25,50)),10,0)+IF('2-man'!AI$15=$Q$15,25,0))</f>
        <v/>
      </c>
      <c r="AJ9">
        <f>MIN(100,AI10+IF(AND(AI10&lt;100,AI11+1&gt;=IF(OR('2-man'!$F$5=TRUE,'2-man'!$F$5="TRUE",'2-man'!$F$5="Yes"),25,50)),10,0)+IF('2-man'!AJ$15=$Q$15,25,0))</f>
        <v/>
      </c>
      <c r="AK9">
        <f>MIN(100,AJ10+IF(AND(AJ10&lt;100,AJ11+1&gt;=IF(OR('2-man'!$F$5=TRUE,'2-man'!$F$5="TRUE",'2-man'!$F$5="Yes"),25,50)),10,0)+IF('2-man'!AK$15=$Q$15,25,0))</f>
        <v/>
      </c>
      <c r="AL9">
        <f>MIN(100,AK10+IF(AND(AK10&lt;100,AK11+1&gt;=IF(OR('2-man'!$F$5=TRUE,'2-man'!$F$5="TRUE",'2-man'!$F$5="Yes"),25,50)),10,0)+IF('2-man'!AL$15=$Q$15,25,0))</f>
        <v/>
      </c>
      <c r="AM9">
        <f>MIN(100,AL10+IF(AND(AL10&lt;100,AL11+1&gt;=IF(OR('2-man'!$F$5=TRUE,'2-man'!$F$5="TRUE",'2-man'!$F$5="Yes"),25,50)),10,0)+IF('2-man'!AM$15=$Q$15,25,0))</f>
        <v/>
      </c>
      <c r="AN9">
        <f>MIN(100,AM10+IF(AND(AM10&lt;100,AM11+1&gt;=IF(OR('2-man'!$F$5=TRUE,'2-man'!$F$5="TRUE",'2-man'!$F$5="Yes"),25,50)),10,0)+IF('2-man'!AN$15=$Q$15,25,0))</f>
        <v/>
      </c>
      <c r="AO9">
        <f>MIN(100,AN10+IF(AND(AN10&lt;100,AN11+1&gt;=IF(OR('2-man'!$F$5=TRUE,'2-man'!$F$5="TRUE",'2-man'!$F$5="Yes"),25,50)),10,0)+IF('2-man'!AO$15=$Q$15,25,0))</f>
        <v/>
      </c>
      <c r="AP9">
        <f>MIN(100,AO10+IF(AND(AO10&lt;100,AO11+1&gt;=IF(OR('2-man'!$F$5=TRUE,'2-man'!$F$5="TRUE",'2-man'!$F$5="Yes"),25,50)),10,0)+IF('2-man'!AP$15=$Q$15,25,0))</f>
        <v/>
      </c>
      <c r="AQ9">
        <f>MIN(100,AP10+IF(AND(AP10&lt;100,AP11+1&gt;=IF(OR('2-man'!$F$5=TRUE,'2-man'!$F$5="TRUE",'2-man'!$F$5="Yes"),25,50)),10,0)+IF('2-man'!AQ$15=$Q$15,25,0))</f>
        <v/>
      </c>
      <c r="AR9">
        <f>MIN(100,AQ10+IF(AND(AQ10&lt;100,AQ11+1&gt;=IF(OR('2-man'!$F$5=TRUE,'2-man'!$F$5="TRUE",'2-man'!$F$5="Yes"),25,50)),10,0)+IF('2-man'!AR$15=$Q$15,25,0))</f>
        <v/>
      </c>
      <c r="AS9">
        <f>MIN(100,AR10+IF(AND(AR10&lt;100,AR11+1&gt;=IF(OR('2-man'!$F$5=TRUE,'2-man'!$F$5="TRUE",'2-man'!$F$5="Yes"),25,50)),10,0)+IF('2-man'!AS$15=$Q$15,25,0))</f>
        <v/>
      </c>
      <c r="AT9">
        <f>MIN(100,AS10+IF(AND(AS10&lt;100,AS11+1&gt;=IF(OR('2-man'!$F$5=TRUE,'2-man'!$F$5="TRUE",'2-man'!$F$5="Yes"),25,50)),10,0)+IF('2-man'!AT$15=$Q$15,25,0))</f>
        <v/>
      </c>
      <c r="AU9">
        <f>MIN(100,AT10+IF(AND(AT10&lt;100,AT11+1&gt;=IF(OR('2-man'!$F$5=TRUE,'2-man'!$F$5="TRUE",'2-man'!$F$5="Yes"),25,50)),10,0)+IF('2-man'!AU$15=$Q$15,25,0))</f>
        <v/>
      </c>
      <c r="AV9">
        <f>MIN(100,AU10+IF(AND(AU10&lt;100,AU11+1&gt;=IF(OR('2-man'!$F$5=TRUE,'2-man'!$F$5="TRUE",'2-man'!$F$5="Yes"),25,50)),10,0)+IF('2-man'!AV$15=$Q$15,25,0))</f>
        <v/>
      </c>
      <c r="AW9">
        <f>MIN(100,AV10+IF(AND(AV10&lt;100,AV11+1&gt;=IF(OR('2-man'!$F$5=TRUE,'2-man'!$F$5="TRUE",'2-man'!$F$5="Yes"),25,50)),10,0)+IF('2-man'!AW$15=$Q$15,25,0))</f>
        <v/>
      </c>
      <c r="AX9">
        <f>MIN(100,AW10+IF(AND(AW10&lt;100,AW11+1&gt;=IF(OR('2-man'!$F$5=TRUE,'2-man'!$F$5="TRUE",'2-man'!$F$5="Yes"),25,50)),10,0)+IF('2-man'!AX$15=$Q$15,25,0))</f>
        <v/>
      </c>
      <c r="AY9">
        <f>MIN(100,AX10+IF(AND(AX10&lt;100,AX11+1&gt;=IF(OR('2-man'!$F$5=TRUE,'2-man'!$F$5="TRUE",'2-man'!$F$5="Yes"),25,50)),10,0)+IF('2-man'!AY$15=$Q$15,25,0))</f>
        <v/>
      </c>
      <c r="AZ9">
        <f>MIN(100,AY10+IF(AND(AY10&lt;100,AY11+1&gt;=IF(OR('2-man'!$F$5=TRUE,'2-man'!$F$5="TRUE",'2-man'!$F$5="Yes"),25,50)),10,0)+IF('2-man'!AZ$15=$Q$15,25,0))</f>
        <v/>
      </c>
      <c r="BA9">
        <f>MIN(100,AZ10+IF(AND(AZ10&lt;100,AZ11+1&gt;=IF(OR('2-man'!$F$5=TRUE,'2-man'!$F$5="TRUE",'2-man'!$F$5="Yes"),25,50)),10,0)+IF('2-man'!BA$15=$Q$15,25,0))</f>
        <v/>
      </c>
      <c r="BB9">
        <f>MIN(100,BA10+IF(AND(BA10&lt;100,BA11+1&gt;=IF(OR('2-man'!$F$5=TRUE,'2-man'!$F$5="TRUE",'2-man'!$F$5="Yes"),25,50)),10,0)+IF('2-man'!BB$15=$Q$15,25,0))</f>
        <v/>
      </c>
      <c r="BC9">
        <f>MIN(100,BB10+IF(AND(BB10&lt;100,BB11+1&gt;=IF(OR('2-man'!$F$5=TRUE,'2-man'!$F$5="TRUE",'2-man'!$F$5="Yes"),25,50)),10,0)+IF('2-man'!BC$15=$Q$15,25,0))</f>
        <v/>
      </c>
      <c r="BD9">
        <f>MIN(100,BC10+IF(AND(BC10&lt;100,BC11+1&gt;=IF(OR('2-man'!$F$5=TRUE,'2-man'!$F$5="TRUE",'2-man'!$F$5="Yes"),25,50)),10,0)+IF('2-man'!BD$15=$Q$15,25,0))</f>
        <v/>
      </c>
      <c r="BE9">
        <f>MIN(100,BD10+IF(AND(BD10&lt;100,BD11+1&gt;=IF(OR('2-man'!$F$5=TRUE,'2-man'!$F$5="TRUE",'2-man'!$F$5="Yes"),25,50)),10,0)+IF('2-man'!BE$15=$Q$15,25,0))</f>
        <v/>
      </c>
      <c r="BF9">
        <f>MIN(100,BE10+IF(AND(BE10&lt;100,BE11+1&gt;=IF(OR('2-man'!$F$5=TRUE,'2-man'!$F$5="TRUE",'2-man'!$F$5="Yes"),25,50)),10,0)+IF('2-man'!BF$15=$Q$15,25,0))</f>
        <v/>
      </c>
      <c r="BG9">
        <f>MIN(100,BF10+IF(AND(BF10&lt;100,BF11+1&gt;=IF(OR('2-man'!$F$5=TRUE,'2-man'!$F$5="TRUE",'2-man'!$F$5="Yes"),25,50)),10,0)+IF('2-man'!BG$15=$Q$15,25,0))</f>
        <v/>
      </c>
      <c r="BH9">
        <f>MIN(100,BG10+IF(AND(BG10&lt;100,BG11+1&gt;=IF(OR('2-man'!$F$5=TRUE,'2-man'!$F$5="TRUE",'2-man'!$F$5="Yes"),25,50)),10,0)+IF('2-man'!BH$15=$Q$15,25,0))</f>
        <v/>
      </c>
      <c r="BI9">
        <f>MIN(100,BH10+IF(AND(BH10&lt;100,BH11+1&gt;=IF(OR('2-man'!$F$5=TRUE,'2-man'!$F$5="TRUE",'2-man'!$F$5="Yes"),25,50)),10,0)+IF('2-man'!BI$15=$Q$15,25,0))</f>
        <v/>
      </c>
      <c r="BJ9">
        <f>MIN(100,BI10+IF(AND(BI10&lt;100,BI11+1&gt;=IF(OR('2-man'!$F$5=TRUE,'2-man'!$F$5="TRUE",'2-man'!$F$5="Yes"),25,50)),10,0)+IF('2-man'!BJ$15=$Q$15,25,0))</f>
        <v/>
      </c>
      <c r="BK9">
        <f>MIN(100,BJ10+IF(AND(BJ10&lt;100,BJ11+1&gt;=IF(OR('2-man'!$F$5=TRUE,'2-man'!$F$5="TRUE",'2-man'!$F$5="Yes"),25,50)),10,0)+IF('2-man'!BK$15=$Q$15,25,0))</f>
        <v/>
      </c>
      <c r="BL9">
        <f>MIN(100,BK10+IF(AND(BK10&lt;100,BK11+1&gt;=IF(OR('2-man'!$F$5=TRUE,'2-man'!$F$5="TRUE",'2-man'!$F$5="Yes"),25,50)),10,0)+IF('2-man'!BL$15=$Q$15,25,0))</f>
        <v/>
      </c>
      <c r="BM9">
        <f>MIN(100,BL10+IF(AND(BL10&lt;100,BL11+1&gt;=IF(OR('2-man'!$F$5=TRUE,'2-man'!$F$5="TRUE",'2-man'!$F$5="Yes"),25,50)),10,0)+IF('2-man'!BM$15=$Q$15,25,0))</f>
        <v/>
      </c>
      <c r="BN9">
        <f>MIN(100,BM10+IF(AND(BM10&lt;100,BM11+1&gt;=IF(OR('2-man'!$F$5=TRUE,'2-man'!$F$5="TRUE",'2-man'!$F$5="Yes"),25,50)),10,0)+IF('2-man'!BN$15=$Q$15,25,0))</f>
        <v/>
      </c>
      <c r="BO9">
        <f>MIN(100,BN10+IF(AND(BN10&lt;100,BN11+1&gt;=IF(OR('2-man'!$F$5=TRUE,'2-man'!$F$5="TRUE",'2-man'!$F$5="Yes"),25,50)),10,0)+IF('2-man'!BO$15=$Q$15,25,0))</f>
        <v/>
      </c>
      <c r="BP9">
        <f>MIN(100,BO10+IF(AND(BO10&lt;100,BO11+1&gt;=IF(OR('2-man'!$F$5=TRUE,'2-man'!$F$5="TRUE",'2-man'!$F$5="Yes"),25,50)),10,0)+IF('2-man'!BP$15=$Q$15,25,0))</f>
        <v/>
      </c>
      <c r="BQ9">
        <f>MIN(100,BP10+IF(AND(BP10&lt;100,BP11+1&gt;=IF(OR('2-man'!$F$5=TRUE,'2-man'!$F$5="TRUE",'2-man'!$F$5="Yes"),25,50)),10,0)+IF('2-man'!BQ$15=$Q$15,25,0))</f>
        <v/>
      </c>
      <c r="BR9">
        <f>MIN(100,BQ10+IF(AND(BQ10&lt;100,BQ11+1&gt;=IF(OR('2-man'!$F$5=TRUE,'2-man'!$F$5="TRUE",'2-man'!$F$5="Yes"),25,50)),10,0)+IF('2-man'!BR$15=$Q$15,25,0))</f>
        <v/>
      </c>
      <c r="BS9">
        <f>MIN(100,BR10+IF(AND(BR10&lt;100,BR11+1&gt;=IF(OR('2-man'!$F$5=TRUE,'2-man'!$F$5="TRUE",'2-man'!$F$5="Yes"),25,50)),10,0)+IF('2-man'!BS$15=$Q$15,25,0))</f>
        <v/>
      </c>
      <c r="BT9">
        <f>MIN(100,BS10+IF(AND(BS10&lt;100,BS11+1&gt;=IF(OR('2-man'!$F$5=TRUE,'2-man'!$F$5="TRUE",'2-man'!$F$5="Yes"),25,50)),10,0)+IF('2-man'!BT$15=$Q$15,25,0))</f>
        <v/>
      </c>
      <c r="BU9">
        <f>MIN(100,BT10+IF(AND(BT10&lt;100,BT11+1&gt;=IF(OR('2-man'!$F$5=TRUE,'2-man'!$F$5="TRUE",'2-man'!$F$5="Yes"),25,50)),10,0)+IF('2-man'!BU$15=$Q$15,25,0))</f>
        <v/>
      </c>
      <c r="BV9">
        <f>MIN(100,BU10+IF(AND(BU10&lt;100,BU11+1&gt;=IF(OR('2-man'!$F$5=TRUE,'2-man'!$F$5="TRUE",'2-man'!$F$5="Yes"),25,50)),10,0)+IF('2-man'!BV$15=$Q$15,25,0))</f>
        <v/>
      </c>
      <c r="BW9">
        <f>MIN(100,BV10+IF(AND(BV10&lt;100,BV11+1&gt;=IF(OR('2-man'!$F$5=TRUE,'2-man'!$F$5="TRUE",'2-man'!$F$5="Yes"),25,50)),10,0)+IF('2-man'!BW$15=$Q$15,25,0))</f>
        <v/>
      </c>
      <c r="BX9">
        <f>MIN(100,BW10+IF(AND(BW10&lt;100,BW11+1&gt;=IF(OR('2-man'!$F$5=TRUE,'2-man'!$F$5="TRUE",'2-man'!$F$5="Yes"),25,50)),10,0)+IF('2-man'!BX$15=$Q$15,25,0))</f>
        <v/>
      </c>
      <c r="BY9">
        <f>MIN(100,BX10+IF(AND(BX10&lt;100,BX11+1&gt;=IF(OR('2-man'!$F$5=TRUE,'2-man'!$F$5="TRUE",'2-man'!$F$5="Yes"),25,50)),10,0)+IF('2-man'!BY$15=$Q$15,25,0))</f>
        <v/>
      </c>
      <c r="BZ9">
        <f>MIN(100,BY10+IF(AND(BY10&lt;100,BY11+1&gt;=IF(OR('2-man'!$F$5=TRUE,'2-man'!$F$5="TRUE",'2-man'!$F$5="Yes"),25,50)),10,0)+IF('2-man'!BZ$15=$Q$15,25,0))</f>
        <v/>
      </c>
      <c r="CA9">
        <f>MIN(100,BZ10+IF(AND(BZ10&lt;100,BZ11+1&gt;=IF(OR('2-man'!$F$5=TRUE,'2-man'!$F$5="TRUE",'2-man'!$F$5="Yes"),25,50)),10,0)+IF('2-man'!CA$15=$Q$15,25,0))</f>
        <v/>
      </c>
      <c r="CB9">
        <f>MIN(100,CA10+IF(AND(CA10&lt;100,CA11+1&gt;=IF(OR('2-man'!$F$5=TRUE,'2-man'!$F$5="TRUE",'2-man'!$F$5="Yes"),25,50)),10,0)+IF('2-man'!CB$15=$Q$15,25,0))</f>
        <v/>
      </c>
      <c r="CC9">
        <f>MIN(100,CB10+IF(AND(CB10&lt;100,CB11+1&gt;=IF(OR('2-man'!$F$5=TRUE,'2-man'!$F$5="TRUE",'2-man'!$F$5="Yes"),25,50)),10,0)+IF('2-man'!CC$15=$Q$15,25,0))</f>
        <v/>
      </c>
      <c r="CD9">
        <f>MIN(100,CC10+IF(AND(CC10&lt;100,CC11+1&gt;=IF(OR('2-man'!$F$5=TRUE,'2-man'!$F$5="TRUE",'2-man'!$F$5="Yes"),25,50)),10,0)+IF('2-man'!CD$15=$Q$15,25,0))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2-man'!C$17="R",MIN(100,C9+10),IF('2-man'!C$17="P",MIN(100,C9+25),IF(AND('2-man'!C$17="D",C9&gt;=35,'2-man'!C$15&lt;=IF('2-man'!$BF$4="",999,'2-man'!$BF$4)),C9-35,IF(AND(LEFT('2-man'!C$17,3)="ST&gt;",C9&gt;=100,'2-man'!C$15&lt;=IF('2-man'!$BF$4="",999,'2-man'!$BF$4)),0,IF(AND(OR(AND('2-man'!C$16="ST&gt;2",C1&gt;=100)),'2-man'!C$15&lt;=IF('2-man'!$BF$4="",999,'2-man'!$BF$4)),100,C9)))))</f>
        <v/>
      </c>
      <c r="D10">
        <f>IF('2-man'!D$17="R",MIN(100,D9+10),IF('2-man'!D$17="P",MIN(100,D9+25),IF(AND('2-man'!D$17="D",D9&gt;=35,'2-man'!D$15&lt;=IF('2-man'!$BF$4="",999,'2-man'!$BF$4)),D9-35,IF(AND(LEFT('2-man'!D$17,3)="ST&gt;",D9&gt;=100,'2-man'!D$15&lt;=IF('2-man'!$BF$4="",999,'2-man'!$BF$4)),0,IF(AND(OR(AND('2-man'!D$16="ST&gt;2",D1&gt;=100)),'2-man'!D$15&lt;=IF('2-man'!$BF$4="",999,'2-man'!$BF$4)),100,D9)))))</f>
        <v/>
      </c>
      <c r="E10">
        <f>IF('2-man'!E$17="R",MIN(100,E9+10),IF('2-man'!E$17="P",MIN(100,E9+25),IF(AND('2-man'!E$17="D",E9&gt;=35,'2-man'!E$15&lt;=IF('2-man'!$BF$4="",999,'2-man'!$BF$4)),E9-35,IF(AND(LEFT('2-man'!E$17,3)="ST&gt;",E9&gt;=100,'2-man'!E$15&lt;=IF('2-man'!$BF$4="",999,'2-man'!$BF$4)),0,IF(AND(OR(AND('2-man'!E$16="ST&gt;2",E1&gt;=100)),'2-man'!E$15&lt;=IF('2-man'!$BF$4="",999,'2-man'!$BF$4)),100,E9)))))</f>
        <v/>
      </c>
      <c r="F10">
        <f>IF('2-man'!F$17="R",MIN(100,F9+10),IF('2-man'!F$17="P",MIN(100,F9+25),IF(AND('2-man'!F$17="D",F9&gt;=35,'2-man'!F$15&lt;=IF('2-man'!$BF$4="",999,'2-man'!$BF$4)),F9-35,IF(AND(LEFT('2-man'!F$17,3)="ST&gt;",F9&gt;=100,'2-man'!F$15&lt;=IF('2-man'!$BF$4="",999,'2-man'!$BF$4)),0,IF(AND(OR(AND('2-man'!F$16="ST&gt;2",F1&gt;=100)),'2-man'!F$15&lt;=IF('2-man'!$BF$4="",999,'2-man'!$BF$4)),100,F9)))))</f>
        <v/>
      </c>
      <c r="G10">
        <f>IF('2-man'!G$17="R",MIN(100,G9+10),IF('2-man'!G$17="P",MIN(100,G9+25),IF(AND('2-man'!G$17="D",G9&gt;=35,'2-man'!G$15&lt;=IF('2-man'!$BF$4="",999,'2-man'!$BF$4)),G9-35,IF(AND(LEFT('2-man'!G$17,3)="ST&gt;",G9&gt;=100,'2-man'!G$15&lt;=IF('2-man'!$BF$4="",999,'2-man'!$BF$4)),0,IF(AND(OR(AND('2-man'!G$16="ST&gt;2",G1&gt;=100)),'2-man'!G$15&lt;=IF('2-man'!$BF$4="",999,'2-man'!$BF$4)),100,G9)))))</f>
        <v/>
      </c>
      <c r="H10">
        <f>IF('2-man'!H$17="R",MIN(100,H9+10),IF('2-man'!H$17="P",MIN(100,H9+25),IF(AND('2-man'!H$17="D",H9&gt;=35,'2-man'!H$15&lt;=IF('2-man'!$BF$4="",999,'2-man'!$BF$4)),H9-35,IF(AND(LEFT('2-man'!H$17,3)="ST&gt;",H9&gt;=100,'2-man'!H$15&lt;=IF('2-man'!$BF$4="",999,'2-man'!$BF$4)),0,IF(AND(OR(AND('2-man'!H$16="ST&gt;2",H1&gt;=100)),'2-man'!H$15&lt;=IF('2-man'!$BF$4="",999,'2-man'!$BF$4)),100,H9)))))</f>
        <v/>
      </c>
      <c r="I10">
        <f>IF('2-man'!I$17="R",MIN(100,I9+10),IF('2-man'!I$17="P",MIN(100,I9+25),IF(AND('2-man'!I$17="D",I9&gt;=35,'2-man'!I$15&lt;=IF('2-man'!$BF$4="",999,'2-man'!$BF$4)),I9-35,IF(AND(LEFT('2-man'!I$17,3)="ST&gt;",I9&gt;=100,'2-man'!I$15&lt;=IF('2-man'!$BF$4="",999,'2-man'!$BF$4)),0,IF(AND(OR(AND('2-man'!I$16="ST&gt;2",I1&gt;=100)),'2-man'!I$15&lt;=IF('2-man'!$BF$4="",999,'2-man'!$BF$4)),100,I9)))))</f>
        <v/>
      </c>
      <c r="J10">
        <f>IF('2-man'!J$17="R",MIN(100,J9+10),IF('2-man'!J$17="P",MIN(100,J9+25),IF(AND('2-man'!J$17="D",J9&gt;=35,'2-man'!J$15&lt;=IF('2-man'!$BF$4="",999,'2-man'!$BF$4)),J9-35,IF(AND(LEFT('2-man'!J$17,3)="ST&gt;",J9&gt;=100,'2-man'!J$15&lt;=IF('2-man'!$BF$4="",999,'2-man'!$BF$4)),0,IF(AND(OR(AND('2-man'!J$16="ST&gt;2",J1&gt;=100)),'2-man'!J$15&lt;=IF('2-man'!$BF$4="",999,'2-man'!$BF$4)),100,J9)))))</f>
        <v/>
      </c>
      <c r="K10">
        <f>IF('2-man'!K$17="R",MIN(100,K9+10),IF('2-man'!K$17="P",MIN(100,K9+25),IF(AND('2-man'!K$17="D",K9&gt;=35,'2-man'!K$15&lt;=IF('2-man'!$BF$4="",999,'2-man'!$BF$4)),K9-35,IF(AND(LEFT('2-man'!K$17,3)="ST&gt;",K9&gt;=100,'2-man'!K$15&lt;=IF('2-man'!$BF$4="",999,'2-man'!$BF$4)),0,IF(AND(OR(AND('2-man'!K$16="ST&gt;2",K1&gt;=100)),'2-man'!K$15&lt;=IF('2-man'!$BF$4="",999,'2-man'!$BF$4)),100,K9)))))</f>
        <v/>
      </c>
      <c r="L10">
        <f>IF('2-man'!L$17="R",MIN(100,L9+10),IF('2-man'!L$17="P",MIN(100,L9+25),IF(AND('2-man'!L$17="D",L9&gt;=35,'2-man'!L$15&lt;=IF('2-man'!$BF$4="",999,'2-man'!$BF$4)),L9-35,IF(AND(LEFT('2-man'!L$17,3)="ST&gt;",L9&gt;=100,'2-man'!L$15&lt;=IF('2-man'!$BF$4="",999,'2-man'!$BF$4)),0,IF(AND(OR(AND('2-man'!L$16="ST&gt;2",L1&gt;=100)),'2-man'!L$15&lt;=IF('2-man'!$BF$4="",999,'2-man'!$BF$4)),100,L9)))))</f>
        <v/>
      </c>
      <c r="M10">
        <f>IF('2-man'!M$17="R",MIN(100,M9+10),IF('2-man'!M$17="P",MIN(100,M9+25),IF(AND('2-man'!M$17="D",M9&gt;=35,'2-man'!M$15&lt;=IF('2-man'!$BF$4="",999,'2-man'!$BF$4)),M9-35,IF(AND(LEFT('2-man'!M$17,3)="ST&gt;",M9&gt;=100,'2-man'!M$15&lt;=IF('2-man'!$BF$4="",999,'2-man'!$BF$4)),0,IF(AND(OR(AND('2-man'!M$16="ST&gt;2",M1&gt;=100)),'2-man'!M$15&lt;=IF('2-man'!$BF$4="",999,'2-man'!$BF$4)),100,M9)))))</f>
        <v/>
      </c>
      <c r="N10">
        <f>IF('2-man'!N$17="R",MIN(100,N9+10),IF('2-man'!N$17="P",MIN(100,N9+25),IF(AND('2-man'!N$17="D",N9&gt;=35,'2-man'!N$15&lt;=IF('2-man'!$BF$4="",999,'2-man'!$BF$4)),N9-35,IF(AND(LEFT('2-man'!N$17,3)="ST&gt;",N9&gt;=100,'2-man'!N$15&lt;=IF('2-man'!$BF$4="",999,'2-man'!$BF$4)),0,IF(AND(OR(AND('2-man'!N$16="ST&gt;2",N1&gt;=100)),'2-man'!N$15&lt;=IF('2-man'!$BF$4="",999,'2-man'!$BF$4)),100,N9)))))</f>
        <v/>
      </c>
      <c r="O10">
        <f>IF('2-man'!O$17="R",MIN(100,O9+10),IF('2-man'!O$17="P",MIN(100,O9+25),IF(AND('2-man'!O$17="D",O9&gt;=35,'2-man'!O$15&lt;=IF('2-man'!$BF$4="",999,'2-man'!$BF$4)),O9-35,IF(AND(LEFT('2-man'!O$17,3)="ST&gt;",O9&gt;=100,'2-man'!O$15&lt;=IF('2-man'!$BF$4="",999,'2-man'!$BF$4)),0,IF(AND(OR(AND('2-man'!O$16="ST&gt;2",O1&gt;=100)),'2-man'!O$15&lt;=IF('2-man'!$BF$4="",999,'2-man'!$BF$4)),100,O9)))))</f>
        <v/>
      </c>
      <c r="P10">
        <f>IF('2-man'!P$17="R",MIN(100,P9+10),IF('2-man'!P$17="P",MIN(100,P9+25),IF(AND('2-man'!P$17="D",P9&gt;=35,'2-man'!P$15&lt;=IF('2-man'!$BF$4="",999,'2-man'!$BF$4)),P9-35,IF(AND(LEFT('2-man'!P$17,3)="ST&gt;",P9&gt;=100,'2-man'!P$15&lt;=IF('2-man'!$BF$4="",999,'2-man'!$BF$4)),0,IF(AND(OR(AND('2-man'!P$16="ST&gt;2",P1&gt;=100)),'2-man'!P$15&lt;=IF('2-man'!$BF$4="",999,'2-man'!$BF$4)),100,P9)))))</f>
        <v/>
      </c>
      <c r="Q10">
        <f>IF('2-man'!Q$17="R",MIN(100,Q9+10),IF('2-man'!Q$17="P",MIN(100,Q9+25),IF(AND('2-man'!Q$17="D",Q9&gt;=35,'2-man'!Q$15&lt;=IF('2-man'!$BF$4="",999,'2-man'!$BF$4)),Q9-35,IF(AND(LEFT('2-man'!Q$17,3)="ST&gt;",Q9&gt;=100,'2-man'!Q$15&lt;=IF('2-man'!$BF$4="",999,'2-man'!$BF$4)),0,IF(AND(OR(AND('2-man'!Q$16="ST&gt;2",Q1&gt;=100)),'2-man'!Q$15&lt;=IF('2-man'!$BF$4="",999,'2-man'!$BF$4)),100,Q9)))))</f>
        <v/>
      </c>
      <c r="R10">
        <f>IF('2-man'!R$17="R",MIN(100,R9+10),IF('2-man'!R$17="P",MIN(100,R9+25),IF(AND('2-man'!R$17="D",R9&gt;=35,'2-man'!R$15&lt;=IF('2-man'!$BF$4="",999,'2-man'!$BF$4)),R9-35,IF(AND(LEFT('2-man'!R$17,3)="ST&gt;",R9&gt;=100,'2-man'!R$15&lt;=IF('2-man'!$BF$4="",999,'2-man'!$BF$4)),0,IF(AND(OR(AND('2-man'!R$16="ST&gt;2",R1&gt;=100)),'2-man'!R$15&lt;=IF('2-man'!$BF$4="",999,'2-man'!$BF$4)),100,R9)))))</f>
        <v/>
      </c>
      <c r="S10">
        <f>IF('2-man'!S$17="R",MIN(100,S9+10),IF('2-man'!S$17="P",MIN(100,S9+25),IF(AND('2-man'!S$17="D",S9&gt;=35,'2-man'!S$15&lt;=IF('2-man'!$BF$4="",999,'2-man'!$BF$4)),S9-35,IF(AND(LEFT('2-man'!S$17,3)="ST&gt;",S9&gt;=100,'2-man'!S$15&lt;=IF('2-man'!$BF$4="",999,'2-man'!$BF$4)),0,IF(AND(OR(AND('2-man'!S$16="ST&gt;2",S1&gt;=100)),'2-man'!S$15&lt;=IF('2-man'!$BF$4="",999,'2-man'!$BF$4)),100,S9)))))</f>
        <v/>
      </c>
      <c r="T10">
        <f>IF('2-man'!T$17="R",MIN(100,T9+10),IF('2-man'!T$17="P",MIN(100,T9+25),IF(AND('2-man'!T$17="D",T9&gt;=35,'2-man'!T$15&lt;=IF('2-man'!$BF$4="",999,'2-man'!$BF$4)),T9-35,IF(AND(LEFT('2-man'!T$17,3)="ST&gt;",T9&gt;=100,'2-man'!T$15&lt;=IF('2-man'!$BF$4="",999,'2-man'!$BF$4)),0,IF(AND(OR(AND('2-man'!T$16="ST&gt;2",T1&gt;=100)),'2-man'!T$15&lt;=IF('2-man'!$BF$4="",999,'2-man'!$BF$4)),100,T9)))))</f>
        <v/>
      </c>
      <c r="U10">
        <f>IF('2-man'!U$17="R",MIN(100,U9+10),IF('2-man'!U$17="P",MIN(100,U9+25),IF(AND('2-man'!U$17="D",U9&gt;=35,'2-man'!U$15&lt;=IF('2-man'!$BF$4="",999,'2-man'!$BF$4)),U9-35,IF(AND(LEFT('2-man'!U$17,3)="ST&gt;",U9&gt;=100,'2-man'!U$15&lt;=IF('2-man'!$BF$4="",999,'2-man'!$BF$4)),0,IF(AND(OR(AND('2-man'!U$16="ST&gt;2",U1&gt;=100)),'2-man'!U$15&lt;=IF('2-man'!$BF$4="",999,'2-man'!$BF$4)),100,U9)))))</f>
        <v/>
      </c>
      <c r="V10">
        <f>IF('2-man'!V$17="R",MIN(100,V9+10),IF('2-man'!V$17="P",MIN(100,V9+25),IF(AND('2-man'!V$17="D",V9&gt;=35,'2-man'!V$15&lt;=IF('2-man'!$BF$4="",999,'2-man'!$BF$4)),V9-35,IF(AND(LEFT('2-man'!V$17,3)="ST&gt;",V9&gt;=100,'2-man'!V$15&lt;=IF('2-man'!$BF$4="",999,'2-man'!$BF$4)),0,IF(AND(OR(AND('2-man'!V$16="ST&gt;2",V1&gt;=100)),'2-man'!V$15&lt;=IF('2-man'!$BF$4="",999,'2-man'!$BF$4)),100,V9)))))</f>
        <v/>
      </c>
      <c r="W10">
        <f>IF('2-man'!W$17="R",MIN(100,W9+10),IF('2-man'!W$17="P",MIN(100,W9+25),IF(AND('2-man'!W$17="D",W9&gt;=35,'2-man'!W$15&lt;=IF('2-man'!$BF$4="",999,'2-man'!$BF$4)),W9-35,IF(AND(LEFT('2-man'!W$17,3)="ST&gt;",W9&gt;=100,'2-man'!W$15&lt;=IF('2-man'!$BF$4="",999,'2-man'!$BF$4)),0,IF(AND(OR(AND('2-man'!W$16="ST&gt;2",W1&gt;=100)),'2-man'!W$15&lt;=IF('2-man'!$BF$4="",999,'2-man'!$BF$4)),100,W9)))))</f>
        <v/>
      </c>
      <c r="X10">
        <f>IF('2-man'!X$17="R",MIN(100,X9+10),IF('2-man'!X$17="P",MIN(100,X9+25),IF(AND('2-man'!X$17="D",X9&gt;=35,'2-man'!X$15&lt;=IF('2-man'!$BF$4="",999,'2-man'!$BF$4)),X9-35,IF(AND(LEFT('2-man'!X$17,3)="ST&gt;",X9&gt;=100,'2-man'!X$15&lt;=IF('2-man'!$BF$4="",999,'2-man'!$BF$4)),0,IF(AND(OR(AND('2-man'!X$16="ST&gt;2",X1&gt;=100)),'2-man'!X$15&lt;=IF('2-man'!$BF$4="",999,'2-man'!$BF$4)),100,X9)))))</f>
        <v/>
      </c>
      <c r="Y10">
        <f>IF('2-man'!Y$17="R",MIN(100,Y9+10),IF('2-man'!Y$17="P",MIN(100,Y9+25),IF(AND('2-man'!Y$17="D",Y9&gt;=35,'2-man'!Y$15&lt;=IF('2-man'!$BF$4="",999,'2-man'!$BF$4)),Y9-35,IF(AND(LEFT('2-man'!Y$17,3)="ST&gt;",Y9&gt;=100,'2-man'!Y$15&lt;=IF('2-man'!$BF$4="",999,'2-man'!$BF$4)),0,IF(AND(OR(AND('2-man'!Y$16="ST&gt;2",Y1&gt;=100)),'2-man'!Y$15&lt;=IF('2-man'!$BF$4="",999,'2-man'!$BF$4)),100,Y9)))))</f>
        <v/>
      </c>
      <c r="Z10">
        <f>IF('2-man'!Z$17="R",MIN(100,Z9+10),IF('2-man'!Z$17="P",MIN(100,Z9+25),IF(AND('2-man'!Z$17="D",Z9&gt;=35,'2-man'!Z$15&lt;=IF('2-man'!$BF$4="",999,'2-man'!$BF$4)),Z9-35,IF(AND(LEFT('2-man'!Z$17,3)="ST&gt;",Z9&gt;=100,'2-man'!Z$15&lt;=IF('2-man'!$BF$4="",999,'2-man'!$BF$4)),0,IF(AND(OR(AND('2-man'!Z$16="ST&gt;2",Z1&gt;=100)),'2-man'!Z$15&lt;=IF('2-man'!$BF$4="",999,'2-man'!$BF$4)),100,Z9)))))</f>
        <v/>
      </c>
      <c r="AA10">
        <f>IF('2-man'!AA$17="R",MIN(100,AA9+10),IF('2-man'!AA$17="P",MIN(100,AA9+25),IF(AND('2-man'!AA$17="D",AA9&gt;=35,'2-man'!AA$15&lt;=IF('2-man'!$BF$4="",999,'2-man'!$BF$4)),AA9-35,IF(AND(LEFT('2-man'!AA$17,3)="ST&gt;",AA9&gt;=100,'2-man'!AA$15&lt;=IF('2-man'!$BF$4="",999,'2-man'!$BF$4)),0,IF(AND(OR(AND('2-man'!AA$16="ST&gt;2",AA1&gt;=100)),'2-man'!AA$15&lt;=IF('2-man'!$BF$4="",999,'2-man'!$BF$4)),100,AA9)))))</f>
        <v/>
      </c>
      <c r="AB10">
        <f>IF('2-man'!AB$17="R",MIN(100,AB9+10),IF('2-man'!AB$17="P",MIN(100,AB9+25),IF(AND('2-man'!AB$17="D",AB9&gt;=35,'2-man'!AB$15&lt;=IF('2-man'!$BF$4="",999,'2-man'!$BF$4)),AB9-35,IF(AND(LEFT('2-man'!AB$17,3)="ST&gt;",AB9&gt;=100,'2-man'!AB$15&lt;=IF('2-man'!$BF$4="",999,'2-man'!$BF$4)),0,IF(AND(OR(AND('2-man'!AB$16="ST&gt;2",AB1&gt;=100)),'2-man'!AB$15&lt;=IF('2-man'!$BF$4="",999,'2-man'!$BF$4)),100,AB9)))))</f>
        <v/>
      </c>
      <c r="AC10">
        <f>IF('2-man'!AC$17="R",MIN(100,AC9+10),IF('2-man'!AC$17="P",MIN(100,AC9+25),IF(AND('2-man'!AC$17="D",AC9&gt;=35,'2-man'!AC$15&lt;=IF('2-man'!$BF$4="",999,'2-man'!$BF$4)),AC9-35,IF(AND(LEFT('2-man'!AC$17,3)="ST&gt;",AC9&gt;=100,'2-man'!AC$15&lt;=IF('2-man'!$BF$4="",999,'2-man'!$BF$4)),0,IF(AND(OR(AND('2-man'!AC$16="ST&gt;2",AC1&gt;=100)),'2-man'!AC$15&lt;=IF('2-man'!$BF$4="",999,'2-man'!$BF$4)),100,AC9)))))</f>
        <v/>
      </c>
      <c r="AD10">
        <f>IF('2-man'!AD$17="R",MIN(100,AD9+10),IF('2-man'!AD$17="P",MIN(100,AD9+25),IF(AND('2-man'!AD$17="D",AD9&gt;=35,'2-man'!AD$15&lt;=IF('2-man'!$BF$4="",999,'2-man'!$BF$4)),AD9-35,IF(AND(LEFT('2-man'!AD$17,3)="ST&gt;",AD9&gt;=100,'2-man'!AD$15&lt;=IF('2-man'!$BF$4="",999,'2-man'!$BF$4)),0,IF(AND(OR(AND('2-man'!AD$16="ST&gt;2",AD1&gt;=100)),'2-man'!AD$15&lt;=IF('2-man'!$BF$4="",999,'2-man'!$BF$4)),100,AD9)))))</f>
        <v/>
      </c>
      <c r="AE10">
        <f>IF('2-man'!AE$17="R",MIN(100,AE9+10),IF('2-man'!AE$17="P",MIN(100,AE9+25),IF(AND('2-man'!AE$17="D",AE9&gt;=35,'2-man'!AE$15&lt;=IF('2-man'!$BF$4="",999,'2-man'!$BF$4)),AE9-35,IF(AND(LEFT('2-man'!AE$17,3)="ST&gt;",AE9&gt;=100,'2-man'!AE$15&lt;=IF('2-man'!$BF$4="",999,'2-man'!$BF$4)),0,IF(AND(OR(AND('2-man'!AE$16="ST&gt;2",AE1&gt;=100)),'2-man'!AE$15&lt;=IF('2-man'!$BF$4="",999,'2-man'!$BF$4)),100,AE9)))))</f>
        <v/>
      </c>
      <c r="AF10">
        <f>IF('2-man'!AF$17="R",MIN(100,AF9+10),IF('2-man'!AF$17="P",MIN(100,AF9+25),IF(AND('2-man'!AF$17="D",AF9&gt;=35,'2-man'!AF$15&lt;=IF('2-man'!$BF$4="",999,'2-man'!$BF$4)),AF9-35,IF(AND(LEFT('2-man'!AF$17,3)="ST&gt;",AF9&gt;=100,'2-man'!AF$15&lt;=IF('2-man'!$BF$4="",999,'2-man'!$BF$4)),0,IF(AND(OR(AND('2-man'!AF$16="ST&gt;2",AF1&gt;=100)),'2-man'!AF$15&lt;=IF('2-man'!$BF$4="",999,'2-man'!$BF$4)),100,AF9)))))</f>
        <v/>
      </c>
      <c r="AG10">
        <f>IF('2-man'!AG$17="R",MIN(100,AG9+10),IF('2-man'!AG$17="P",MIN(100,AG9+25),IF(AND('2-man'!AG$17="D",AG9&gt;=35,'2-man'!AG$15&lt;=IF('2-man'!$BF$4="",999,'2-man'!$BF$4)),AG9-35,IF(AND(LEFT('2-man'!AG$17,3)="ST&gt;",AG9&gt;=100,'2-man'!AG$15&lt;=IF('2-man'!$BF$4="",999,'2-man'!$BF$4)),0,IF(AND(OR(AND('2-man'!AG$16="ST&gt;2",AG1&gt;=100)),'2-man'!AG$15&lt;=IF('2-man'!$BF$4="",999,'2-man'!$BF$4)),100,AG9)))))</f>
        <v/>
      </c>
      <c r="AH10">
        <f>IF('2-man'!AH$17="R",MIN(100,AH9+10),IF('2-man'!AH$17="P",MIN(100,AH9+25),IF(AND('2-man'!AH$17="D",AH9&gt;=35,'2-man'!AH$15&lt;=IF('2-man'!$BF$4="",999,'2-man'!$BF$4)),AH9-35,IF(AND(LEFT('2-man'!AH$17,3)="ST&gt;",AH9&gt;=100,'2-man'!AH$15&lt;=IF('2-man'!$BF$4="",999,'2-man'!$BF$4)),0,IF(AND(OR(AND('2-man'!AH$16="ST&gt;2",AH1&gt;=100)),'2-man'!AH$15&lt;=IF('2-man'!$BF$4="",999,'2-man'!$BF$4)),100,AH9)))))</f>
        <v/>
      </c>
      <c r="AI10">
        <f>IF('2-man'!AI$17="R",MIN(100,AI9+10),IF('2-man'!AI$17="P",MIN(100,AI9+25),IF(AND('2-man'!AI$17="D",AI9&gt;=35,'2-man'!AI$15&lt;=IF('2-man'!$BF$4="",999,'2-man'!$BF$4)),AI9-35,IF(AND(LEFT('2-man'!AI$17,3)="ST&gt;",AI9&gt;=100,'2-man'!AI$15&lt;=IF('2-man'!$BF$4="",999,'2-man'!$BF$4)),0,IF(AND(OR(AND('2-man'!AI$16="ST&gt;2",AI1&gt;=100)),'2-man'!AI$15&lt;=IF('2-man'!$BF$4="",999,'2-man'!$BF$4)),100,AI9)))))</f>
        <v/>
      </c>
      <c r="AJ10">
        <f>IF('2-man'!AJ$17="R",MIN(100,AJ9+10),IF('2-man'!AJ$17="P",MIN(100,AJ9+25),IF(AND('2-man'!AJ$17="D",AJ9&gt;=35,'2-man'!AJ$15&lt;=IF('2-man'!$BF$4="",999,'2-man'!$BF$4)),AJ9-35,IF(AND(LEFT('2-man'!AJ$17,3)="ST&gt;",AJ9&gt;=100,'2-man'!AJ$15&lt;=IF('2-man'!$BF$4="",999,'2-man'!$BF$4)),0,IF(AND(OR(AND('2-man'!AJ$16="ST&gt;2",AJ1&gt;=100)),'2-man'!AJ$15&lt;=IF('2-man'!$BF$4="",999,'2-man'!$BF$4)),100,AJ9)))))</f>
        <v/>
      </c>
      <c r="AK10">
        <f>IF('2-man'!AK$17="R",MIN(100,AK9+10),IF('2-man'!AK$17="P",MIN(100,AK9+25),IF(AND('2-man'!AK$17="D",AK9&gt;=35,'2-man'!AK$15&lt;=IF('2-man'!$BF$4="",999,'2-man'!$BF$4)),AK9-35,IF(AND(LEFT('2-man'!AK$17,3)="ST&gt;",AK9&gt;=100,'2-man'!AK$15&lt;=IF('2-man'!$BF$4="",999,'2-man'!$BF$4)),0,IF(AND(OR(AND('2-man'!AK$16="ST&gt;2",AK1&gt;=100)),'2-man'!AK$15&lt;=IF('2-man'!$BF$4="",999,'2-man'!$BF$4)),100,AK9)))))</f>
        <v/>
      </c>
      <c r="AL10">
        <f>IF('2-man'!AL$17="R",MIN(100,AL9+10),IF('2-man'!AL$17="P",MIN(100,AL9+25),IF(AND('2-man'!AL$17="D",AL9&gt;=35,'2-man'!AL$15&lt;=IF('2-man'!$BF$4="",999,'2-man'!$BF$4)),AL9-35,IF(AND(LEFT('2-man'!AL$17,3)="ST&gt;",AL9&gt;=100,'2-man'!AL$15&lt;=IF('2-man'!$BF$4="",999,'2-man'!$BF$4)),0,IF(AND(OR(AND('2-man'!AL$16="ST&gt;2",AL1&gt;=100)),'2-man'!AL$15&lt;=IF('2-man'!$BF$4="",999,'2-man'!$BF$4)),100,AL9)))))</f>
        <v/>
      </c>
      <c r="AM10">
        <f>IF('2-man'!AM$17="R",MIN(100,AM9+10),IF('2-man'!AM$17="P",MIN(100,AM9+25),IF(AND('2-man'!AM$17="D",AM9&gt;=35,'2-man'!AM$15&lt;=IF('2-man'!$BF$4="",999,'2-man'!$BF$4)),AM9-35,IF(AND(LEFT('2-man'!AM$17,3)="ST&gt;",AM9&gt;=100,'2-man'!AM$15&lt;=IF('2-man'!$BF$4="",999,'2-man'!$BF$4)),0,IF(AND(OR(AND('2-man'!AM$16="ST&gt;2",AM1&gt;=100)),'2-man'!AM$15&lt;=IF('2-man'!$BF$4="",999,'2-man'!$BF$4)),100,AM9)))))</f>
        <v/>
      </c>
      <c r="AN10">
        <f>IF('2-man'!AN$17="R",MIN(100,AN9+10),IF('2-man'!AN$17="P",MIN(100,AN9+25),IF(AND('2-man'!AN$17="D",AN9&gt;=35,'2-man'!AN$15&lt;=IF('2-man'!$BF$4="",999,'2-man'!$BF$4)),AN9-35,IF(AND(LEFT('2-man'!AN$17,3)="ST&gt;",AN9&gt;=100,'2-man'!AN$15&lt;=IF('2-man'!$BF$4="",999,'2-man'!$BF$4)),0,IF(AND(OR(AND('2-man'!AN$16="ST&gt;2",AN1&gt;=100)),'2-man'!AN$15&lt;=IF('2-man'!$BF$4="",999,'2-man'!$BF$4)),100,AN9)))))</f>
        <v/>
      </c>
      <c r="AO10">
        <f>IF('2-man'!AO$17="R",MIN(100,AO9+10),IF('2-man'!AO$17="P",MIN(100,AO9+25),IF(AND('2-man'!AO$17="D",AO9&gt;=35,'2-man'!AO$15&lt;=IF('2-man'!$BF$4="",999,'2-man'!$BF$4)),AO9-35,IF(AND(LEFT('2-man'!AO$17,3)="ST&gt;",AO9&gt;=100,'2-man'!AO$15&lt;=IF('2-man'!$BF$4="",999,'2-man'!$BF$4)),0,IF(AND(OR(AND('2-man'!AO$16="ST&gt;2",AO1&gt;=100)),'2-man'!AO$15&lt;=IF('2-man'!$BF$4="",999,'2-man'!$BF$4)),100,AO9)))))</f>
        <v/>
      </c>
      <c r="AP10">
        <f>IF('2-man'!AP$17="R",MIN(100,AP9+10),IF('2-man'!AP$17="P",MIN(100,AP9+25),IF(AND('2-man'!AP$17="D",AP9&gt;=35,'2-man'!AP$15&lt;=IF('2-man'!$BF$4="",999,'2-man'!$BF$4)),AP9-35,IF(AND(LEFT('2-man'!AP$17,3)="ST&gt;",AP9&gt;=100,'2-man'!AP$15&lt;=IF('2-man'!$BF$4="",999,'2-man'!$BF$4)),0,IF(AND(OR(AND('2-man'!AP$16="ST&gt;2",AP1&gt;=100)),'2-man'!AP$15&lt;=IF('2-man'!$BF$4="",999,'2-man'!$BF$4)),100,AP9)))))</f>
        <v/>
      </c>
      <c r="AQ10">
        <f>IF('2-man'!AQ$17="R",MIN(100,AQ9+10),IF('2-man'!AQ$17="P",MIN(100,AQ9+25),IF(AND('2-man'!AQ$17="D",AQ9&gt;=35,'2-man'!AQ$15&lt;=IF('2-man'!$BF$4="",999,'2-man'!$BF$4)),AQ9-35,IF(AND(LEFT('2-man'!AQ$17,3)="ST&gt;",AQ9&gt;=100,'2-man'!AQ$15&lt;=IF('2-man'!$BF$4="",999,'2-man'!$BF$4)),0,IF(AND(OR(AND('2-man'!AQ$16="ST&gt;2",AQ1&gt;=100)),'2-man'!AQ$15&lt;=IF('2-man'!$BF$4="",999,'2-man'!$BF$4)),100,AQ9)))))</f>
        <v/>
      </c>
      <c r="AR10">
        <f>IF('2-man'!AR$17="R",MIN(100,AR9+10),IF('2-man'!AR$17="P",MIN(100,AR9+25),IF(AND('2-man'!AR$17="D",AR9&gt;=35,'2-man'!AR$15&lt;=IF('2-man'!$BF$4="",999,'2-man'!$BF$4)),AR9-35,IF(AND(LEFT('2-man'!AR$17,3)="ST&gt;",AR9&gt;=100,'2-man'!AR$15&lt;=IF('2-man'!$BF$4="",999,'2-man'!$BF$4)),0,IF(AND(OR(AND('2-man'!AR$16="ST&gt;2",AR1&gt;=100)),'2-man'!AR$15&lt;=IF('2-man'!$BF$4="",999,'2-man'!$BF$4)),100,AR9)))))</f>
        <v/>
      </c>
      <c r="AS10">
        <f>IF('2-man'!AS$17="R",MIN(100,AS9+10),IF('2-man'!AS$17="P",MIN(100,AS9+25),IF(AND('2-man'!AS$17="D",AS9&gt;=35,'2-man'!AS$15&lt;=IF('2-man'!$BF$4="",999,'2-man'!$BF$4)),AS9-35,IF(AND(LEFT('2-man'!AS$17,3)="ST&gt;",AS9&gt;=100,'2-man'!AS$15&lt;=IF('2-man'!$BF$4="",999,'2-man'!$BF$4)),0,IF(AND(OR(AND('2-man'!AS$16="ST&gt;2",AS1&gt;=100)),'2-man'!AS$15&lt;=IF('2-man'!$BF$4="",999,'2-man'!$BF$4)),100,AS9)))))</f>
        <v/>
      </c>
      <c r="AT10">
        <f>IF('2-man'!AT$17="R",MIN(100,AT9+10),IF('2-man'!AT$17="P",MIN(100,AT9+25),IF(AND('2-man'!AT$17="D",AT9&gt;=35,'2-man'!AT$15&lt;=IF('2-man'!$BF$4="",999,'2-man'!$BF$4)),AT9-35,IF(AND(LEFT('2-man'!AT$17,3)="ST&gt;",AT9&gt;=100,'2-man'!AT$15&lt;=IF('2-man'!$BF$4="",999,'2-man'!$BF$4)),0,IF(AND(OR(AND('2-man'!AT$16="ST&gt;2",AT1&gt;=100)),'2-man'!AT$15&lt;=IF('2-man'!$BF$4="",999,'2-man'!$BF$4)),100,AT9)))))</f>
        <v/>
      </c>
      <c r="AU10">
        <f>IF('2-man'!AU$17="R",MIN(100,AU9+10),IF('2-man'!AU$17="P",MIN(100,AU9+25),IF(AND('2-man'!AU$17="D",AU9&gt;=35,'2-man'!AU$15&lt;=IF('2-man'!$BF$4="",999,'2-man'!$BF$4)),AU9-35,IF(AND(LEFT('2-man'!AU$17,3)="ST&gt;",AU9&gt;=100,'2-man'!AU$15&lt;=IF('2-man'!$BF$4="",999,'2-man'!$BF$4)),0,IF(AND(OR(AND('2-man'!AU$16="ST&gt;2",AU1&gt;=100)),'2-man'!AU$15&lt;=IF('2-man'!$BF$4="",999,'2-man'!$BF$4)),100,AU9)))))</f>
        <v/>
      </c>
      <c r="AV10">
        <f>IF('2-man'!AV$17="R",MIN(100,AV9+10),IF('2-man'!AV$17="P",MIN(100,AV9+25),IF(AND('2-man'!AV$17="D",AV9&gt;=35,'2-man'!AV$15&lt;=IF('2-man'!$BF$4="",999,'2-man'!$BF$4)),AV9-35,IF(AND(LEFT('2-man'!AV$17,3)="ST&gt;",AV9&gt;=100,'2-man'!AV$15&lt;=IF('2-man'!$BF$4="",999,'2-man'!$BF$4)),0,IF(AND(OR(AND('2-man'!AV$16="ST&gt;2",AV1&gt;=100)),'2-man'!AV$15&lt;=IF('2-man'!$BF$4="",999,'2-man'!$BF$4)),100,AV9)))))</f>
        <v/>
      </c>
      <c r="AW10">
        <f>IF('2-man'!AW$17="R",MIN(100,AW9+10),IF('2-man'!AW$17="P",MIN(100,AW9+25),IF(AND('2-man'!AW$17="D",AW9&gt;=35,'2-man'!AW$15&lt;=IF('2-man'!$BF$4="",999,'2-man'!$BF$4)),AW9-35,IF(AND(LEFT('2-man'!AW$17,3)="ST&gt;",AW9&gt;=100,'2-man'!AW$15&lt;=IF('2-man'!$BF$4="",999,'2-man'!$BF$4)),0,IF(AND(OR(AND('2-man'!AW$16="ST&gt;2",AW1&gt;=100)),'2-man'!AW$15&lt;=IF('2-man'!$BF$4="",999,'2-man'!$BF$4)),100,AW9)))))</f>
        <v/>
      </c>
      <c r="AX10">
        <f>IF('2-man'!AX$17="R",MIN(100,AX9+10),IF('2-man'!AX$17="P",MIN(100,AX9+25),IF(AND('2-man'!AX$17="D",AX9&gt;=35,'2-man'!AX$15&lt;=IF('2-man'!$BF$4="",999,'2-man'!$BF$4)),AX9-35,IF(AND(LEFT('2-man'!AX$17,3)="ST&gt;",AX9&gt;=100,'2-man'!AX$15&lt;=IF('2-man'!$BF$4="",999,'2-man'!$BF$4)),0,IF(AND(OR(AND('2-man'!AX$16="ST&gt;2",AX1&gt;=100)),'2-man'!AX$15&lt;=IF('2-man'!$BF$4="",999,'2-man'!$BF$4)),100,AX9)))))</f>
        <v/>
      </c>
      <c r="AY10">
        <f>IF('2-man'!AY$17="R",MIN(100,AY9+10),IF('2-man'!AY$17="P",MIN(100,AY9+25),IF(AND('2-man'!AY$17="D",AY9&gt;=35,'2-man'!AY$15&lt;=IF('2-man'!$BF$4="",999,'2-man'!$BF$4)),AY9-35,IF(AND(LEFT('2-man'!AY$17,3)="ST&gt;",AY9&gt;=100,'2-man'!AY$15&lt;=IF('2-man'!$BF$4="",999,'2-man'!$BF$4)),0,IF(AND(OR(AND('2-man'!AY$16="ST&gt;2",AY1&gt;=100)),'2-man'!AY$15&lt;=IF('2-man'!$BF$4="",999,'2-man'!$BF$4)),100,AY9)))))</f>
        <v/>
      </c>
      <c r="AZ10">
        <f>IF('2-man'!AZ$17="R",MIN(100,AZ9+10),IF('2-man'!AZ$17="P",MIN(100,AZ9+25),IF(AND('2-man'!AZ$17="D",AZ9&gt;=35,'2-man'!AZ$15&lt;=IF('2-man'!$BF$4="",999,'2-man'!$BF$4)),AZ9-35,IF(AND(LEFT('2-man'!AZ$17,3)="ST&gt;",AZ9&gt;=100,'2-man'!AZ$15&lt;=IF('2-man'!$BF$4="",999,'2-man'!$BF$4)),0,IF(AND(OR(AND('2-man'!AZ$16="ST&gt;2",AZ1&gt;=100)),'2-man'!AZ$15&lt;=IF('2-man'!$BF$4="",999,'2-man'!$BF$4)),100,AZ9)))))</f>
        <v/>
      </c>
      <c r="BA10">
        <f>IF('2-man'!BA$17="R",MIN(100,BA9+10),IF('2-man'!BA$17="P",MIN(100,BA9+25),IF(AND('2-man'!BA$17="D",BA9&gt;=35,'2-man'!BA$15&lt;=IF('2-man'!$BF$4="",999,'2-man'!$BF$4)),BA9-35,IF(AND(LEFT('2-man'!BA$17,3)="ST&gt;",BA9&gt;=100,'2-man'!BA$15&lt;=IF('2-man'!$BF$4="",999,'2-man'!$BF$4)),0,IF(AND(OR(AND('2-man'!BA$16="ST&gt;2",BA1&gt;=100)),'2-man'!BA$15&lt;=IF('2-man'!$BF$4="",999,'2-man'!$BF$4)),100,BA9)))))</f>
        <v/>
      </c>
      <c r="BB10">
        <f>IF('2-man'!BB$17="R",MIN(100,BB9+10),IF('2-man'!BB$17="P",MIN(100,BB9+25),IF(AND('2-man'!BB$17="D",BB9&gt;=35,'2-man'!BB$15&lt;=IF('2-man'!$BF$4="",999,'2-man'!$BF$4)),BB9-35,IF(AND(LEFT('2-man'!BB$17,3)="ST&gt;",BB9&gt;=100,'2-man'!BB$15&lt;=IF('2-man'!$BF$4="",999,'2-man'!$BF$4)),0,IF(AND(OR(AND('2-man'!BB$16="ST&gt;2",BB1&gt;=100)),'2-man'!BB$15&lt;=IF('2-man'!$BF$4="",999,'2-man'!$BF$4)),100,BB9)))))</f>
        <v/>
      </c>
      <c r="BC10">
        <f>IF('2-man'!BC$17="R",MIN(100,BC9+10),IF('2-man'!BC$17="P",MIN(100,BC9+25),IF(AND('2-man'!BC$17="D",BC9&gt;=35,'2-man'!BC$15&lt;=IF('2-man'!$BF$4="",999,'2-man'!$BF$4)),BC9-35,IF(AND(LEFT('2-man'!BC$17,3)="ST&gt;",BC9&gt;=100,'2-man'!BC$15&lt;=IF('2-man'!$BF$4="",999,'2-man'!$BF$4)),0,IF(AND(OR(AND('2-man'!BC$16="ST&gt;2",BC1&gt;=100)),'2-man'!BC$15&lt;=IF('2-man'!$BF$4="",999,'2-man'!$BF$4)),100,BC9)))))</f>
        <v/>
      </c>
      <c r="BD10">
        <f>IF('2-man'!BD$17="R",MIN(100,BD9+10),IF('2-man'!BD$17="P",MIN(100,BD9+25),IF(AND('2-man'!BD$17="D",BD9&gt;=35,'2-man'!BD$15&lt;=IF('2-man'!$BF$4="",999,'2-man'!$BF$4)),BD9-35,IF(AND(LEFT('2-man'!BD$17,3)="ST&gt;",BD9&gt;=100,'2-man'!BD$15&lt;=IF('2-man'!$BF$4="",999,'2-man'!$BF$4)),0,IF(AND(OR(AND('2-man'!BD$16="ST&gt;2",BD1&gt;=100)),'2-man'!BD$15&lt;=IF('2-man'!$BF$4="",999,'2-man'!$BF$4)),100,BD9)))))</f>
        <v/>
      </c>
      <c r="BE10">
        <f>IF('2-man'!BE$17="R",MIN(100,BE9+10),IF('2-man'!BE$17="P",MIN(100,BE9+25),IF(AND('2-man'!BE$17="D",BE9&gt;=35,'2-man'!BE$15&lt;=IF('2-man'!$BF$4="",999,'2-man'!$BF$4)),BE9-35,IF(AND(LEFT('2-man'!BE$17,3)="ST&gt;",BE9&gt;=100,'2-man'!BE$15&lt;=IF('2-man'!$BF$4="",999,'2-man'!$BF$4)),0,IF(AND(OR(AND('2-man'!BE$16="ST&gt;2",BE1&gt;=100)),'2-man'!BE$15&lt;=IF('2-man'!$BF$4="",999,'2-man'!$BF$4)),100,BE9)))))</f>
        <v/>
      </c>
      <c r="BF10">
        <f>IF('2-man'!BF$17="R",MIN(100,BF9+10),IF('2-man'!BF$17="P",MIN(100,BF9+25),IF(AND('2-man'!BF$17="D",BF9&gt;=35,'2-man'!BF$15&lt;=IF('2-man'!$BF$4="",999,'2-man'!$BF$4)),BF9-35,IF(AND(LEFT('2-man'!BF$17,3)="ST&gt;",BF9&gt;=100,'2-man'!BF$15&lt;=IF('2-man'!$BF$4="",999,'2-man'!$BF$4)),0,IF(AND(OR(AND('2-man'!BF$16="ST&gt;2",BF1&gt;=100)),'2-man'!BF$15&lt;=IF('2-man'!$BF$4="",999,'2-man'!$BF$4)),100,BF9)))))</f>
        <v/>
      </c>
      <c r="BG10">
        <f>IF('2-man'!BG$17="R",MIN(100,BG9+10),IF('2-man'!BG$17="P",MIN(100,BG9+25),IF(AND('2-man'!BG$17="D",BG9&gt;=35,'2-man'!BG$15&lt;=IF('2-man'!$BF$4="",999,'2-man'!$BF$4)),BG9-35,IF(AND(LEFT('2-man'!BG$17,3)="ST&gt;",BG9&gt;=100,'2-man'!BG$15&lt;=IF('2-man'!$BF$4="",999,'2-man'!$BF$4)),0,IF(AND(OR(AND('2-man'!BG$16="ST&gt;2",BG1&gt;=100)),'2-man'!BG$15&lt;=IF('2-man'!$BF$4="",999,'2-man'!$BF$4)),100,BG9)))))</f>
        <v/>
      </c>
      <c r="BH10">
        <f>IF('2-man'!BH$17="R",MIN(100,BH9+10),IF('2-man'!BH$17="P",MIN(100,BH9+25),IF(AND('2-man'!BH$17="D",BH9&gt;=35,'2-man'!BH$15&lt;=IF('2-man'!$BF$4="",999,'2-man'!$BF$4)),BH9-35,IF(AND(LEFT('2-man'!BH$17,3)="ST&gt;",BH9&gt;=100,'2-man'!BH$15&lt;=IF('2-man'!$BF$4="",999,'2-man'!$BF$4)),0,IF(AND(OR(AND('2-man'!BH$16="ST&gt;2",BH1&gt;=100)),'2-man'!BH$15&lt;=IF('2-man'!$BF$4="",999,'2-man'!$BF$4)),100,BH9)))))</f>
        <v/>
      </c>
      <c r="BI10">
        <f>IF('2-man'!BI$17="R",MIN(100,BI9+10),IF('2-man'!BI$17="P",MIN(100,BI9+25),IF(AND('2-man'!BI$17="D",BI9&gt;=35,'2-man'!BI$15&lt;=IF('2-man'!$BF$4="",999,'2-man'!$BF$4)),BI9-35,IF(AND(LEFT('2-man'!BI$17,3)="ST&gt;",BI9&gt;=100,'2-man'!BI$15&lt;=IF('2-man'!$BF$4="",999,'2-man'!$BF$4)),0,IF(AND(OR(AND('2-man'!BI$16="ST&gt;2",BI1&gt;=100)),'2-man'!BI$15&lt;=IF('2-man'!$BF$4="",999,'2-man'!$BF$4)),100,BI9)))))</f>
        <v/>
      </c>
      <c r="BJ10">
        <f>IF('2-man'!BJ$17="R",MIN(100,BJ9+10),IF('2-man'!BJ$17="P",MIN(100,BJ9+25),IF(AND('2-man'!BJ$17="D",BJ9&gt;=35,'2-man'!BJ$15&lt;=IF('2-man'!$BF$4="",999,'2-man'!$BF$4)),BJ9-35,IF(AND(LEFT('2-man'!BJ$17,3)="ST&gt;",BJ9&gt;=100,'2-man'!BJ$15&lt;=IF('2-man'!$BF$4="",999,'2-man'!$BF$4)),0,IF(AND(OR(AND('2-man'!BJ$16="ST&gt;2",BJ1&gt;=100)),'2-man'!BJ$15&lt;=IF('2-man'!$BF$4="",999,'2-man'!$BF$4)),100,BJ9)))))</f>
        <v/>
      </c>
      <c r="BK10">
        <f>IF('2-man'!BK$17="R",MIN(100,BK9+10),IF('2-man'!BK$17="P",MIN(100,BK9+25),IF(AND('2-man'!BK$17="D",BK9&gt;=35,'2-man'!BK$15&lt;=IF('2-man'!$BF$4="",999,'2-man'!$BF$4)),BK9-35,IF(AND(LEFT('2-man'!BK$17,3)="ST&gt;",BK9&gt;=100,'2-man'!BK$15&lt;=IF('2-man'!$BF$4="",999,'2-man'!$BF$4)),0,IF(AND(OR(AND('2-man'!BK$16="ST&gt;2",BK1&gt;=100)),'2-man'!BK$15&lt;=IF('2-man'!$BF$4="",999,'2-man'!$BF$4)),100,BK9)))))</f>
        <v/>
      </c>
      <c r="BL10">
        <f>IF('2-man'!BL$17="R",MIN(100,BL9+10),IF('2-man'!BL$17="P",MIN(100,BL9+25),IF(AND('2-man'!BL$17="D",BL9&gt;=35,'2-man'!BL$15&lt;=IF('2-man'!$BF$4="",999,'2-man'!$BF$4)),BL9-35,IF(AND(LEFT('2-man'!BL$17,3)="ST&gt;",BL9&gt;=100,'2-man'!BL$15&lt;=IF('2-man'!$BF$4="",999,'2-man'!$BF$4)),0,IF(AND(OR(AND('2-man'!BL$16="ST&gt;2",BL1&gt;=100)),'2-man'!BL$15&lt;=IF('2-man'!$BF$4="",999,'2-man'!$BF$4)),100,BL9)))))</f>
        <v/>
      </c>
      <c r="BM10">
        <f>IF('2-man'!BM$17="R",MIN(100,BM9+10),IF('2-man'!BM$17="P",MIN(100,BM9+25),IF(AND('2-man'!BM$17="D",BM9&gt;=35,'2-man'!BM$15&lt;=IF('2-man'!$BF$4="",999,'2-man'!$BF$4)),BM9-35,IF(AND(LEFT('2-man'!BM$17,3)="ST&gt;",BM9&gt;=100,'2-man'!BM$15&lt;=IF('2-man'!$BF$4="",999,'2-man'!$BF$4)),0,IF(AND(OR(AND('2-man'!BM$16="ST&gt;2",BM1&gt;=100)),'2-man'!BM$15&lt;=IF('2-man'!$BF$4="",999,'2-man'!$BF$4)),100,BM9)))))</f>
        <v/>
      </c>
      <c r="BN10">
        <f>IF('2-man'!BN$17="R",MIN(100,BN9+10),IF('2-man'!BN$17="P",MIN(100,BN9+25),IF(AND('2-man'!BN$17="D",BN9&gt;=35,'2-man'!BN$15&lt;=IF('2-man'!$BF$4="",999,'2-man'!$BF$4)),BN9-35,IF(AND(LEFT('2-man'!BN$17,3)="ST&gt;",BN9&gt;=100,'2-man'!BN$15&lt;=IF('2-man'!$BF$4="",999,'2-man'!$BF$4)),0,IF(AND(OR(AND('2-man'!BN$16="ST&gt;2",BN1&gt;=100)),'2-man'!BN$15&lt;=IF('2-man'!$BF$4="",999,'2-man'!$BF$4)),100,BN9)))))</f>
        <v/>
      </c>
      <c r="BO10">
        <f>IF('2-man'!BO$17="R",MIN(100,BO9+10),IF('2-man'!BO$17="P",MIN(100,BO9+25),IF(AND('2-man'!BO$17="D",BO9&gt;=35,'2-man'!BO$15&lt;=IF('2-man'!$BF$4="",999,'2-man'!$BF$4)),BO9-35,IF(AND(LEFT('2-man'!BO$17,3)="ST&gt;",BO9&gt;=100,'2-man'!BO$15&lt;=IF('2-man'!$BF$4="",999,'2-man'!$BF$4)),0,IF(AND(OR(AND('2-man'!BO$16="ST&gt;2",BO1&gt;=100)),'2-man'!BO$15&lt;=IF('2-man'!$BF$4="",999,'2-man'!$BF$4)),100,BO9)))))</f>
        <v/>
      </c>
      <c r="BP10">
        <f>IF('2-man'!BP$17="R",MIN(100,BP9+10),IF('2-man'!BP$17="P",MIN(100,BP9+25),IF(AND('2-man'!BP$17="D",BP9&gt;=35,'2-man'!BP$15&lt;=IF('2-man'!$BF$4="",999,'2-man'!$BF$4)),BP9-35,IF(AND(LEFT('2-man'!BP$17,3)="ST&gt;",BP9&gt;=100,'2-man'!BP$15&lt;=IF('2-man'!$BF$4="",999,'2-man'!$BF$4)),0,IF(AND(OR(AND('2-man'!BP$16="ST&gt;2",BP1&gt;=100)),'2-man'!BP$15&lt;=IF('2-man'!$BF$4="",999,'2-man'!$BF$4)),100,BP9)))))</f>
        <v/>
      </c>
      <c r="BQ10">
        <f>IF('2-man'!BQ$17="R",MIN(100,BQ9+10),IF('2-man'!BQ$17="P",MIN(100,BQ9+25),IF(AND('2-man'!BQ$17="D",BQ9&gt;=35,'2-man'!BQ$15&lt;=IF('2-man'!$BF$4="",999,'2-man'!$BF$4)),BQ9-35,IF(AND(LEFT('2-man'!BQ$17,3)="ST&gt;",BQ9&gt;=100,'2-man'!BQ$15&lt;=IF('2-man'!$BF$4="",999,'2-man'!$BF$4)),0,IF(AND(OR(AND('2-man'!BQ$16="ST&gt;2",BQ1&gt;=100)),'2-man'!BQ$15&lt;=IF('2-man'!$BF$4="",999,'2-man'!$BF$4)),100,BQ9)))))</f>
        <v/>
      </c>
      <c r="BR10">
        <f>IF('2-man'!BR$17="R",MIN(100,BR9+10),IF('2-man'!BR$17="P",MIN(100,BR9+25),IF(AND('2-man'!BR$17="D",BR9&gt;=35,'2-man'!BR$15&lt;=IF('2-man'!$BF$4="",999,'2-man'!$BF$4)),BR9-35,IF(AND(LEFT('2-man'!BR$17,3)="ST&gt;",BR9&gt;=100,'2-man'!BR$15&lt;=IF('2-man'!$BF$4="",999,'2-man'!$BF$4)),0,IF(AND(OR(AND('2-man'!BR$16="ST&gt;2",BR1&gt;=100)),'2-man'!BR$15&lt;=IF('2-man'!$BF$4="",999,'2-man'!$BF$4)),100,BR9)))))</f>
        <v/>
      </c>
      <c r="BS10">
        <f>IF('2-man'!BS$17="R",MIN(100,BS9+10),IF('2-man'!BS$17="P",MIN(100,BS9+25),IF(AND('2-man'!BS$17="D",BS9&gt;=35,'2-man'!BS$15&lt;=IF('2-man'!$BF$4="",999,'2-man'!$BF$4)),BS9-35,IF(AND(LEFT('2-man'!BS$17,3)="ST&gt;",BS9&gt;=100,'2-man'!BS$15&lt;=IF('2-man'!$BF$4="",999,'2-man'!$BF$4)),0,IF(AND(OR(AND('2-man'!BS$16="ST&gt;2",BS1&gt;=100)),'2-man'!BS$15&lt;=IF('2-man'!$BF$4="",999,'2-man'!$BF$4)),100,BS9)))))</f>
        <v/>
      </c>
      <c r="BT10">
        <f>IF('2-man'!BT$17="R",MIN(100,BT9+10),IF('2-man'!BT$17="P",MIN(100,BT9+25),IF(AND('2-man'!BT$17="D",BT9&gt;=35,'2-man'!BT$15&lt;=IF('2-man'!$BF$4="",999,'2-man'!$BF$4)),BT9-35,IF(AND(LEFT('2-man'!BT$17,3)="ST&gt;",BT9&gt;=100,'2-man'!BT$15&lt;=IF('2-man'!$BF$4="",999,'2-man'!$BF$4)),0,IF(AND(OR(AND('2-man'!BT$16="ST&gt;2",BT1&gt;=100)),'2-man'!BT$15&lt;=IF('2-man'!$BF$4="",999,'2-man'!$BF$4)),100,BT9)))))</f>
        <v/>
      </c>
      <c r="BU10">
        <f>IF('2-man'!BU$17="R",MIN(100,BU9+10),IF('2-man'!BU$17="P",MIN(100,BU9+25),IF(AND('2-man'!BU$17="D",BU9&gt;=35,'2-man'!BU$15&lt;=IF('2-man'!$BF$4="",999,'2-man'!$BF$4)),BU9-35,IF(AND(LEFT('2-man'!BU$17,3)="ST&gt;",BU9&gt;=100,'2-man'!BU$15&lt;=IF('2-man'!$BF$4="",999,'2-man'!$BF$4)),0,IF(AND(OR(AND('2-man'!BU$16="ST&gt;2",BU1&gt;=100)),'2-man'!BU$15&lt;=IF('2-man'!$BF$4="",999,'2-man'!$BF$4)),100,BU9)))))</f>
        <v/>
      </c>
      <c r="BV10">
        <f>IF('2-man'!BV$17="R",MIN(100,BV9+10),IF('2-man'!BV$17="P",MIN(100,BV9+25),IF(AND('2-man'!BV$17="D",BV9&gt;=35,'2-man'!BV$15&lt;=IF('2-man'!$BF$4="",999,'2-man'!$BF$4)),BV9-35,IF(AND(LEFT('2-man'!BV$17,3)="ST&gt;",BV9&gt;=100,'2-man'!BV$15&lt;=IF('2-man'!$BF$4="",999,'2-man'!$BF$4)),0,IF(AND(OR(AND('2-man'!BV$16="ST&gt;2",BV1&gt;=100)),'2-man'!BV$15&lt;=IF('2-man'!$BF$4="",999,'2-man'!$BF$4)),100,BV9)))))</f>
        <v/>
      </c>
      <c r="BW10">
        <f>IF('2-man'!BW$17="R",MIN(100,BW9+10),IF('2-man'!BW$17="P",MIN(100,BW9+25),IF(AND('2-man'!BW$17="D",BW9&gt;=35,'2-man'!BW$15&lt;=IF('2-man'!$BF$4="",999,'2-man'!$BF$4)),BW9-35,IF(AND(LEFT('2-man'!BW$17,3)="ST&gt;",BW9&gt;=100,'2-man'!BW$15&lt;=IF('2-man'!$BF$4="",999,'2-man'!$BF$4)),0,IF(AND(OR(AND('2-man'!BW$16="ST&gt;2",BW1&gt;=100)),'2-man'!BW$15&lt;=IF('2-man'!$BF$4="",999,'2-man'!$BF$4)),100,BW9)))))</f>
        <v/>
      </c>
      <c r="BX10">
        <f>IF('2-man'!BX$17="R",MIN(100,BX9+10),IF('2-man'!BX$17="P",MIN(100,BX9+25),IF(AND('2-man'!BX$17="D",BX9&gt;=35,'2-man'!BX$15&lt;=IF('2-man'!$BF$4="",999,'2-man'!$BF$4)),BX9-35,IF(AND(LEFT('2-man'!BX$17,3)="ST&gt;",BX9&gt;=100,'2-man'!BX$15&lt;=IF('2-man'!$BF$4="",999,'2-man'!$BF$4)),0,IF(AND(OR(AND('2-man'!BX$16="ST&gt;2",BX1&gt;=100)),'2-man'!BX$15&lt;=IF('2-man'!$BF$4="",999,'2-man'!$BF$4)),100,BX9)))))</f>
        <v/>
      </c>
      <c r="BY10">
        <f>IF('2-man'!BY$17="R",MIN(100,BY9+10),IF('2-man'!BY$17="P",MIN(100,BY9+25),IF(AND('2-man'!BY$17="D",BY9&gt;=35,'2-man'!BY$15&lt;=IF('2-man'!$BF$4="",999,'2-man'!$BF$4)),BY9-35,IF(AND(LEFT('2-man'!BY$17,3)="ST&gt;",BY9&gt;=100,'2-man'!BY$15&lt;=IF('2-man'!$BF$4="",999,'2-man'!$BF$4)),0,IF(AND(OR(AND('2-man'!BY$16="ST&gt;2",BY1&gt;=100)),'2-man'!BY$15&lt;=IF('2-man'!$BF$4="",999,'2-man'!$BF$4)),100,BY9)))))</f>
        <v/>
      </c>
      <c r="BZ10">
        <f>IF('2-man'!BZ$17="R",MIN(100,BZ9+10),IF('2-man'!BZ$17="P",MIN(100,BZ9+25),IF(AND('2-man'!BZ$17="D",BZ9&gt;=35,'2-man'!BZ$15&lt;=IF('2-man'!$BF$4="",999,'2-man'!$BF$4)),BZ9-35,IF(AND(LEFT('2-man'!BZ$17,3)="ST&gt;",BZ9&gt;=100,'2-man'!BZ$15&lt;=IF('2-man'!$BF$4="",999,'2-man'!$BF$4)),0,IF(AND(OR(AND('2-man'!BZ$16="ST&gt;2",BZ1&gt;=100)),'2-man'!BZ$15&lt;=IF('2-man'!$BF$4="",999,'2-man'!$BF$4)),100,BZ9)))))</f>
        <v/>
      </c>
      <c r="CA10">
        <f>IF('2-man'!CA$17="R",MIN(100,CA9+10),IF('2-man'!CA$17="P",MIN(100,CA9+25),IF(AND('2-man'!CA$17="D",CA9&gt;=35,'2-man'!CA$15&lt;=IF('2-man'!$BF$4="",999,'2-man'!$BF$4)),CA9-35,IF(AND(LEFT('2-man'!CA$17,3)="ST&gt;",CA9&gt;=100,'2-man'!CA$15&lt;=IF('2-man'!$BF$4="",999,'2-man'!$BF$4)),0,IF(AND(OR(AND('2-man'!CA$16="ST&gt;2",CA1&gt;=100)),'2-man'!CA$15&lt;=IF('2-man'!$BF$4="",999,'2-man'!$BF$4)),100,CA9)))))</f>
        <v/>
      </c>
      <c r="CB10">
        <f>IF('2-man'!CB$17="R",MIN(100,CB9+10),IF('2-man'!CB$17="P",MIN(100,CB9+25),IF(AND('2-man'!CB$17="D",CB9&gt;=35,'2-man'!CB$15&lt;=IF('2-man'!$BF$4="",999,'2-man'!$BF$4)),CB9-35,IF(AND(LEFT('2-man'!CB$17,3)="ST&gt;",CB9&gt;=100,'2-man'!CB$15&lt;=IF('2-man'!$BF$4="",999,'2-man'!$BF$4)),0,IF(AND(OR(AND('2-man'!CB$16="ST&gt;2",CB1&gt;=100)),'2-man'!CB$15&lt;=IF('2-man'!$BF$4="",999,'2-man'!$BF$4)),100,CB9)))))</f>
        <v/>
      </c>
      <c r="CC10">
        <f>IF('2-man'!CC$17="R",MIN(100,CC9+10),IF('2-man'!CC$17="P",MIN(100,CC9+25),IF(AND('2-man'!CC$17="D",CC9&gt;=35,'2-man'!CC$15&lt;=IF('2-man'!$BF$4="",999,'2-man'!$BF$4)),CC9-35,IF(AND(LEFT('2-man'!CC$17,3)="ST&gt;",CC9&gt;=100,'2-man'!CC$15&lt;=IF('2-man'!$BF$4="",999,'2-man'!$BF$4)),0,IF(AND(OR(AND('2-man'!CC$16="ST&gt;2",CC1&gt;=100)),'2-man'!CC$15&lt;=IF('2-man'!$BF$4="",999,'2-man'!$BF$4)),100,CC9)))))</f>
        <v/>
      </c>
      <c r="CD10">
        <f>IF('2-man'!CD$17="R",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IF('2-man'!C$17="R",0,IF(B10&gt;=100,0,IF(B11+1&gt;=IF(OR('2-man'!$F$5=TRUE,'2-man'!$F$5="TRUE",'2-man'!$F$5="Yes"),25,50),0,B11+1)))</f>
        <v/>
      </c>
      <c r="D11">
        <f>IF('2-man'!D$17="R",0,IF(C10&gt;=100,0,IF(C11+1&gt;=IF(OR('2-man'!$F$5=TRUE,'2-man'!$F$5="TRUE",'2-man'!$F$5="Yes"),25,50),0,C11+1)))</f>
        <v/>
      </c>
      <c r="E11">
        <f>IF('2-man'!E$17="R",0,IF(D10&gt;=100,0,IF(D11+1&gt;=IF(OR('2-man'!$F$5=TRUE,'2-man'!$F$5="TRUE",'2-man'!$F$5="Yes"),25,50),0,D11+1)))</f>
        <v/>
      </c>
      <c r="F11">
        <f>IF('2-man'!F$17="R",0,IF(E10&gt;=100,0,IF(E11+1&gt;=IF(OR('2-man'!$F$5=TRUE,'2-man'!$F$5="TRUE",'2-man'!$F$5="Yes"),25,50),0,E11+1)))</f>
        <v/>
      </c>
      <c r="G11">
        <f>IF('2-man'!G$17="R",0,IF(F10&gt;=100,0,IF(F11+1&gt;=IF(OR('2-man'!$F$5=TRUE,'2-man'!$F$5="TRUE",'2-man'!$F$5="Yes"),25,50),0,F11+1)))</f>
        <v/>
      </c>
      <c r="H11">
        <f>IF('2-man'!H$17="R",0,IF(G10&gt;=100,0,IF(G11+1&gt;=IF(OR('2-man'!$F$5=TRUE,'2-man'!$F$5="TRUE",'2-man'!$F$5="Yes"),25,50),0,G11+1)))</f>
        <v/>
      </c>
      <c r="I11">
        <f>IF('2-man'!I$17="R",0,IF(H10&gt;=100,0,IF(H11+1&gt;=IF(OR('2-man'!$F$5=TRUE,'2-man'!$F$5="TRUE",'2-man'!$F$5="Yes"),25,50),0,H11+1)))</f>
        <v/>
      </c>
      <c r="J11">
        <f>IF('2-man'!J$17="R",0,IF(I10&gt;=100,0,IF(I11+1&gt;=IF(OR('2-man'!$F$5=TRUE,'2-man'!$F$5="TRUE",'2-man'!$F$5="Yes"),25,50),0,I11+1)))</f>
        <v/>
      </c>
      <c r="K11">
        <f>IF('2-man'!K$17="R",0,IF(J10&gt;=100,0,IF(J11+1&gt;=IF(OR('2-man'!$F$5=TRUE,'2-man'!$F$5="TRUE",'2-man'!$F$5="Yes"),25,50),0,J11+1)))</f>
        <v/>
      </c>
      <c r="L11">
        <f>IF('2-man'!L$17="R",0,IF(K10&gt;=100,0,IF(K11+1&gt;=IF(OR('2-man'!$F$5=TRUE,'2-man'!$F$5="TRUE",'2-man'!$F$5="Yes"),25,50),0,K11+1)))</f>
        <v/>
      </c>
      <c r="M11">
        <f>IF('2-man'!M$17="R",0,IF(L10&gt;=100,0,IF(L11+1&gt;=IF(OR('2-man'!$F$5=TRUE,'2-man'!$F$5="TRUE",'2-man'!$F$5="Yes"),25,50),0,L11+1)))</f>
        <v/>
      </c>
      <c r="N11">
        <f>IF('2-man'!N$17="R",0,IF(M10&gt;=100,0,IF(M11+1&gt;=IF(OR('2-man'!$F$5=TRUE,'2-man'!$F$5="TRUE",'2-man'!$F$5="Yes"),25,50),0,M11+1)))</f>
        <v/>
      </c>
      <c r="O11">
        <f>IF('2-man'!O$17="R",0,IF(N10&gt;=100,0,IF(N11+1&gt;=IF(OR('2-man'!$F$5=TRUE,'2-man'!$F$5="TRUE",'2-man'!$F$5="Yes"),25,50),0,N11+1)))</f>
        <v/>
      </c>
      <c r="P11">
        <f>IF('2-man'!P$17="R",0,IF(O10&gt;=100,0,IF(O11+1&gt;=IF(OR('2-man'!$F$5=TRUE,'2-man'!$F$5="TRUE",'2-man'!$F$5="Yes"),25,50),0,O11+1)))</f>
        <v/>
      </c>
      <c r="Q11">
        <f>IF('2-man'!Q$17="R",0,IF(P10&gt;=100,0,IF(P11+1&gt;=IF(OR('2-man'!$F$5=TRUE,'2-man'!$F$5="TRUE",'2-man'!$F$5="Yes"),25,50),0,P11+1)))</f>
        <v/>
      </c>
      <c r="R11">
        <f>IF('2-man'!R$17="R",0,IF(Q10&gt;=100,0,IF(Q11+1&gt;=IF(OR('2-man'!$F$5=TRUE,'2-man'!$F$5="TRUE",'2-man'!$F$5="Yes"),25,50),0,Q11+1)))</f>
        <v/>
      </c>
      <c r="S11">
        <f>IF('2-man'!S$17="R",0,IF(R10&gt;=100,0,IF(R11+1&gt;=IF(OR('2-man'!$F$5=TRUE,'2-man'!$F$5="TRUE",'2-man'!$F$5="Yes"),25,50),0,R11+1)))</f>
        <v/>
      </c>
      <c r="T11">
        <f>IF('2-man'!T$17="R",0,IF(S10&gt;=100,0,IF(S11+1&gt;=IF(OR('2-man'!$F$5=TRUE,'2-man'!$F$5="TRUE",'2-man'!$F$5="Yes"),25,50),0,S11+1)))</f>
        <v/>
      </c>
      <c r="U11">
        <f>IF('2-man'!U$17="R",0,IF(T10&gt;=100,0,IF(T11+1&gt;=IF(OR('2-man'!$F$5=TRUE,'2-man'!$F$5="TRUE",'2-man'!$F$5="Yes"),25,50),0,T11+1)))</f>
        <v/>
      </c>
      <c r="V11">
        <f>IF('2-man'!V$17="R",0,IF(U10&gt;=100,0,IF(U11+1&gt;=IF(OR('2-man'!$F$5=TRUE,'2-man'!$F$5="TRUE",'2-man'!$F$5="Yes"),25,50),0,U11+1)))</f>
        <v/>
      </c>
      <c r="W11">
        <f>IF('2-man'!W$17="R",0,IF(V10&gt;=100,0,IF(V11+1&gt;=IF(OR('2-man'!$F$5=TRUE,'2-man'!$F$5="TRUE",'2-man'!$F$5="Yes"),25,50),0,V11+1)))</f>
        <v/>
      </c>
      <c r="X11">
        <f>IF('2-man'!X$17="R",0,IF(W10&gt;=100,0,IF(W11+1&gt;=IF(OR('2-man'!$F$5=TRUE,'2-man'!$F$5="TRUE",'2-man'!$F$5="Yes"),25,50),0,W11+1)))</f>
        <v/>
      </c>
      <c r="Y11">
        <f>IF('2-man'!Y$17="R",0,IF(X10&gt;=100,0,IF(X11+1&gt;=IF(OR('2-man'!$F$5=TRUE,'2-man'!$F$5="TRUE",'2-man'!$F$5="Yes"),25,50),0,X11+1)))</f>
        <v/>
      </c>
      <c r="Z11">
        <f>IF('2-man'!Z$17="R",0,IF(Y10&gt;=100,0,IF(Y11+1&gt;=IF(OR('2-man'!$F$5=TRUE,'2-man'!$F$5="TRUE",'2-man'!$F$5="Yes"),25,50),0,Y11+1)))</f>
        <v/>
      </c>
      <c r="AA11">
        <f>IF('2-man'!AA$17="R",0,IF(Z10&gt;=100,0,IF(Z11+1&gt;=IF(OR('2-man'!$F$5=TRUE,'2-man'!$F$5="TRUE",'2-man'!$F$5="Yes"),25,50),0,Z11+1)))</f>
        <v/>
      </c>
      <c r="AB11">
        <f>IF('2-man'!AB$17="R",0,IF(AA10&gt;=100,0,IF(AA11+1&gt;=IF(OR('2-man'!$F$5=TRUE,'2-man'!$F$5="TRUE",'2-man'!$F$5="Yes"),25,50),0,AA11+1)))</f>
        <v/>
      </c>
      <c r="AC11">
        <f>IF('2-man'!AC$17="R",0,IF(AB10&gt;=100,0,IF(AB11+1&gt;=IF(OR('2-man'!$F$5=TRUE,'2-man'!$F$5="TRUE",'2-man'!$F$5="Yes"),25,50),0,AB11+1)))</f>
        <v/>
      </c>
      <c r="AD11">
        <f>IF('2-man'!AD$17="R",0,IF(AC10&gt;=100,0,IF(AC11+1&gt;=IF(OR('2-man'!$F$5=TRUE,'2-man'!$F$5="TRUE",'2-man'!$F$5="Yes"),25,50),0,AC11+1)))</f>
        <v/>
      </c>
      <c r="AE11">
        <f>IF('2-man'!AE$17="R",0,IF(AD10&gt;=100,0,IF(AD11+1&gt;=IF(OR('2-man'!$F$5=TRUE,'2-man'!$F$5="TRUE",'2-man'!$F$5="Yes"),25,50),0,AD11+1)))</f>
        <v/>
      </c>
      <c r="AF11">
        <f>IF('2-man'!AF$17="R",0,IF(AE10&gt;=100,0,IF(AE11+1&gt;=IF(OR('2-man'!$F$5=TRUE,'2-man'!$F$5="TRUE",'2-man'!$F$5="Yes"),25,50),0,AE11+1)))</f>
        <v/>
      </c>
      <c r="AG11">
        <f>IF('2-man'!AG$17="R",0,IF(AF10&gt;=100,0,IF(AF11+1&gt;=IF(OR('2-man'!$F$5=TRUE,'2-man'!$F$5="TRUE",'2-man'!$F$5="Yes"),25,50),0,AF11+1)))</f>
        <v/>
      </c>
      <c r="AH11">
        <f>IF('2-man'!AH$17="R",0,IF(AG10&gt;=100,0,IF(AG11+1&gt;=IF(OR('2-man'!$F$5=TRUE,'2-man'!$F$5="TRUE",'2-man'!$F$5="Yes"),25,50),0,AG11+1)))</f>
        <v/>
      </c>
      <c r="AI11">
        <f>IF('2-man'!AI$17="R",0,IF(AH10&gt;=100,0,IF(AH11+1&gt;=IF(OR('2-man'!$F$5=TRUE,'2-man'!$F$5="TRUE",'2-man'!$F$5="Yes"),25,50),0,AH11+1)))</f>
        <v/>
      </c>
      <c r="AJ11">
        <f>IF('2-man'!AJ$17="R",0,IF(AI10&gt;=100,0,IF(AI11+1&gt;=IF(OR('2-man'!$F$5=TRUE,'2-man'!$F$5="TRUE",'2-man'!$F$5="Yes"),25,50),0,AI11+1)))</f>
        <v/>
      </c>
      <c r="AK11">
        <f>IF('2-man'!AK$17="R",0,IF(AJ10&gt;=100,0,IF(AJ11+1&gt;=IF(OR('2-man'!$F$5=TRUE,'2-man'!$F$5="TRUE",'2-man'!$F$5="Yes"),25,50),0,AJ11+1)))</f>
        <v/>
      </c>
      <c r="AL11">
        <f>IF('2-man'!AL$17="R",0,IF(AK10&gt;=100,0,IF(AK11+1&gt;=IF(OR('2-man'!$F$5=TRUE,'2-man'!$F$5="TRUE",'2-man'!$F$5="Yes"),25,50),0,AK11+1)))</f>
        <v/>
      </c>
      <c r="AM11">
        <f>IF('2-man'!AM$17="R",0,IF(AL10&gt;=100,0,IF(AL11+1&gt;=IF(OR('2-man'!$F$5=TRUE,'2-man'!$F$5="TRUE",'2-man'!$F$5="Yes"),25,50),0,AL11+1)))</f>
        <v/>
      </c>
      <c r="AN11">
        <f>IF('2-man'!AN$17="R",0,IF(AM10&gt;=100,0,IF(AM11+1&gt;=IF(OR('2-man'!$F$5=TRUE,'2-man'!$F$5="TRUE",'2-man'!$F$5="Yes"),25,50),0,AM11+1)))</f>
        <v/>
      </c>
      <c r="AO11">
        <f>IF('2-man'!AO$17="R",0,IF(AN10&gt;=100,0,IF(AN11+1&gt;=IF(OR('2-man'!$F$5=TRUE,'2-man'!$F$5="TRUE",'2-man'!$F$5="Yes"),25,50),0,AN11+1)))</f>
        <v/>
      </c>
      <c r="AP11">
        <f>IF('2-man'!AP$17="R",0,IF(AO10&gt;=100,0,IF(AO11+1&gt;=IF(OR('2-man'!$F$5=TRUE,'2-man'!$F$5="TRUE",'2-man'!$F$5="Yes"),25,50),0,AO11+1)))</f>
        <v/>
      </c>
      <c r="AQ11">
        <f>IF('2-man'!AQ$17="R",0,IF(AP10&gt;=100,0,IF(AP11+1&gt;=IF(OR('2-man'!$F$5=TRUE,'2-man'!$F$5="TRUE",'2-man'!$F$5="Yes"),25,50),0,AP11+1)))</f>
        <v/>
      </c>
      <c r="AR11">
        <f>IF('2-man'!AR$17="R",0,IF(AQ10&gt;=100,0,IF(AQ11+1&gt;=IF(OR('2-man'!$F$5=TRUE,'2-man'!$F$5="TRUE",'2-man'!$F$5="Yes"),25,50),0,AQ11+1)))</f>
        <v/>
      </c>
      <c r="AS11">
        <f>IF('2-man'!AS$17="R",0,IF(AR10&gt;=100,0,IF(AR11+1&gt;=IF(OR('2-man'!$F$5=TRUE,'2-man'!$F$5="TRUE",'2-man'!$F$5="Yes"),25,50),0,AR11+1)))</f>
        <v/>
      </c>
      <c r="AT11">
        <f>IF('2-man'!AT$17="R",0,IF(AS10&gt;=100,0,IF(AS11+1&gt;=IF(OR('2-man'!$F$5=TRUE,'2-man'!$F$5="TRUE",'2-man'!$F$5="Yes"),25,50),0,AS11+1)))</f>
        <v/>
      </c>
      <c r="AU11">
        <f>IF('2-man'!AU$17="R",0,IF(AT10&gt;=100,0,IF(AT11+1&gt;=IF(OR('2-man'!$F$5=TRUE,'2-man'!$F$5="TRUE",'2-man'!$F$5="Yes"),25,50),0,AT11+1)))</f>
        <v/>
      </c>
      <c r="AV11">
        <f>IF('2-man'!AV$17="R",0,IF(AU10&gt;=100,0,IF(AU11+1&gt;=IF(OR('2-man'!$F$5=TRUE,'2-man'!$F$5="TRUE",'2-man'!$F$5="Yes"),25,50),0,AU11+1)))</f>
        <v/>
      </c>
      <c r="AW11">
        <f>IF('2-man'!AW$17="R",0,IF(AV10&gt;=100,0,IF(AV11+1&gt;=IF(OR('2-man'!$F$5=TRUE,'2-man'!$F$5="TRUE",'2-man'!$F$5="Yes"),25,50),0,AV11+1)))</f>
        <v/>
      </c>
      <c r="AX11">
        <f>IF('2-man'!AX$17="R",0,IF(AW10&gt;=100,0,IF(AW11+1&gt;=IF(OR('2-man'!$F$5=TRUE,'2-man'!$F$5="TRUE",'2-man'!$F$5="Yes"),25,50),0,AW11+1)))</f>
        <v/>
      </c>
      <c r="AY11">
        <f>IF('2-man'!AY$17="R",0,IF(AX10&gt;=100,0,IF(AX11+1&gt;=IF(OR('2-man'!$F$5=TRUE,'2-man'!$F$5="TRUE",'2-man'!$F$5="Yes"),25,50),0,AX11+1)))</f>
        <v/>
      </c>
      <c r="AZ11">
        <f>IF('2-man'!AZ$17="R",0,IF(AY10&gt;=100,0,IF(AY11+1&gt;=IF(OR('2-man'!$F$5=TRUE,'2-man'!$F$5="TRUE",'2-man'!$F$5="Yes"),25,50),0,AY11+1)))</f>
        <v/>
      </c>
      <c r="BA11">
        <f>IF('2-man'!BA$17="R",0,IF(AZ10&gt;=100,0,IF(AZ11+1&gt;=IF(OR('2-man'!$F$5=TRUE,'2-man'!$F$5="TRUE",'2-man'!$F$5="Yes"),25,50),0,AZ11+1)))</f>
        <v/>
      </c>
      <c r="BB11">
        <f>IF('2-man'!BB$17="R",0,IF(BA10&gt;=100,0,IF(BA11+1&gt;=IF(OR('2-man'!$F$5=TRUE,'2-man'!$F$5="TRUE",'2-man'!$F$5="Yes"),25,50),0,BA11+1)))</f>
        <v/>
      </c>
      <c r="BC11">
        <f>IF('2-man'!BC$17="R",0,IF(BB10&gt;=100,0,IF(BB11+1&gt;=IF(OR('2-man'!$F$5=TRUE,'2-man'!$F$5="TRUE",'2-man'!$F$5="Yes"),25,50),0,BB11+1)))</f>
        <v/>
      </c>
      <c r="BD11">
        <f>IF('2-man'!BD$17="R",0,IF(BC10&gt;=100,0,IF(BC11+1&gt;=IF(OR('2-man'!$F$5=TRUE,'2-man'!$F$5="TRUE",'2-man'!$F$5="Yes"),25,50),0,BC11+1)))</f>
        <v/>
      </c>
      <c r="BE11">
        <f>IF('2-man'!BE$17="R",0,IF(BD10&gt;=100,0,IF(BD11+1&gt;=IF(OR('2-man'!$F$5=TRUE,'2-man'!$F$5="TRUE",'2-man'!$F$5="Yes"),25,50),0,BD11+1)))</f>
        <v/>
      </c>
      <c r="BF11">
        <f>IF('2-man'!BF$17="R",0,IF(BE10&gt;=100,0,IF(BE11+1&gt;=IF(OR('2-man'!$F$5=TRUE,'2-man'!$F$5="TRUE",'2-man'!$F$5="Yes"),25,50),0,BE11+1)))</f>
        <v/>
      </c>
      <c r="BG11">
        <f>IF('2-man'!BG$17="R",0,IF(BF10&gt;=100,0,IF(BF11+1&gt;=IF(OR('2-man'!$F$5=TRUE,'2-man'!$F$5="TRUE",'2-man'!$F$5="Yes"),25,50),0,BF11+1)))</f>
        <v/>
      </c>
      <c r="BH11">
        <f>IF('2-man'!BH$17="R",0,IF(BG10&gt;=100,0,IF(BG11+1&gt;=IF(OR('2-man'!$F$5=TRUE,'2-man'!$F$5="TRUE",'2-man'!$F$5="Yes"),25,50),0,BG11+1)))</f>
        <v/>
      </c>
      <c r="BI11">
        <f>IF('2-man'!BI$17="R",0,IF(BH10&gt;=100,0,IF(BH11+1&gt;=IF(OR('2-man'!$F$5=TRUE,'2-man'!$F$5="TRUE",'2-man'!$F$5="Yes"),25,50),0,BH11+1)))</f>
        <v/>
      </c>
      <c r="BJ11">
        <f>IF('2-man'!BJ$17="R",0,IF(BI10&gt;=100,0,IF(BI11+1&gt;=IF(OR('2-man'!$F$5=TRUE,'2-man'!$F$5="TRUE",'2-man'!$F$5="Yes"),25,50),0,BI11+1)))</f>
        <v/>
      </c>
      <c r="BK11">
        <f>IF('2-man'!BK$17="R",0,IF(BJ10&gt;=100,0,IF(BJ11+1&gt;=IF(OR('2-man'!$F$5=TRUE,'2-man'!$F$5="TRUE",'2-man'!$F$5="Yes"),25,50),0,BJ11+1)))</f>
        <v/>
      </c>
      <c r="BL11">
        <f>IF('2-man'!BL$17="R",0,IF(BK10&gt;=100,0,IF(BK11+1&gt;=IF(OR('2-man'!$F$5=TRUE,'2-man'!$F$5="TRUE",'2-man'!$F$5="Yes"),25,50),0,BK11+1)))</f>
        <v/>
      </c>
      <c r="BM11">
        <f>IF('2-man'!BM$17="R",0,IF(BL10&gt;=100,0,IF(BL11+1&gt;=IF(OR('2-man'!$F$5=TRUE,'2-man'!$F$5="TRUE",'2-man'!$F$5="Yes"),25,50),0,BL11+1)))</f>
        <v/>
      </c>
      <c r="BN11">
        <f>IF('2-man'!BN$17="R",0,IF(BM10&gt;=100,0,IF(BM11+1&gt;=IF(OR('2-man'!$F$5=TRUE,'2-man'!$F$5="TRUE",'2-man'!$F$5="Yes"),25,50),0,BM11+1)))</f>
        <v/>
      </c>
      <c r="BO11">
        <f>IF('2-man'!BO$17="R",0,IF(BN10&gt;=100,0,IF(BN11+1&gt;=IF(OR('2-man'!$F$5=TRUE,'2-man'!$F$5="TRUE",'2-man'!$F$5="Yes"),25,50),0,BN11+1)))</f>
        <v/>
      </c>
      <c r="BP11">
        <f>IF('2-man'!BP$17="R",0,IF(BO10&gt;=100,0,IF(BO11+1&gt;=IF(OR('2-man'!$F$5=TRUE,'2-man'!$F$5="TRUE",'2-man'!$F$5="Yes"),25,50),0,BO11+1)))</f>
        <v/>
      </c>
      <c r="BQ11">
        <f>IF('2-man'!BQ$17="R",0,IF(BP10&gt;=100,0,IF(BP11+1&gt;=IF(OR('2-man'!$F$5=TRUE,'2-man'!$F$5="TRUE",'2-man'!$F$5="Yes"),25,50),0,BP11+1)))</f>
        <v/>
      </c>
      <c r="BR11">
        <f>IF('2-man'!BR$17="R",0,IF(BQ10&gt;=100,0,IF(BQ11+1&gt;=IF(OR('2-man'!$F$5=TRUE,'2-man'!$F$5="TRUE",'2-man'!$F$5="Yes"),25,50),0,BQ11+1)))</f>
        <v/>
      </c>
      <c r="BS11">
        <f>IF('2-man'!BS$17="R",0,IF(BR10&gt;=100,0,IF(BR11+1&gt;=IF(OR('2-man'!$F$5=TRUE,'2-man'!$F$5="TRUE",'2-man'!$F$5="Yes"),25,50),0,BR11+1)))</f>
        <v/>
      </c>
      <c r="BT11">
        <f>IF('2-man'!BT$17="R",0,IF(BS10&gt;=100,0,IF(BS11+1&gt;=IF(OR('2-man'!$F$5=TRUE,'2-man'!$F$5="TRUE",'2-man'!$F$5="Yes"),25,50),0,BS11+1)))</f>
        <v/>
      </c>
      <c r="BU11">
        <f>IF('2-man'!BU$17="R",0,IF(BT10&gt;=100,0,IF(BT11+1&gt;=IF(OR('2-man'!$F$5=TRUE,'2-man'!$F$5="TRUE",'2-man'!$F$5="Yes"),25,50),0,BT11+1)))</f>
        <v/>
      </c>
      <c r="BV11">
        <f>IF('2-man'!BV$17="R",0,IF(BU10&gt;=100,0,IF(BU11+1&gt;=IF(OR('2-man'!$F$5=TRUE,'2-man'!$F$5="TRUE",'2-man'!$F$5="Yes"),25,50),0,BU11+1)))</f>
        <v/>
      </c>
      <c r="BW11">
        <f>IF('2-man'!BW$17="R",0,IF(BV10&gt;=100,0,IF(BV11+1&gt;=IF(OR('2-man'!$F$5=TRUE,'2-man'!$F$5="TRUE",'2-man'!$F$5="Yes"),25,50),0,BV11+1)))</f>
        <v/>
      </c>
      <c r="BX11">
        <f>IF('2-man'!BX$17="R",0,IF(BW10&gt;=100,0,IF(BW11+1&gt;=IF(OR('2-man'!$F$5=TRUE,'2-man'!$F$5="TRUE",'2-man'!$F$5="Yes"),25,50),0,BW11+1)))</f>
        <v/>
      </c>
      <c r="BY11">
        <f>IF('2-man'!BY$17="R",0,IF(BX10&gt;=100,0,IF(BX11+1&gt;=IF(OR('2-man'!$F$5=TRUE,'2-man'!$F$5="TRUE",'2-man'!$F$5="Yes"),25,50),0,BX11+1)))</f>
        <v/>
      </c>
      <c r="BZ11">
        <f>IF('2-man'!BZ$17="R",0,IF(BY10&gt;=100,0,IF(BY11+1&gt;=IF(OR('2-man'!$F$5=TRUE,'2-man'!$F$5="TRUE",'2-man'!$F$5="Yes"),25,50),0,BY11+1)))</f>
        <v/>
      </c>
      <c r="CA11">
        <f>IF('2-man'!CA$17="R",0,IF(BZ10&gt;=100,0,IF(BZ11+1&gt;=IF(OR('2-man'!$F$5=TRUE,'2-man'!$F$5="TRUE",'2-man'!$F$5="Yes"),25,50),0,BZ11+1)))</f>
        <v/>
      </c>
      <c r="CB11">
        <f>IF('2-man'!CB$17="R",0,IF(CA10&gt;=100,0,IF(CA11+1&gt;=IF(OR('2-man'!$F$5=TRUE,'2-man'!$F$5="TRUE",'2-man'!$F$5="Yes"),25,50),0,CA11+1)))</f>
        <v/>
      </c>
      <c r="CC11">
        <f>IF('2-man'!CC$17="R",0,IF(CB10&gt;=100,0,IF(CB11+1&gt;=IF(OR('2-man'!$F$5=TRUE,'2-man'!$F$5="TRUE",'2-man'!$F$5="Yes"),25,50),0,CB11+1)))</f>
        <v/>
      </c>
      <c r="CD11">
        <f>IF('2-man'!CD$17="R",0,IF(CC10&gt;=100,0,IF(CC11+1&gt;=IF(OR('2-man'!$F$5=TRUE,'2-man'!$F$5="TRUE",'2-man'!$F$5="Yes"),25,50),0,CC11+1)))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row>
    <row r="16">
      <c r="A16" t="inlineStr">
        <is>
          <t>P2 act</t>
        </is>
      </c>
      <c r="C16">
        <f>IF(OR('2-man'!C$17="P",'2-man'!C$17="R",AND('2-man'!C$15&lt;=IF('2-man'!$BF$4="",999,'2-man'!$BF$4),OR('2-man'!C$17="D",LEFT('2-man'!C$17,3)="ST&gt;",OR(AND('2-man'!C$16="ST&gt;2",C1&gt;=100))))),'2-man'!C$15,0)</f>
        <v/>
      </c>
      <c r="D16">
        <f>IF(OR('2-man'!D$17="P",'2-man'!D$17="R",AND('2-man'!D$15&lt;=IF('2-man'!$BF$4="",999,'2-man'!$BF$4),OR('2-man'!D$17="D",LEFT('2-man'!D$17,3)="ST&gt;",OR(AND('2-man'!D$16="ST&gt;2",D1&gt;=100))))),'2-man'!D$15,0)</f>
        <v/>
      </c>
      <c r="E16">
        <f>IF(OR('2-man'!E$17="P",'2-man'!E$17="R",AND('2-man'!E$15&lt;=IF('2-man'!$BF$4="",999,'2-man'!$BF$4),OR('2-man'!E$17="D",LEFT('2-man'!E$17,3)="ST&gt;",OR(AND('2-man'!E$16="ST&gt;2",E1&gt;=100))))),'2-man'!E$15,0)</f>
        <v/>
      </c>
      <c r="F16">
        <f>IF(OR('2-man'!F$17="P",'2-man'!F$17="R",AND('2-man'!F$15&lt;=IF('2-man'!$BF$4="",999,'2-man'!$BF$4),OR('2-man'!F$17="D",LEFT('2-man'!F$17,3)="ST&gt;",OR(AND('2-man'!F$16="ST&gt;2",F1&gt;=100))))),'2-man'!F$15,0)</f>
        <v/>
      </c>
      <c r="G16">
        <f>IF(OR('2-man'!G$17="P",'2-man'!G$17="R",AND('2-man'!G$15&lt;=IF('2-man'!$BF$4="",999,'2-man'!$BF$4),OR('2-man'!G$17="D",LEFT('2-man'!G$17,3)="ST&gt;",OR(AND('2-man'!G$16="ST&gt;2",G1&gt;=100))))),'2-man'!G$15,0)</f>
        <v/>
      </c>
      <c r="H16">
        <f>IF(OR('2-man'!H$17="P",'2-man'!H$17="R",AND('2-man'!H$15&lt;=IF('2-man'!$BF$4="",999,'2-man'!$BF$4),OR('2-man'!H$17="D",LEFT('2-man'!H$17,3)="ST&gt;",OR(AND('2-man'!H$16="ST&gt;2",H1&gt;=100))))),'2-man'!H$15,0)</f>
        <v/>
      </c>
      <c r="I16">
        <f>IF(OR('2-man'!I$17="P",'2-man'!I$17="R",AND('2-man'!I$15&lt;=IF('2-man'!$BF$4="",999,'2-man'!$BF$4),OR('2-man'!I$17="D",LEFT('2-man'!I$17,3)="ST&gt;",OR(AND('2-man'!I$16="ST&gt;2",I1&gt;=100))))),'2-man'!I$15,0)</f>
        <v/>
      </c>
      <c r="J16">
        <f>IF(OR('2-man'!J$17="P",'2-man'!J$17="R",AND('2-man'!J$15&lt;=IF('2-man'!$BF$4="",999,'2-man'!$BF$4),OR('2-man'!J$17="D",LEFT('2-man'!J$17,3)="ST&gt;",OR(AND('2-man'!J$16="ST&gt;2",J1&gt;=100))))),'2-man'!J$15,0)</f>
        <v/>
      </c>
      <c r="K16">
        <f>IF(OR('2-man'!K$17="P",'2-man'!K$17="R",AND('2-man'!K$15&lt;=IF('2-man'!$BF$4="",999,'2-man'!$BF$4),OR('2-man'!K$17="D",LEFT('2-man'!K$17,3)="ST&gt;",OR(AND('2-man'!K$16="ST&gt;2",K1&gt;=100))))),'2-man'!K$15,0)</f>
        <v/>
      </c>
      <c r="L16">
        <f>IF(OR('2-man'!L$17="P",'2-man'!L$17="R",AND('2-man'!L$15&lt;=IF('2-man'!$BF$4="",999,'2-man'!$BF$4),OR('2-man'!L$17="D",LEFT('2-man'!L$17,3)="ST&gt;",OR(AND('2-man'!L$16="ST&gt;2",L1&gt;=100))))),'2-man'!L$15,0)</f>
        <v/>
      </c>
      <c r="M16">
        <f>IF(OR('2-man'!M$17="P",'2-man'!M$17="R",AND('2-man'!M$15&lt;=IF('2-man'!$BF$4="",999,'2-man'!$BF$4),OR('2-man'!M$17="D",LEFT('2-man'!M$17,3)="ST&gt;",OR(AND('2-man'!M$16="ST&gt;2",M1&gt;=100))))),'2-man'!M$15,0)</f>
        <v/>
      </c>
      <c r="N16">
        <f>IF(OR('2-man'!N$17="P",'2-man'!N$17="R",AND('2-man'!N$15&lt;=IF('2-man'!$BF$4="",999,'2-man'!$BF$4),OR('2-man'!N$17="D",LEFT('2-man'!N$17,3)="ST&gt;",OR(AND('2-man'!N$16="ST&gt;2",N1&gt;=100))))),'2-man'!N$15,0)</f>
        <v/>
      </c>
      <c r="O16">
        <f>IF(OR('2-man'!O$17="P",'2-man'!O$17="R",AND('2-man'!O$15&lt;=IF('2-man'!$BF$4="",999,'2-man'!$BF$4),OR('2-man'!O$17="D",LEFT('2-man'!O$17,3)="ST&gt;",OR(AND('2-man'!O$16="ST&gt;2",O1&gt;=100))))),'2-man'!O$15,0)</f>
        <v/>
      </c>
      <c r="P16">
        <f>IF(OR('2-man'!P$17="P",'2-man'!P$17="R",AND('2-man'!P$15&lt;=IF('2-man'!$BF$4="",999,'2-man'!$BF$4),OR('2-man'!P$17="D",LEFT('2-man'!P$17,3)="ST&gt;",OR(AND('2-man'!P$16="ST&gt;2",P1&gt;=100))))),'2-man'!P$15,0)</f>
        <v/>
      </c>
      <c r="Q16">
        <f>IF(OR('2-man'!Q$17="P",'2-man'!Q$17="R",AND('2-man'!Q$15&lt;=IF('2-man'!$BF$4="",999,'2-man'!$BF$4),OR('2-man'!Q$17="D",LEFT('2-man'!Q$17,3)="ST&gt;",OR(AND('2-man'!Q$16="ST&gt;2",Q1&gt;=100))))),'2-man'!Q$15,0)</f>
        <v/>
      </c>
      <c r="R16">
        <f>IF(OR('2-man'!R$17="P",'2-man'!R$17="R",AND('2-man'!R$15&lt;=IF('2-man'!$BF$4="",999,'2-man'!$BF$4),OR('2-man'!R$17="D",LEFT('2-man'!R$17,3)="ST&gt;",OR(AND('2-man'!R$16="ST&gt;2",R1&gt;=100))))),'2-man'!R$15,0)</f>
        <v/>
      </c>
      <c r="S16">
        <f>IF(OR('2-man'!S$17="P",'2-man'!S$17="R",AND('2-man'!S$15&lt;=IF('2-man'!$BF$4="",999,'2-man'!$BF$4),OR('2-man'!S$17="D",LEFT('2-man'!S$17,3)="ST&gt;",OR(AND('2-man'!S$16="ST&gt;2",S1&gt;=100))))),'2-man'!S$15,0)</f>
        <v/>
      </c>
      <c r="T16">
        <f>IF(OR('2-man'!T$17="P",'2-man'!T$17="R",AND('2-man'!T$15&lt;=IF('2-man'!$BF$4="",999,'2-man'!$BF$4),OR('2-man'!T$17="D",LEFT('2-man'!T$17,3)="ST&gt;",OR(AND('2-man'!T$16="ST&gt;2",T1&gt;=100))))),'2-man'!T$15,0)</f>
        <v/>
      </c>
      <c r="U16">
        <f>IF(OR('2-man'!U$17="P",'2-man'!U$17="R",AND('2-man'!U$15&lt;=IF('2-man'!$BF$4="",999,'2-man'!$BF$4),OR('2-man'!U$17="D",LEFT('2-man'!U$17,3)="ST&gt;",OR(AND('2-man'!U$16="ST&gt;2",U1&gt;=100))))),'2-man'!U$15,0)</f>
        <v/>
      </c>
      <c r="V16">
        <f>IF(OR('2-man'!V$17="P",'2-man'!V$17="R",AND('2-man'!V$15&lt;=IF('2-man'!$BF$4="",999,'2-man'!$BF$4),OR('2-man'!V$17="D",LEFT('2-man'!V$17,3)="ST&gt;",OR(AND('2-man'!V$16="ST&gt;2",V1&gt;=100))))),'2-man'!V$15,0)</f>
        <v/>
      </c>
      <c r="W16">
        <f>IF(OR('2-man'!W$17="P",'2-man'!W$17="R",AND('2-man'!W$15&lt;=IF('2-man'!$BF$4="",999,'2-man'!$BF$4),OR('2-man'!W$17="D",LEFT('2-man'!W$17,3)="ST&gt;",OR(AND('2-man'!W$16="ST&gt;2",W1&gt;=100))))),'2-man'!W$15,0)</f>
        <v/>
      </c>
      <c r="X16">
        <f>IF(OR('2-man'!X$17="P",'2-man'!X$17="R",AND('2-man'!X$15&lt;=IF('2-man'!$BF$4="",999,'2-man'!$BF$4),OR('2-man'!X$17="D",LEFT('2-man'!X$17,3)="ST&gt;",OR(AND('2-man'!X$16="ST&gt;2",X1&gt;=100))))),'2-man'!X$15,0)</f>
        <v/>
      </c>
      <c r="Y16">
        <f>IF(OR('2-man'!Y$17="P",'2-man'!Y$17="R",AND('2-man'!Y$15&lt;=IF('2-man'!$BF$4="",999,'2-man'!$BF$4),OR('2-man'!Y$17="D",LEFT('2-man'!Y$17,3)="ST&gt;",OR(AND('2-man'!Y$16="ST&gt;2",Y1&gt;=100))))),'2-man'!Y$15,0)</f>
        <v/>
      </c>
      <c r="Z16">
        <f>IF(OR('2-man'!Z$17="P",'2-man'!Z$17="R",AND('2-man'!Z$15&lt;=IF('2-man'!$BF$4="",999,'2-man'!$BF$4),OR('2-man'!Z$17="D",LEFT('2-man'!Z$17,3)="ST&gt;",OR(AND('2-man'!Z$16="ST&gt;2",Z1&gt;=100))))),'2-man'!Z$15,0)</f>
        <v/>
      </c>
      <c r="AA16">
        <f>IF(OR('2-man'!AA$17="P",'2-man'!AA$17="R",AND('2-man'!AA$15&lt;=IF('2-man'!$BF$4="",999,'2-man'!$BF$4),OR('2-man'!AA$17="D",LEFT('2-man'!AA$17,3)="ST&gt;",OR(AND('2-man'!AA$16="ST&gt;2",AA1&gt;=100))))),'2-man'!AA$15,0)</f>
        <v/>
      </c>
      <c r="AB16">
        <f>IF(OR('2-man'!AB$17="P",'2-man'!AB$17="R",AND('2-man'!AB$15&lt;=IF('2-man'!$BF$4="",999,'2-man'!$BF$4),OR('2-man'!AB$17="D",LEFT('2-man'!AB$17,3)="ST&gt;",OR(AND('2-man'!AB$16="ST&gt;2",AB1&gt;=100))))),'2-man'!AB$15,0)</f>
        <v/>
      </c>
      <c r="AC16">
        <f>IF(OR('2-man'!AC$17="P",'2-man'!AC$17="R",AND('2-man'!AC$15&lt;=IF('2-man'!$BF$4="",999,'2-man'!$BF$4),OR('2-man'!AC$17="D",LEFT('2-man'!AC$17,3)="ST&gt;",OR(AND('2-man'!AC$16="ST&gt;2",AC1&gt;=100))))),'2-man'!AC$15,0)</f>
        <v/>
      </c>
      <c r="AD16">
        <f>IF(OR('2-man'!AD$17="P",'2-man'!AD$17="R",AND('2-man'!AD$15&lt;=IF('2-man'!$BF$4="",999,'2-man'!$BF$4),OR('2-man'!AD$17="D",LEFT('2-man'!AD$17,3)="ST&gt;",OR(AND('2-man'!AD$16="ST&gt;2",AD1&gt;=100))))),'2-man'!AD$15,0)</f>
        <v/>
      </c>
      <c r="AE16">
        <f>IF(OR('2-man'!AE$17="P",'2-man'!AE$17="R",AND('2-man'!AE$15&lt;=IF('2-man'!$BF$4="",999,'2-man'!$BF$4),OR('2-man'!AE$17="D",LEFT('2-man'!AE$17,3)="ST&gt;",OR(AND('2-man'!AE$16="ST&gt;2",AE1&gt;=100))))),'2-man'!AE$15,0)</f>
        <v/>
      </c>
      <c r="AF16">
        <f>IF(OR('2-man'!AF$17="P",'2-man'!AF$17="R",AND('2-man'!AF$15&lt;=IF('2-man'!$BF$4="",999,'2-man'!$BF$4),OR('2-man'!AF$17="D",LEFT('2-man'!AF$17,3)="ST&gt;",OR(AND('2-man'!AF$16="ST&gt;2",AF1&gt;=100))))),'2-man'!AF$15,0)</f>
        <v/>
      </c>
      <c r="AG16">
        <f>IF(OR('2-man'!AG$17="P",'2-man'!AG$17="R",AND('2-man'!AG$15&lt;=IF('2-man'!$BF$4="",999,'2-man'!$BF$4),OR('2-man'!AG$17="D",LEFT('2-man'!AG$17,3)="ST&gt;",OR(AND('2-man'!AG$16="ST&gt;2",AG1&gt;=100))))),'2-man'!AG$15,0)</f>
        <v/>
      </c>
      <c r="AH16">
        <f>IF(OR('2-man'!AH$17="P",'2-man'!AH$17="R",AND('2-man'!AH$15&lt;=IF('2-man'!$BF$4="",999,'2-man'!$BF$4),OR('2-man'!AH$17="D",LEFT('2-man'!AH$17,3)="ST&gt;",OR(AND('2-man'!AH$16="ST&gt;2",AH1&gt;=100))))),'2-man'!AH$15,0)</f>
        <v/>
      </c>
      <c r="AI16">
        <f>IF(OR('2-man'!AI$17="P",'2-man'!AI$17="R",AND('2-man'!AI$15&lt;=IF('2-man'!$BF$4="",999,'2-man'!$BF$4),OR('2-man'!AI$17="D",LEFT('2-man'!AI$17,3)="ST&gt;",OR(AND('2-man'!AI$16="ST&gt;2",AI1&gt;=100))))),'2-man'!AI$15,0)</f>
        <v/>
      </c>
      <c r="AJ16">
        <f>IF(OR('2-man'!AJ$17="P",'2-man'!AJ$17="R",AND('2-man'!AJ$15&lt;=IF('2-man'!$BF$4="",999,'2-man'!$BF$4),OR('2-man'!AJ$17="D",LEFT('2-man'!AJ$17,3)="ST&gt;",OR(AND('2-man'!AJ$16="ST&gt;2",AJ1&gt;=100))))),'2-man'!AJ$15,0)</f>
        <v/>
      </c>
      <c r="AK16">
        <f>IF(OR('2-man'!AK$17="P",'2-man'!AK$17="R",AND('2-man'!AK$15&lt;=IF('2-man'!$BF$4="",999,'2-man'!$BF$4),OR('2-man'!AK$17="D",LEFT('2-man'!AK$17,3)="ST&gt;",OR(AND('2-man'!AK$16="ST&gt;2",AK1&gt;=100))))),'2-man'!AK$15,0)</f>
        <v/>
      </c>
      <c r="AL16">
        <f>IF(OR('2-man'!AL$17="P",'2-man'!AL$17="R",AND('2-man'!AL$15&lt;=IF('2-man'!$BF$4="",999,'2-man'!$BF$4),OR('2-man'!AL$17="D",LEFT('2-man'!AL$17,3)="ST&gt;",OR(AND('2-man'!AL$16="ST&gt;2",AL1&gt;=100))))),'2-man'!AL$15,0)</f>
        <v/>
      </c>
      <c r="AM16">
        <f>IF(OR('2-man'!AM$17="P",'2-man'!AM$17="R",AND('2-man'!AM$15&lt;=IF('2-man'!$BF$4="",999,'2-man'!$BF$4),OR('2-man'!AM$17="D",LEFT('2-man'!AM$17,3)="ST&gt;",OR(AND('2-man'!AM$16="ST&gt;2",AM1&gt;=100))))),'2-man'!AM$15,0)</f>
        <v/>
      </c>
      <c r="AN16">
        <f>IF(OR('2-man'!AN$17="P",'2-man'!AN$17="R",AND('2-man'!AN$15&lt;=IF('2-man'!$BF$4="",999,'2-man'!$BF$4),OR('2-man'!AN$17="D",LEFT('2-man'!AN$17,3)="ST&gt;",OR(AND('2-man'!AN$16="ST&gt;2",AN1&gt;=100))))),'2-man'!AN$15,0)</f>
        <v/>
      </c>
      <c r="AO16">
        <f>IF(OR('2-man'!AO$17="P",'2-man'!AO$17="R",AND('2-man'!AO$15&lt;=IF('2-man'!$BF$4="",999,'2-man'!$BF$4),OR('2-man'!AO$17="D",LEFT('2-man'!AO$17,3)="ST&gt;",OR(AND('2-man'!AO$16="ST&gt;2",AO1&gt;=100))))),'2-man'!AO$15,0)</f>
        <v/>
      </c>
      <c r="AP16">
        <f>IF(OR('2-man'!AP$17="P",'2-man'!AP$17="R",AND('2-man'!AP$15&lt;=IF('2-man'!$BF$4="",999,'2-man'!$BF$4),OR('2-man'!AP$17="D",LEFT('2-man'!AP$17,3)="ST&gt;",OR(AND('2-man'!AP$16="ST&gt;2",AP1&gt;=100))))),'2-man'!AP$15,0)</f>
        <v/>
      </c>
      <c r="AQ16">
        <f>IF(OR('2-man'!AQ$17="P",'2-man'!AQ$17="R",AND('2-man'!AQ$15&lt;=IF('2-man'!$BF$4="",999,'2-man'!$BF$4),OR('2-man'!AQ$17="D",LEFT('2-man'!AQ$17,3)="ST&gt;",OR(AND('2-man'!AQ$16="ST&gt;2",AQ1&gt;=100))))),'2-man'!AQ$15,0)</f>
        <v/>
      </c>
      <c r="AR16">
        <f>IF(OR('2-man'!AR$17="P",'2-man'!AR$17="R",AND('2-man'!AR$15&lt;=IF('2-man'!$BF$4="",999,'2-man'!$BF$4),OR('2-man'!AR$17="D",LEFT('2-man'!AR$17,3)="ST&gt;",OR(AND('2-man'!AR$16="ST&gt;2",AR1&gt;=100))))),'2-man'!AR$15,0)</f>
        <v/>
      </c>
      <c r="AS16">
        <f>IF(OR('2-man'!AS$17="P",'2-man'!AS$17="R",AND('2-man'!AS$15&lt;=IF('2-man'!$BF$4="",999,'2-man'!$BF$4),OR('2-man'!AS$17="D",LEFT('2-man'!AS$17,3)="ST&gt;",OR(AND('2-man'!AS$16="ST&gt;2",AS1&gt;=100))))),'2-man'!AS$15,0)</f>
        <v/>
      </c>
      <c r="AT16">
        <f>IF(OR('2-man'!AT$17="P",'2-man'!AT$17="R",AND('2-man'!AT$15&lt;=IF('2-man'!$BF$4="",999,'2-man'!$BF$4),OR('2-man'!AT$17="D",LEFT('2-man'!AT$17,3)="ST&gt;",OR(AND('2-man'!AT$16="ST&gt;2",AT1&gt;=100))))),'2-man'!AT$15,0)</f>
        <v/>
      </c>
      <c r="AU16">
        <f>IF(OR('2-man'!AU$17="P",'2-man'!AU$17="R",AND('2-man'!AU$15&lt;=IF('2-man'!$BF$4="",999,'2-man'!$BF$4),OR('2-man'!AU$17="D",LEFT('2-man'!AU$17,3)="ST&gt;",OR(AND('2-man'!AU$16="ST&gt;2",AU1&gt;=100))))),'2-man'!AU$15,0)</f>
        <v/>
      </c>
      <c r="AV16">
        <f>IF(OR('2-man'!AV$17="P",'2-man'!AV$17="R",AND('2-man'!AV$15&lt;=IF('2-man'!$BF$4="",999,'2-man'!$BF$4),OR('2-man'!AV$17="D",LEFT('2-man'!AV$17,3)="ST&gt;",OR(AND('2-man'!AV$16="ST&gt;2",AV1&gt;=100))))),'2-man'!AV$15,0)</f>
        <v/>
      </c>
      <c r="AW16">
        <f>IF(OR('2-man'!AW$17="P",'2-man'!AW$17="R",AND('2-man'!AW$15&lt;=IF('2-man'!$BF$4="",999,'2-man'!$BF$4),OR('2-man'!AW$17="D",LEFT('2-man'!AW$17,3)="ST&gt;",OR(AND('2-man'!AW$16="ST&gt;2",AW1&gt;=100))))),'2-man'!AW$15,0)</f>
        <v/>
      </c>
      <c r="AX16">
        <f>IF(OR('2-man'!AX$17="P",'2-man'!AX$17="R",AND('2-man'!AX$15&lt;=IF('2-man'!$BF$4="",999,'2-man'!$BF$4),OR('2-man'!AX$17="D",LEFT('2-man'!AX$17,3)="ST&gt;",OR(AND('2-man'!AX$16="ST&gt;2",AX1&gt;=100))))),'2-man'!AX$15,0)</f>
        <v/>
      </c>
      <c r="AY16">
        <f>IF(OR('2-man'!AY$17="P",'2-man'!AY$17="R",AND('2-man'!AY$15&lt;=IF('2-man'!$BF$4="",999,'2-man'!$BF$4),OR('2-man'!AY$17="D",LEFT('2-man'!AY$17,3)="ST&gt;",OR(AND('2-man'!AY$16="ST&gt;2",AY1&gt;=100))))),'2-man'!AY$15,0)</f>
        <v/>
      </c>
      <c r="AZ16">
        <f>IF(OR('2-man'!AZ$17="P",'2-man'!AZ$17="R",AND('2-man'!AZ$15&lt;=IF('2-man'!$BF$4="",999,'2-man'!$BF$4),OR('2-man'!AZ$17="D",LEFT('2-man'!AZ$17,3)="ST&gt;",OR(AND('2-man'!AZ$16="ST&gt;2",AZ1&gt;=100))))),'2-man'!AZ$15,0)</f>
        <v/>
      </c>
      <c r="BA16">
        <f>IF(OR('2-man'!BA$17="P",'2-man'!BA$17="R",AND('2-man'!BA$15&lt;=IF('2-man'!$BF$4="",999,'2-man'!$BF$4),OR('2-man'!BA$17="D",LEFT('2-man'!BA$17,3)="ST&gt;",OR(AND('2-man'!BA$16="ST&gt;2",BA1&gt;=100))))),'2-man'!BA$15,0)</f>
        <v/>
      </c>
      <c r="BB16">
        <f>IF(OR('2-man'!BB$17="P",'2-man'!BB$17="R",AND('2-man'!BB$15&lt;=IF('2-man'!$BF$4="",999,'2-man'!$BF$4),OR('2-man'!BB$17="D",LEFT('2-man'!BB$17,3)="ST&gt;",OR(AND('2-man'!BB$16="ST&gt;2",BB1&gt;=100))))),'2-man'!BB$15,0)</f>
        <v/>
      </c>
      <c r="BC16">
        <f>IF(OR('2-man'!BC$17="P",'2-man'!BC$17="R",AND('2-man'!BC$15&lt;=IF('2-man'!$BF$4="",999,'2-man'!$BF$4),OR('2-man'!BC$17="D",LEFT('2-man'!BC$17,3)="ST&gt;",OR(AND('2-man'!BC$16="ST&gt;2",BC1&gt;=100))))),'2-man'!BC$15,0)</f>
        <v/>
      </c>
      <c r="BD16">
        <f>IF(OR('2-man'!BD$17="P",'2-man'!BD$17="R",AND('2-man'!BD$15&lt;=IF('2-man'!$BF$4="",999,'2-man'!$BF$4),OR('2-man'!BD$17="D",LEFT('2-man'!BD$17,3)="ST&gt;",OR(AND('2-man'!BD$16="ST&gt;2",BD1&gt;=100))))),'2-man'!BD$15,0)</f>
        <v/>
      </c>
      <c r="BE16">
        <f>IF(OR('2-man'!BE$17="P",'2-man'!BE$17="R",AND('2-man'!BE$15&lt;=IF('2-man'!$BF$4="",999,'2-man'!$BF$4),OR('2-man'!BE$17="D",LEFT('2-man'!BE$17,3)="ST&gt;",OR(AND('2-man'!BE$16="ST&gt;2",BE1&gt;=100))))),'2-man'!BE$15,0)</f>
        <v/>
      </c>
      <c r="BF16">
        <f>IF(OR('2-man'!BF$17="P",'2-man'!BF$17="R",AND('2-man'!BF$15&lt;=IF('2-man'!$BF$4="",999,'2-man'!$BF$4),OR('2-man'!BF$17="D",LEFT('2-man'!BF$17,3)="ST&gt;",OR(AND('2-man'!BF$16="ST&gt;2",BF1&gt;=100))))),'2-man'!BF$15,0)</f>
        <v/>
      </c>
      <c r="BG16">
        <f>IF(OR('2-man'!BG$17="P",'2-man'!BG$17="R",AND('2-man'!BG$15&lt;=IF('2-man'!$BF$4="",999,'2-man'!$BF$4),OR('2-man'!BG$17="D",LEFT('2-man'!BG$17,3)="ST&gt;",OR(AND('2-man'!BG$16="ST&gt;2",BG1&gt;=100))))),'2-man'!BG$15,0)</f>
        <v/>
      </c>
      <c r="BH16">
        <f>IF(OR('2-man'!BH$17="P",'2-man'!BH$17="R",AND('2-man'!BH$15&lt;=IF('2-man'!$BF$4="",999,'2-man'!$BF$4),OR('2-man'!BH$17="D",LEFT('2-man'!BH$17,3)="ST&gt;",OR(AND('2-man'!BH$16="ST&gt;2",BH1&gt;=100))))),'2-man'!BH$15,0)</f>
        <v/>
      </c>
      <c r="BI16">
        <f>IF(OR('2-man'!BI$17="P",'2-man'!BI$17="R",AND('2-man'!BI$15&lt;=IF('2-man'!$BF$4="",999,'2-man'!$BF$4),OR('2-man'!BI$17="D",LEFT('2-man'!BI$17,3)="ST&gt;",OR(AND('2-man'!BI$16="ST&gt;2",BI1&gt;=100))))),'2-man'!BI$15,0)</f>
        <v/>
      </c>
      <c r="BJ16">
        <f>IF(OR('2-man'!BJ$17="P",'2-man'!BJ$17="R",AND('2-man'!BJ$15&lt;=IF('2-man'!$BF$4="",999,'2-man'!$BF$4),OR('2-man'!BJ$17="D",LEFT('2-man'!BJ$17,3)="ST&gt;",OR(AND('2-man'!BJ$16="ST&gt;2",BJ1&gt;=100))))),'2-man'!BJ$15,0)</f>
        <v/>
      </c>
      <c r="BK16">
        <f>IF(OR('2-man'!BK$17="P",'2-man'!BK$17="R",AND('2-man'!BK$15&lt;=IF('2-man'!$BF$4="",999,'2-man'!$BF$4),OR('2-man'!BK$17="D",LEFT('2-man'!BK$17,3)="ST&gt;",OR(AND('2-man'!BK$16="ST&gt;2",BK1&gt;=100))))),'2-man'!BK$15,0)</f>
        <v/>
      </c>
      <c r="BL16">
        <f>IF(OR('2-man'!BL$17="P",'2-man'!BL$17="R",AND('2-man'!BL$15&lt;=IF('2-man'!$BF$4="",999,'2-man'!$BF$4),OR('2-man'!BL$17="D",LEFT('2-man'!BL$17,3)="ST&gt;",OR(AND('2-man'!BL$16="ST&gt;2",BL1&gt;=100))))),'2-man'!BL$15,0)</f>
        <v/>
      </c>
      <c r="BM16">
        <f>IF(OR('2-man'!BM$17="P",'2-man'!BM$17="R",AND('2-man'!BM$15&lt;=IF('2-man'!$BF$4="",999,'2-man'!$BF$4),OR('2-man'!BM$17="D",LEFT('2-man'!BM$17,3)="ST&gt;",OR(AND('2-man'!BM$16="ST&gt;2",BM1&gt;=100))))),'2-man'!BM$15,0)</f>
        <v/>
      </c>
      <c r="BN16">
        <f>IF(OR('2-man'!BN$17="P",'2-man'!BN$17="R",AND('2-man'!BN$15&lt;=IF('2-man'!$BF$4="",999,'2-man'!$BF$4),OR('2-man'!BN$17="D",LEFT('2-man'!BN$17,3)="ST&gt;",OR(AND('2-man'!BN$16="ST&gt;2",BN1&gt;=100))))),'2-man'!BN$15,0)</f>
        <v/>
      </c>
      <c r="BO16">
        <f>IF(OR('2-man'!BO$17="P",'2-man'!BO$17="R",AND('2-man'!BO$15&lt;=IF('2-man'!$BF$4="",999,'2-man'!$BF$4),OR('2-man'!BO$17="D",LEFT('2-man'!BO$17,3)="ST&gt;",OR(AND('2-man'!BO$16="ST&gt;2",BO1&gt;=100))))),'2-man'!BO$15,0)</f>
        <v/>
      </c>
      <c r="BP16">
        <f>IF(OR('2-man'!BP$17="P",'2-man'!BP$17="R",AND('2-man'!BP$15&lt;=IF('2-man'!$BF$4="",999,'2-man'!$BF$4),OR('2-man'!BP$17="D",LEFT('2-man'!BP$17,3)="ST&gt;",OR(AND('2-man'!BP$16="ST&gt;2",BP1&gt;=100))))),'2-man'!BP$15,0)</f>
        <v/>
      </c>
      <c r="BQ16">
        <f>IF(OR('2-man'!BQ$17="P",'2-man'!BQ$17="R",AND('2-man'!BQ$15&lt;=IF('2-man'!$BF$4="",999,'2-man'!$BF$4),OR('2-man'!BQ$17="D",LEFT('2-man'!BQ$17,3)="ST&gt;",OR(AND('2-man'!BQ$16="ST&gt;2",BQ1&gt;=100))))),'2-man'!BQ$15,0)</f>
        <v/>
      </c>
      <c r="BR16">
        <f>IF(OR('2-man'!BR$17="P",'2-man'!BR$17="R",AND('2-man'!BR$15&lt;=IF('2-man'!$BF$4="",999,'2-man'!$BF$4),OR('2-man'!BR$17="D",LEFT('2-man'!BR$17,3)="ST&gt;",OR(AND('2-man'!BR$16="ST&gt;2",BR1&gt;=100))))),'2-man'!BR$15,0)</f>
        <v/>
      </c>
      <c r="BS16">
        <f>IF(OR('2-man'!BS$17="P",'2-man'!BS$17="R",AND('2-man'!BS$15&lt;=IF('2-man'!$BF$4="",999,'2-man'!$BF$4),OR('2-man'!BS$17="D",LEFT('2-man'!BS$17,3)="ST&gt;",OR(AND('2-man'!BS$16="ST&gt;2",BS1&gt;=100))))),'2-man'!BS$15,0)</f>
        <v/>
      </c>
      <c r="BT16">
        <f>IF(OR('2-man'!BT$17="P",'2-man'!BT$17="R",AND('2-man'!BT$15&lt;=IF('2-man'!$BF$4="",999,'2-man'!$BF$4),OR('2-man'!BT$17="D",LEFT('2-man'!BT$17,3)="ST&gt;",OR(AND('2-man'!BT$16="ST&gt;2",BT1&gt;=100))))),'2-man'!BT$15,0)</f>
        <v/>
      </c>
      <c r="BU16">
        <f>IF(OR('2-man'!BU$17="P",'2-man'!BU$17="R",AND('2-man'!BU$15&lt;=IF('2-man'!$BF$4="",999,'2-man'!$BF$4),OR('2-man'!BU$17="D",LEFT('2-man'!BU$17,3)="ST&gt;",OR(AND('2-man'!BU$16="ST&gt;2",BU1&gt;=100))))),'2-man'!BU$15,0)</f>
        <v/>
      </c>
      <c r="BV16">
        <f>IF(OR('2-man'!BV$17="P",'2-man'!BV$17="R",AND('2-man'!BV$15&lt;=IF('2-man'!$BF$4="",999,'2-man'!$BF$4),OR('2-man'!BV$17="D",LEFT('2-man'!BV$17,3)="ST&gt;",OR(AND('2-man'!BV$16="ST&gt;2",BV1&gt;=100))))),'2-man'!BV$15,0)</f>
        <v/>
      </c>
      <c r="BW16">
        <f>IF(OR('2-man'!BW$17="P",'2-man'!BW$17="R",AND('2-man'!BW$15&lt;=IF('2-man'!$BF$4="",999,'2-man'!$BF$4),OR('2-man'!BW$17="D",LEFT('2-man'!BW$17,3)="ST&gt;",OR(AND('2-man'!BW$16="ST&gt;2",BW1&gt;=100))))),'2-man'!BW$15,0)</f>
        <v/>
      </c>
      <c r="BX16">
        <f>IF(OR('2-man'!BX$17="P",'2-man'!BX$17="R",AND('2-man'!BX$15&lt;=IF('2-man'!$BF$4="",999,'2-man'!$BF$4),OR('2-man'!BX$17="D",LEFT('2-man'!BX$17,3)="ST&gt;",OR(AND('2-man'!BX$16="ST&gt;2",BX1&gt;=100))))),'2-man'!BX$15,0)</f>
        <v/>
      </c>
      <c r="BY16">
        <f>IF(OR('2-man'!BY$17="P",'2-man'!BY$17="R",AND('2-man'!BY$15&lt;=IF('2-man'!$BF$4="",999,'2-man'!$BF$4),OR('2-man'!BY$17="D",LEFT('2-man'!BY$17,3)="ST&gt;",OR(AND('2-man'!BY$16="ST&gt;2",BY1&gt;=100))))),'2-man'!BY$15,0)</f>
        <v/>
      </c>
      <c r="BZ16">
        <f>IF(OR('2-man'!BZ$17="P",'2-man'!BZ$17="R",AND('2-man'!BZ$15&lt;=IF('2-man'!$BF$4="",999,'2-man'!$BF$4),OR('2-man'!BZ$17="D",LEFT('2-man'!BZ$17,3)="ST&gt;",OR(AND('2-man'!BZ$16="ST&gt;2",BZ1&gt;=100))))),'2-man'!BZ$15,0)</f>
        <v/>
      </c>
      <c r="CA16">
        <f>IF(OR('2-man'!CA$17="P",'2-man'!CA$17="R",AND('2-man'!CA$15&lt;=IF('2-man'!$BF$4="",999,'2-man'!$BF$4),OR('2-man'!CA$17="D",LEFT('2-man'!CA$17,3)="ST&gt;",OR(AND('2-man'!CA$16="ST&gt;2",CA1&gt;=100))))),'2-man'!CA$15,0)</f>
        <v/>
      </c>
      <c r="CB16">
        <f>IF(OR('2-man'!CB$17="P",'2-man'!CB$17="R",AND('2-man'!CB$15&lt;=IF('2-man'!$BF$4="",999,'2-man'!$BF$4),OR('2-man'!CB$17="D",LEFT('2-man'!CB$17,3)="ST&gt;",OR(AND('2-man'!CB$16="ST&gt;2",CB1&gt;=100))))),'2-man'!CB$15,0)</f>
        <v/>
      </c>
      <c r="CC16">
        <f>IF(OR('2-man'!CC$17="P",'2-man'!CC$17="R",AND('2-man'!CC$15&lt;=IF('2-man'!$BF$4="",999,'2-man'!$BF$4),OR('2-man'!CC$17="D",LEFT('2-man'!CC$17,3)="ST&gt;",OR(AND('2-man'!CC$16="ST&gt;2",CC1&gt;=100))))),'2-man'!CC$15,0)</f>
        <v/>
      </c>
      <c r="CD16">
        <f>IF(OR('2-man'!CD$17="P",'2-man'!CD$17="R",AND('2-man'!CD$15&lt;=IF('2-man'!$BF$4="",999,'2-man'!$BF$4),OR('2-man'!CD$17="D",LEFT('2-man'!CD$17,3)="ST&gt;",OR(AND('2-man'!CD$16="ST&gt;2",CD1&gt;=100))))),'2-man'!CD$15,0)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MIN(100,B33+IF(AND(B33&lt;100,B34+1&gt;=IF(OR('2-man'!$F$27=TRUE,'2-man'!$F$27="TRUE",'2-man'!$F$27="Yes"),25,50)),10,0)+IF('2-man'!C$38=$Q$38,25,0))</f>
        <v/>
      </c>
      <c r="D32">
        <f>MIN(100,C33+IF(AND(C33&lt;100,C34+1&gt;=IF(OR('2-man'!$F$27=TRUE,'2-man'!$F$27="TRUE",'2-man'!$F$27="Yes"),25,50)),10,0)+IF('2-man'!D$38=$Q$38,25,0))</f>
        <v/>
      </c>
      <c r="E32">
        <f>MIN(100,D33+IF(AND(D33&lt;100,D34+1&gt;=IF(OR('2-man'!$F$27=TRUE,'2-man'!$F$27="TRUE",'2-man'!$F$27="Yes"),25,50)),10,0)+IF('2-man'!E$38=$Q$38,25,0))</f>
        <v/>
      </c>
      <c r="F32">
        <f>MIN(100,E33+IF(AND(E33&lt;100,E34+1&gt;=IF(OR('2-man'!$F$27=TRUE,'2-man'!$F$27="TRUE",'2-man'!$F$27="Yes"),25,50)),10,0)+IF('2-man'!F$38=$Q$38,25,0))</f>
        <v/>
      </c>
      <c r="G32">
        <f>MIN(100,F33+IF(AND(F33&lt;100,F34+1&gt;=IF(OR('2-man'!$F$27=TRUE,'2-man'!$F$27="TRUE",'2-man'!$F$27="Yes"),25,50)),10,0)+IF('2-man'!G$38=$Q$38,25,0))</f>
        <v/>
      </c>
      <c r="H32">
        <f>MIN(100,G33+IF(AND(G33&lt;100,G34+1&gt;=IF(OR('2-man'!$F$27=TRUE,'2-man'!$F$27="TRUE",'2-man'!$F$27="Yes"),25,50)),10,0)+IF('2-man'!H$38=$Q$38,25,0))</f>
        <v/>
      </c>
      <c r="I32">
        <f>MIN(100,H33+IF(AND(H33&lt;100,H34+1&gt;=IF(OR('2-man'!$F$27=TRUE,'2-man'!$F$27="TRUE",'2-man'!$F$27="Yes"),25,50)),10,0)+IF('2-man'!I$38=$Q$38,25,0))</f>
        <v/>
      </c>
      <c r="J32">
        <f>MIN(100,I33+IF(AND(I33&lt;100,I34+1&gt;=IF(OR('2-man'!$F$27=TRUE,'2-man'!$F$27="TRUE",'2-man'!$F$27="Yes"),25,50)),10,0)+IF('2-man'!J$38=$Q$38,25,0))</f>
        <v/>
      </c>
      <c r="K32">
        <f>MIN(100,J33+IF(AND(J33&lt;100,J34+1&gt;=IF(OR('2-man'!$F$27=TRUE,'2-man'!$F$27="TRUE",'2-man'!$F$27="Yes"),25,50)),10,0)+IF('2-man'!K$38=$Q$38,25,0))</f>
        <v/>
      </c>
      <c r="L32">
        <f>MIN(100,K33+IF(AND(K33&lt;100,K34+1&gt;=IF(OR('2-man'!$F$27=TRUE,'2-man'!$F$27="TRUE",'2-man'!$F$27="Yes"),25,50)),10,0)+IF('2-man'!L$38=$Q$38,25,0))</f>
        <v/>
      </c>
      <c r="M32">
        <f>MIN(100,L33+IF(AND(L33&lt;100,L34+1&gt;=IF(OR('2-man'!$F$27=TRUE,'2-man'!$F$27="TRUE",'2-man'!$F$27="Yes"),25,50)),10,0)+IF('2-man'!M$38=$Q$38,25,0))</f>
        <v/>
      </c>
      <c r="N32">
        <f>MIN(100,M33+IF(AND(M33&lt;100,M34+1&gt;=IF(OR('2-man'!$F$27=TRUE,'2-man'!$F$27="TRUE",'2-man'!$F$27="Yes"),25,50)),10,0)+IF('2-man'!N$38=$Q$38,25,0))</f>
        <v/>
      </c>
      <c r="O32">
        <f>MIN(100,N33+IF(AND(N33&lt;100,N34+1&gt;=IF(OR('2-man'!$F$27=TRUE,'2-man'!$F$27="TRUE",'2-man'!$F$27="Yes"),25,50)),10,0)+IF('2-man'!O$38=$Q$38,25,0))</f>
        <v/>
      </c>
      <c r="P32">
        <f>MIN(100,O33+IF(AND(O33&lt;100,O34+1&gt;=IF(OR('2-man'!$F$27=TRUE,'2-man'!$F$27="TRUE",'2-man'!$F$27="Yes"),25,50)),10,0)+IF('2-man'!P$38=$Q$38,25,0))</f>
        <v/>
      </c>
      <c r="Q32">
        <f>MIN(100,P33+IF(AND(P33&lt;100,P34+1&gt;=IF(OR('2-man'!$F$27=TRUE,'2-man'!$F$27="TRUE",'2-man'!$F$27="Yes"),25,50)),10,0)+IF('2-man'!Q$38=$Q$38,25,0))</f>
        <v/>
      </c>
      <c r="R32">
        <f>MIN(100,Q33+IF(AND(Q33&lt;100,Q34+1&gt;=IF(OR('2-man'!$F$27=TRUE,'2-man'!$F$27="TRUE",'2-man'!$F$27="Yes"),25,50)),10,0)+IF('2-man'!R$38=$Q$38,25,0))</f>
        <v/>
      </c>
      <c r="S32">
        <f>MIN(100,R33+IF(AND(R33&lt;100,R34+1&gt;=IF(OR('2-man'!$F$27=TRUE,'2-man'!$F$27="TRUE",'2-man'!$F$27="Yes"),25,50)),10,0)+IF('2-man'!S$38=$Q$38,25,0))</f>
        <v/>
      </c>
      <c r="T32">
        <f>MIN(100,S33+IF(AND(S33&lt;100,S34+1&gt;=IF(OR('2-man'!$F$27=TRUE,'2-man'!$F$27="TRUE",'2-man'!$F$27="Yes"),25,50)),10,0)+IF('2-man'!T$38=$Q$38,25,0))</f>
        <v/>
      </c>
      <c r="U32">
        <f>MIN(100,T33+IF(AND(T33&lt;100,T34+1&gt;=IF(OR('2-man'!$F$27=TRUE,'2-man'!$F$27="TRUE",'2-man'!$F$27="Yes"),25,50)),10,0)+IF('2-man'!U$38=$Q$38,25,0))</f>
        <v/>
      </c>
      <c r="V32">
        <f>MIN(100,U33+IF(AND(U33&lt;100,U34+1&gt;=IF(OR('2-man'!$F$27=TRUE,'2-man'!$F$27="TRUE",'2-man'!$F$27="Yes"),25,50)),10,0)+IF('2-man'!V$38=$Q$38,25,0))</f>
        <v/>
      </c>
      <c r="W32">
        <f>MIN(100,V33+IF(AND(V33&lt;100,V34+1&gt;=IF(OR('2-man'!$F$27=TRUE,'2-man'!$F$27="TRUE",'2-man'!$F$27="Yes"),25,50)),10,0)+IF('2-man'!W$38=$Q$38,25,0))</f>
        <v/>
      </c>
      <c r="X32">
        <f>MIN(100,W33+IF(AND(W33&lt;100,W34+1&gt;=IF(OR('2-man'!$F$27=TRUE,'2-man'!$F$27="TRUE",'2-man'!$F$27="Yes"),25,50)),10,0)+IF('2-man'!X$38=$Q$38,25,0))</f>
        <v/>
      </c>
      <c r="Y32">
        <f>MIN(100,X33+IF(AND(X33&lt;100,X34+1&gt;=IF(OR('2-man'!$F$27=TRUE,'2-man'!$F$27="TRUE",'2-man'!$F$27="Yes"),25,50)),10,0)+IF('2-man'!Y$38=$Q$38,25,0))</f>
        <v/>
      </c>
      <c r="Z32">
        <f>MIN(100,Y33+IF(AND(Y33&lt;100,Y34+1&gt;=IF(OR('2-man'!$F$27=TRUE,'2-man'!$F$27="TRUE",'2-man'!$F$27="Yes"),25,50)),10,0)+IF('2-man'!Z$38=$Q$38,25,0))</f>
        <v/>
      </c>
      <c r="AA32">
        <f>MIN(100,Z33+IF(AND(Z33&lt;100,Z34+1&gt;=IF(OR('2-man'!$F$27=TRUE,'2-man'!$F$27="TRUE",'2-man'!$F$27="Yes"),25,50)),10,0)+IF('2-man'!AA$38=$Q$38,25,0))</f>
        <v/>
      </c>
      <c r="AB32">
        <f>MIN(100,AA33+IF(AND(AA33&lt;100,AA34+1&gt;=IF(OR('2-man'!$F$27=TRUE,'2-man'!$F$27="TRUE",'2-man'!$F$27="Yes"),25,50)),10,0)+IF('2-man'!AB$38=$Q$38,25,0))</f>
        <v/>
      </c>
      <c r="AC32">
        <f>MIN(100,AB33+IF(AND(AB33&lt;100,AB34+1&gt;=IF(OR('2-man'!$F$27=TRUE,'2-man'!$F$27="TRUE",'2-man'!$F$27="Yes"),25,50)),10,0)+IF('2-man'!AC$38=$Q$38,25,0))</f>
        <v/>
      </c>
      <c r="AD32">
        <f>MIN(100,AC33+IF(AND(AC33&lt;100,AC34+1&gt;=IF(OR('2-man'!$F$27=TRUE,'2-man'!$F$27="TRUE",'2-man'!$F$27="Yes"),25,50)),10,0)+IF('2-man'!AD$38=$Q$38,25,0))</f>
        <v/>
      </c>
      <c r="AE32">
        <f>MIN(100,AD33+IF(AND(AD33&lt;100,AD34+1&gt;=IF(OR('2-man'!$F$27=TRUE,'2-man'!$F$27="TRUE",'2-man'!$F$27="Yes"),25,50)),10,0)+IF('2-man'!AE$38=$Q$38,25,0))</f>
        <v/>
      </c>
      <c r="AF32">
        <f>MIN(100,AE33+IF(AND(AE33&lt;100,AE34+1&gt;=IF(OR('2-man'!$F$27=TRUE,'2-man'!$F$27="TRUE",'2-man'!$F$27="Yes"),25,50)),10,0)+IF('2-man'!AF$38=$Q$38,25,0))</f>
        <v/>
      </c>
      <c r="AG32">
        <f>MIN(100,AF33+IF(AND(AF33&lt;100,AF34+1&gt;=IF(OR('2-man'!$F$27=TRUE,'2-man'!$F$27="TRUE",'2-man'!$F$27="Yes"),25,50)),10,0)+IF('2-man'!AG$38=$Q$38,25,0))</f>
        <v/>
      </c>
      <c r="AH32">
        <f>MIN(100,AG33+IF(AND(AG33&lt;100,AG34+1&gt;=IF(OR('2-man'!$F$27=TRUE,'2-man'!$F$27="TRUE",'2-man'!$F$27="Yes"),25,50)),10,0)+IF('2-man'!AH$38=$Q$38,25,0))</f>
        <v/>
      </c>
      <c r="AI32">
        <f>MIN(100,AH33+IF(AND(AH33&lt;100,AH34+1&gt;=IF(OR('2-man'!$F$27=TRUE,'2-man'!$F$27="TRUE",'2-man'!$F$27="Yes"),25,50)),10,0)+IF('2-man'!AI$38=$Q$38,25,0))</f>
        <v/>
      </c>
      <c r="AJ32">
        <f>MIN(100,AI33+IF(AND(AI33&lt;100,AI34+1&gt;=IF(OR('2-man'!$F$27=TRUE,'2-man'!$F$27="TRUE",'2-man'!$F$27="Yes"),25,50)),10,0)+IF('2-man'!AJ$38=$Q$38,25,0))</f>
        <v/>
      </c>
      <c r="AK32">
        <f>MIN(100,AJ33+IF(AND(AJ33&lt;100,AJ34+1&gt;=IF(OR('2-man'!$F$27=TRUE,'2-man'!$F$27="TRUE",'2-man'!$F$27="Yes"),25,50)),10,0)+IF('2-man'!AK$38=$Q$38,25,0))</f>
        <v/>
      </c>
      <c r="AL32">
        <f>MIN(100,AK33+IF(AND(AK33&lt;100,AK34+1&gt;=IF(OR('2-man'!$F$27=TRUE,'2-man'!$F$27="TRUE",'2-man'!$F$27="Yes"),25,50)),10,0)+IF('2-man'!AL$38=$Q$38,25,0))</f>
        <v/>
      </c>
      <c r="AM32">
        <f>MIN(100,AL33+IF(AND(AL33&lt;100,AL34+1&gt;=IF(OR('2-man'!$F$27=TRUE,'2-man'!$F$27="TRUE",'2-man'!$F$27="Yes"),25,50)),10,0)+IF('2-man'!AM$38=$Q$38,25,0))</f>
        <v/>
      </c>
      <c r="AN32">
        <f>MIN(100,AM33+IF(AND(AM33&lt;100,AM34+1&gt;=IF(OR('2-man'!$F$27=TRUE,'2-man'!$F$27="TRUE",'2-man'!$F$27="Yes"),25,50)),10,0)+IF('2-man'!AN$38=$Q$38,25,0))</f>
        <v/>
      </c>
      <c r="AO32">
        <f>MIN(100,AN33+IF(AND(AN33&lt;100,AN34+1&gt;=IF(OR('2-man'!$F$27=TRUE,'2-man'!$F$27="TRUE",'2-man'!$F$27="Yes"),25,50)),10,0)+IF('2-man'!AO$38=$Q$38,25,0))</f>
        <v/>
      </c>
      <c r="AP32">
        <f>MIN(100,AO33+IF(AND(AO33&lt;100,AO34+1&gt;=IF(OR('2-man'!$F$27=TRUE,'2-man'!$F$27="TRUE",'2-man'!$F$27="Yes"),25,50)),10,0)+IF('2-man'!AP$38=$Q$38,25,0))</f>
        <v/>
      </c>
      <c r="AQ32">
        <f>MIN(100,AP33+IF(AND(AP33&lt;100,AP34+1&gt;=IF(OR('2-man'!$F$27=TRUE,'2-man'!$F$27="TRUE",'2-man'!$F$27="Yes"),25,50)),10,0)+IF('2-man'!AQ$38=$Q$38,25,0))</f>
        <v/>
      </c>
      <c r="AR32">
        <f>MIN(100,AQ33+IF(AND(AQ33&lt;100,AQ34+1&gt;=IF(OR('2-man'!$F$27=TRUE,'2-man'!$F$27="TRUE",'2-man'!$F$27="Yes"),25,50)),10,0)+IF('2-man'!AR$38=$Q$38,25,0))</f>
        <v/>
      </c>
      <c r="AS32">
        <f>MIN(100,AR33+IF(AND(AR33&lt;100,AR34+1&gt;=IF(OR('2-man'!$F$27=TRUE,'2-man'!$F$27="TRUE",'2-man'!$F$27="Yes"),25,50)),10,0)+IF('2-man'!AS$38=$Q$38,25,0))</f>
        <v/>
      </c>
      <c r="AT32">
        <f>MIN(100,AS33+IF(AND(AS33&lt;100,AS34+1&gt;=IF(OR('2-man'!$F$27=TRUE,'2-man'!$F$27="TRUE",'2-man'!$F$27="Yes"),25,50)),10,0)+IF('2-man'!AT$38=$Q$38,25,0))</f>
        <v/>
      </c>
      <c r="AU32">
        <f>MIN(100,AT33+IF(AND(AT33&lt;100,AT34+1&gt;=IF(OR('2-man'!$F$27=TRUE,'2-man'!$F$27="TRUE",'2-man'!$F$27="Yes"),25,50)),10,0)+IF('2-man'!AU$38=$Q$38,25,0))</f>
        <v/>
      </c>
      <c r="AV32">
        <f>MIN(100,AU33+IF(AND(AU33&lt;100,AU34+1&gt;=IF(OR('2-man'!$F$27=TRUE,'2-man'!$F$27="TRUE",'2-man'!$F$27="Yes"),25,50)),10,0)+IF('2-man'!AV$38=$Q$38,25,0))</f>
        <v/>
      </c>
      <c r="AW32">
        <f>MIN(100,AV33+IF(AND(AV33&lt;100,AV34+1&gt;=IF(OR('2-man'!$F$27=TRUE,'2-man'!$F$27="TRUE",'2-man'!$F$27="Yes"),25,50)),10,0)+IF('2-man'!AW$38=$Q$38,25,0))</f>
        <v/>
      </c>
      <c r="AX32">
        <f>MIN(100,AW33+IF(AND(AW33&lt;100,AW34+1&gt;=IF(OR('2-man'!$F$27=TRUE,'2-man'!$F$27="TRUE",'2-man'!$F$27="Yes"),25,50)),10,0)+IF('2-man'!AX$38=$Q$38,25,0))</f>
        <v/>
      </c>
      <c r="AY32">
        <f>MIN(100,AX33+IF(AND(AX33&lt;100,AX34+1&gt;=IF(OR('2-man'!$F$27=TRUE,'2-man'!$F$27="TRUE",'2-man'!$F$27="Yes"),25,50)),10,0)+IF('2-man'!AY$38=$Q$38,25,0))</f>
        <v/>
      </c>
      <c r="AZ32">
        <f>MIN(100,AY33+IF(AND(AY33&lt;100,AY34+1&gt;=IF(OR('2-man'!$F$27=TRUE,'2-man'!$F$27="TRUE",'2-man'!$F$27="Yes"),25,50)),10,0)+IF('2-man'!AZ$38=$Q$38,25,0))</f>
        <v/>
      </c>
      <c r="BA32">
        <f>MIN(100,AZ33+IF(AND(AZ33&lt;100,AZ34+1&gt;=IF(OR('2-man'!$F$27=TRUE,'2-man'!$F$27="TRUE",'2-man'!$F$27="Yes"),25,50)),10,0)+IF('2-man'!BA$38=$Q$38,25,0))</f>
        <v/>
      </c>
      <c r="BB32">
        <f>MIN(100,BA33+IF(AND(BA33&lt;100,BA34+1&gt;=IF(OR('2-man'!$F$27=TRUE,'2-man'!$F$27="TRUE",'2-man'!$F$27="Yes"),25,50)),10,0)+IF('2-man'!BB$38=$Q$38,25,0))</f>
        <v/>
      </c>
      <c r="BC32">
        <f>MIN(100,BB33+IF(AND(BB33&lt;100,BB34+1&gt;=IF(OR('2-man'!$F$27=TRUE,'2-man'!$F$27="TRUE",'2-man'!$F$27="Yes"),25,50)),10,0)+IF('2-man'!BC$38=$Q$38,25,0))</f>
        <v/>
      </c>
      <c r="BD32">
        <f>MIN(100,BC33+IF(AND(BC33&lt;100,BC34+1&gt;=IF(OR('2-man'!$F$27=TRUE,'2-man'!$F$27="TRUE",'2-man'!$F$27="Yes"),25,50)),10,0)+IF('2-man'!BD$38=$Q$38,25,0))</f>
        <v/>
      </c>
      <c r="BE32">
        <f>MIN(100,BD33+IF(AND(BD33&lt;100,BD34+1&gt;=IF(OR('2-man'!$F$27=TRUE,'2-man'!$F$27="TRUE",'2-man'!$F$27="Yes"),25,50)),10,0)+IF('2-man'!BE$38=$Q$38,25,0))</f>
        <v/>
      </c>
      <c r="BF32">
        <f>MIN(100,BE33+IF(AND(BE33&lt;100,BE34+1&gt;=IF(OR('2-man'!$F$27=TRUE,'2-man'!$F$27="TRUE",'2-man'!$F$27="Yes"),25,50)),10,0)+IF('2-man'!BF$38=$Q$38,25,0))</f>
        <v/>
      </c>
      <c r="BG32">
        <f>MIN(100,BF33+IF(AND(BF33&lt;100,BF34+1&gt;=IF(OR('2-man'!$F$27=TRUE,'2-man'!$F$27="TRUE",'2-man'!$F$27="Yes"),25,50)),10,0)+IF('2-man'!BG$38=$Q$38,25,0))</f>
        <v/>
      </c>
      <c r="BH32">
        <f>MIN(100,BG33+IF(AND(BG33&lt;100,BG34+1&gt;=IF(OR('2-man'!$F$27=TRUE,'2-man'!$F$27="TRUE",'2-man'!$F$27="Yes"),25,50)),10,0)+IF('2-man'!BH$38=$Q$38,25,0))</f>
        <v/>
      </c>
      <c r="BI32">
        <f>MIN(100,BH33+IF(AND(BH33&lt;100,BH34+1&gt;=IF(OR('2-man'!$F$27=TRUE,'2-man'!$F$27="TRUE",'2-man'!$F$27="Yes"),25,50)),10,0)+IF('2-man'!BI$38=$Q$38,25,0))</f>
        <v/>
      </c>
      <c r="BJ32">
        <f>MIN(100,BI33+IF(AND(BI33&lt;100,BI34+1&gt;=IF(OR('2-man'!$F$27=TRUE,'2-man'!$F$27="TRUE",'2-man'!$F$27="Yes"),25,50)),10,0)+IF('2-man'!BJ$38=$Q$38,25,0))</f>
        <v/>
      </c>
      <c r="BK32">
        <f>MIN(100,BJ33+IF(AND(BJ33&lt;100,BJ34+1&gt;=IF(OR('2-man'!$F$27=TRUE,'2-man'!$F$27="TRUE",'2-man'!$F$27="Yes"),25,50)),10,0)+IF('2-man'!BK$38=$Q$38,25,0))</f>
        <v/>
      </c>
      <c r="BL32">
        <f>MIN(100,BK33+IF(AND(BK33&lt;100,BK34+1&gt;=IF(OR('2-man'!$F$27=TRUE,'2-man'!$F$27="TRUE",'2-man'!$F$27="Yes"),25,50)),10,0)+IF('2-man'!BL$38=$Q$38,25,0))</f>
        <v/>
      </c>
      <c r="BM32">
        <f>MIN(100,BL33+IF(AND(BL33&lt;100,BL34+1&gt;=IF(OR('2-man'!$F$27=TRUE,'2-man'!$F$27="TRUE",'2-man'!$F$27="Yes"),25,50)),10,0)+IF('2-man'!BM$38=$Q$38,25,0))</f>
        <v/>
      </c>
      <c r="BN32">
        <f>MIN(100,BM33+IF(AND(BM33&lt;100,BM34+1&gt;=IF(OR('2-man'!$F$27=TRUE,'2-man'!$F$27="TRUE",'2-man'!$F$27="Yes"),25,50)),10,0)+IF('2-man'!BN$38=$Q$38,25,0))</f>
        <v/>
      </c>
      <c r="BO32">
        <f>MIN(100,BN33+IF(AND(BN33&lt;100,BN34+1&gt;=IF(OR('2-man'!$F$27=TRUE,'2-man'!$F$27="TRUE",'2-man'!$F$27="Yes"),25,50)),10,0)+IF('2-man'!BO$38=$Q$38,25,0))</f>
        <v/>
      </c>
      <c r="BP32">
        <f>MIN(100,BO33+IF(AND(BO33&lt;100,BO34+1&gt;=IF(OR('2-man'!$F$27=TRUE,'2-man'!$F$27="TRUE",'2-man'!$F$27="Yes"),25,50)),10,0)+IF('2-man'!BP$38=$Q$38,25,0))</f>
        <v/>
      </c>
      <c r="BQ32">
        <f>MIN(100,BP33+IF(AND(BP33&lt;100,BP34+1&gt;=IF(OR('2-man'!$F$27=TRUE,'2-man'!$F$27="TRUE",'2-man'!$F$27="Yes"),25,50)),10,0)+IF('2-man'!BQ$38=$Q$38,25,0))</f>
        <v/>
      </c>
      <c r="BR32">
        <f>MIN(100,BQ33+IF(AND(BQ33&lt;100,BQ34+1&gt;=IF(OR('2-man'!$F$27=TRUE,'2-man'!$F$27="TRUE",'2-man'!$F$27="Yes"),25,50)),10,0)+IF('2-man'!BR$38=$Q$38,25,0))</f>
        <v/>
      </c>
      <c r="BS32">
        <f>MIN(100,BR33+IF(AND(BR33&lt;100,BR34+1&gt;=IF(OR('2-man'!$F$27=TRUE,'2-man'!$F$27="TRUE",'2-man'!$F$27="Yes"),25,50)),10,0)+IF('2-man'!BS$38=$Q$38,25,0))</f>
        <v/>
      </c>
      <c r="BT32">
        <f>MIN(100,BS33+IF(AND(BS33&lt;100,BS34+1&gt;=IF(OR('2-man'!$F$27=TRUE,'2-man'!$F$27="TRUE",'2-man'!$F$27="Yes"),25,50)),10,0)+IF('2-man'!BT$38=$Q$38,25,0))</f>
        <v/>
      </c>
      <c r="BU32">
        <f>MIN(100,BT33+IF(AND(BT33&lt;100,BT34+1&gt;=IF(OR('2-man'!$F$27=TRUE,'2-man'!$F$27="TRUE",'2-man'!$F$27="Yes"),25,50)),10,0)+IF('2-man'!BU$38=$Q$38,25,0))</f>
        <v/>
      </c>
      <c r="BV32">
        <f>MIN(100,BU33+IF(AND(BU33&lt;100,BU34+1&gt;=IF(OR('2-man'!$F$27=TRUE,'2-man'!$F$27="TRUE",'2-man'!$F$27="Yes"),25,50)),10,0)+IF('2-man'!BV$38=$Q$38,25,0))</f>
        <v/>
      </c>
      <c r="BW32">
        <f>MIN(100,BV33+IF(AND(BV33&lt;100,BV34+1&gt;=IF(OR('2-man'!$F$27=TRUE,'2-man'!$F$27="TRUE",'2-man'!$F$27="Yes"),25,50)),10,0)+IF('2-man'!BW$38=$Q$38,25,0))</f>
        <v/>
      </c>
      <c r="BX32">
        <f>MIN(100,BW33+IF(AND(BW33&lt;100,BW34+1&gt;=IF(OR('2-man'!$F$27=TRUE,'2-man'!$F$27="TRUE",'2-man'!$F$27="Yes"),25,50)),10,0)+IF('2-man'!BX$38=$Q$38,25,0))</f>
        <v/>
      </c>
      <c r="BY32">
        <f>MIN(100,BX33+IF(AND(BX33&lt;100,BX34+1&gt;=IF(OR('2-man'!$F$27=TRUE,'2-man'!$F$27="TRUE",'2-man'!$F$27="Yes"),25,50)),10,0)+IF('2-man'!BY$38=$Q$38,25,0))</f>
        <v/>
      </c>
      <c r="BZ32">
        <f>MIN(100,BY33+IF(AND(BY33&lt;100,BY34+1&gt;=IF(OR('2-man'!$F$27=TRUE,'2-man'!$F$27="TRUE",'2-man'!$F$27="Yes"),25,50)),10,0)+IF('2-man'!BZ$38=$Q$38,25,0))</f>
        <v/>
      </c>
      <c r="CA32">
        <f>MIN(100,BZ33+IF(AND(BZ33&lt;100,BZ34+1&gt;=IF(OR('2-man'!$F$27=TRUE,'2-man'!$F$27="TRUE",'2-man'!$F$27="Yes"),25,50)),10,0)+IF('2-man'!CA$38=$Q$38,25,0))</f>
        <v/>
      </c>
      <c r="CB32">
        <f>MIN(100,CA33+IF(AND(CA33&lt;100,CA34+1&gt;=IF(OR('2-man'!$F$27=TRUE,'2-man'!$F$27="TRUE",'2-man'!$F$27="Yes"),25,50)),10,0)+IF('2-man'!CB$38=$Q$38,25,0))</f>
        <v/>
      </c>
      <c r="CC32">
        <f>MIN(100,CB33+IF(AND(CB33&lt;100,CB34+1&gt;=IF(OR('2-man'!$F$27=TRUE,'2-man'!$F$27="TRUE",'2-man'!$F$27="Yes"),25,50)),10,0)+IF('2-man'!CC$38=$Q$38,25,0))</f>
        <v/>
      </c>
      <c r="CD32">
        <f>MIN(100,CC33+IF(AND(CC33&lt;100,CC34+1&gt;=IF(OR('2-man'!$F$27=TRUE,'2-man'!$F$27="TRUE",'2-man'!$F$27="Yes"),25,50)),10,0)+IF('2-man'!CD$38=$Q$38,25,0))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2-man'!C$39="R",MIN(100,C32+10),IF('2-man'!C$39="P",MIN(100,C32+25),IF(AND('2-man'!C$39="D",C32&gt;=35,'2-man'!C$38&lt;=IF('2-man'!$BF$27="",999,'2-man'!$BF$27)),C32-35,IF(AND(LEFT('2-man'!C$39,3)="ST&gt;",C32&gt;=100,'2-man'!C$38&lt;=IF('2-man'!$BF$27="",999,'2-man'!$BF$27)),0,IF(AND(OR(AND('2-man'!C$40="ST&gt;1",C40&gt;=100)),'2-man'!C$38&lt;=IF('2-man'!$BF$27="",999,'2-man'!$BF$27)),100,C32)))))</f>
        <v/>
      </c>
      <c r="D33">
        <f>IF('2-man'!D$39="R",MIN(100,D32+10),IF('2-man'!D$39="P",MIN(100,D32+25),IF(AND('2-man'!D$39="D",D32&gt;=35,'2-man'!D$38&lt;=IF('2-man'!$BF$27="",999,'2-man'!$BF$27)),D32-35,IF(AND(LEFT('2-man'!D$39,3)="ST&gt;",D32&gt;=100,'2-man'!D$38&lt;=IF('2-man'!$BF$27="",999,'2-man'!$BF$27)),0,IF(AND(OR(AND('2-man'!D$40="ST&gt;1",D40&gt;=100)),'2-man'!D$38&lt;=IF('2-man'!$BF$27="",999,'2-man'!$BF$27)),100,D32)))))</f>
        <v/>
      </c>
      <c r="E33">
        <f>IF('2-man'!E$39="R",MIN(100,E32+10),IF('2-man'!E$39="P",MIN(100,E32+25),IF(AND('2-man'!E$39="D",E32&gt;=35,'2-man'!E$38&lt;=IF('2-man'!$BF$27="",999,'2-man'!$BF$27)),E32-35,IF(AND(LEFT('2-man'!E$39,3)="ST&gt;",E32&gt;=100,'2-man'!E$38&lt;=IF('2-man'!$BF$27="",999,'2-man'!$BF$27)),0,IF(AND(OR(AND('2-man'!E$40="ST&gt;1",E40&gt;=100)),'2-man'!E$38&lt;=IF('2-man'!$BF$27="",999,'2-man'!$BF$27)),100,E32)))))</f>
        <v/>
      </c>
      <c r="F33">
        <f>IF('2-man'!F$39="R",MIN(100,F32+10),IF('2-man'!F$39="P",MIN(100,F32+25),IF(AND('2-man'!F$39="D",F32&gt;=35,'2-man'!F$38&lt;=IF('2-man'!$BF$27="",999,'2-man'!$BF$27)),F32-35,IF(AND(LEFT('2-man'!F$39,3)="ST&gt;",F32&gt;=100,'2-man'!F$38&lt;=IF('2-man'!$BF$27="",999,'2-man'!$BF$27)),0,IF(AND(OR(AND('2-man'!F$40="ST&gt;1",F40&gt;=100)),'2-man'!F$38&lt;=IF('2-man'!$BF$27="",999,'2-man'!$BF$27)),100,F32)))))</f>
        <v/>
      </c>
      <c r="G33">
        <f>IF('2-man'!G$39="R",MIN(100,G32+10),IF('2-man'!G$39="P",MIN(100,G32+25),IF(AND('2-man'!G$39="D",G32&gt;=35,'2-man'!G$38&lt;=IF('2-man'!$BF$27="",999,'2-man'!$BF$27)),G32-35,IF(AND(LEFT('2-man'!G$39,3)="ST&gt;",G32&gt;=100,'2-man'!G$38&lt;=IF('2-man'!$BF$27="",999,'2-man'!$BF$27)),0,IF(AND(OR(AND('2-man'!G$40="ST&gt;1",G40&gt;=100)),'2-man'!G$38&lt;=IF('2-man'!$BF$27="",999,'2-man'!$BF$27)),100,G32)))))</f>
        <v/>
      </c>
      <c r="H33">
        <f>IF('2-man'!H$39="R",MIN(100,H32+10),IF('2-man'!H$39="P",MIN(100,H32+25),IF(AND('2-man'!H$39="D",H32&gt;=35,'2-man'!H$38&lt;=IF('2-man'!$BF$27="",999,'2-man'!$BF$27)),H32-35,IF(AND(LEFT('2-man'!H$39,3)="ST&gt;",H32&gt;=100,'2-man'!H$38&lt;=IF('2-man'!$BF$27="",999,'2-man'!$BF$27)),0,IF(AND(OR(AND('2-man'!H$40="ST&gt;1",H40&gt;=100)),'2-man'!H$38&lt;=IF('2-man'!$BF$27="",999,'2-man'!$BF$27)),100,H32)))))</f>
        <v/>
      </c>
      <c r="I33">
        <f>IF('2-man'!I$39="R",MIN(100,I32+10),IF('2-man'!I$39="P",MIN(100,I32+25),IF(AND('2-man'!I$39="D",I32&gt;=35,'2-man'!I$38&lt;=IF('2-man'!$BF$27="",999,'2-man'!$BF$27)),I32-35,IF(AND(LEFT('2-man'!I$39,3)="ST&gt;",I32&gt;=100,'2-man'!I$38&lt;=IF('2-man'!$BF$27="",999,'2-man'!$BF$27)),0,IF(AND(OR(AND('2-man'!I$40="ST&gt;1",I40&gt;=100)),'2-man'!I$38&lt;=IF('2-man'!$BF$27="",999,'2-man'!$BF$27)),100,I32)))))</f>
        <v/>
      </c>
      <c r="J33">
        <f>IF('2-man'!J$39="R",MIN(100,J32+10),IF('2-man'!J$39="P",MIN(100,J32+25),IF(AND('2-man'!J$39="D",J32&gt;=35,'2-man'!J$38&lt;=IF('2-man'!$BF$27="",999,'2-man'!$BF$27)),J32-35,IF(AND(LEFT('2-man'!J$39,3)="ST&gt;",J32&gt;=100,'2-man'!J$38&lt;=IF('2-man'!$BF$27="",999,'2-man'!$BF$27)),0,IF(AND(OR(AND('2-man'!J$40="ST&gt;1",J40&gt;=100)),'2-man'!J$38&lt;=IF('2-man'!$BF$27="",999,'2-man'!$BF$27)),100,J32)))))</f>
        <v/>
      </c>
      <c r="K33">
        <f>IF('2-man'!K$39="R",MIN(100,K32+10),IF('2-man'!K$39="P",MIN(100,K32+25),IF(AND('2-man'!K$39="D",K32&gt;=35,'2-man'!K$38&lt;=IF('2-man'!$BF$27="",999,'2-man'!$BF$27)),K32-35,IF(AND(LEFT('2-man'!K$39,3)="ST&gt;",K32&gt;=100,'2-man'!K$38&lt;=IF('2-man'!$BF$27="",999,'2-man'!$BF$27)),0,IF(AND(OR(AND('2-man'!K$40="ST&gt;1",K40&gt;=100)),'2-man'!K$38&lt;=IF('2-man'!$BF$27="",999,'2-man'!$BF$27)),100,K32)))))</f>
        <v/>
      </c>
      <c r="L33">
        <f>IF('2-man'!L$39="R",MIN(100,L32+10),IF('2-man'!L$39="P",MIN(100,L32+25),IF(AND('2-man'!L$39="D",L32&gt;=35,'2-man'!L$38&lt;=IF('2-man'!$BF$27="",999,'2-man'!$BF$27)),L32-35,IF(AND(LEFT('2-man'!L$39,3)="ST&gt;",L32&gt;=100,'2-man'!L$38&lt;=IF('2-man'!$BF$27="",999,'2-man'!$BF$27)),0,IF(AND(OR(AND('2-man'!L$40="ST&gt;1",L40&gt;=100)),'2-man'!L$38&lt;=IF('2-man'!$BF$27="",999,'2-man'!$BF$27)),100,L32)))))</f>
        <v/>
      </c>
      <c r="M33">
        <f>IF('2-man'!M$39="R",MIN(100,M32+10),IF('2-man'!M$39="P",MIN(100,M32+25),IF(AND('2-man'!M$39="D",M32&gt;=35,'2-man'!M$38&lt;=IF('2-man'!$BF$27="",999,'2-man'!$BF$27)),M32-35,IF(AND(LEFT('2-man'!M$39,3)="ST&gt;",M32&gt;=100,'2-man'!M$38&lt;=IF('2-man'!$BF$27="",999,'2-man'!$BF$27)),0,IF(AND(OR(AND('2-man'!M$40="ST&gt;1",M40&gt;=100)),'2-man'!M$38&lt;=IF('2-man'!$BF$27="",999,'2-man'!$BF$27)),100,M32)))))</f>
        <v/>
      </c>
      <c r="N33">
        <f>IF('2-man'!N$39="R",MIN(100,N32+10),IF('2-man'!N$39="P",MIN(100,N32+25),IF(AND('2-man'!N$39="D",N32&gt;=35,'2-man'!N$38&lt;=IF('2-man'!$BF$27="",999,'2-man'!$BF$27)),N32-35,IF(AND(LEFT('2-man'!N$39,3)="ST&gt;",N32&gt;=100,'2-man'!N$38&lt;=IF('2-man'!$BF$27="",999,'2-man'!$BF$27)),0,IF(AND(OR(AND('2-man'!N$40="ST&gt;1",N40&gt;=100)),'2-man'!N$38&lt;=IF('2-man'!$BF$27="",999,'2-man'!$BF$27)),100,N32)))))</f>
        <v/>
      </c>
      <c r="O33">
        <f>IF('2-man'!O$39="R",MIN(100,O32+10),IF('2-man'!O$39="P",MIN(100,O32+25),IF(AND('2-man'!O$39="D",O32&gt;=35,'2-man'!O$38&lt;=IF('2-man'!$BF$27="",999,'2-man'!$BF$27)),O32-35,IF(AND(LEFT('2-man'!O$39,3)="ST&gt;",O32&gt;=100,'2-man'!O$38&lt;=IF('2-man'!$BF$27="",999,'2-man'!$BF$27)),0,IF(AND(OR(AND('2-man'!O$40="ST&gt;1",O40&gt;=100)),'2-man'!O$38&lt;=IF('2-man'!$BF$27="",999,'2-man'!$BF$27)),100,O32)))))</f>
        <v/>
      </c>
      <c r="P33">
        <f>IF('2-man'!P$39="R",MIN(100,P32+10),IF('2-man'!P$39="P",MIN(100,P32+25),IF(AND('2-man'!P$39="D",P32&gt;=35,'2-man'!P$38&lt;=IF('2-man'!$BF$27="",999,'2-man'!$BF$27)),P32-35,IF(AND(LEFT('2-man'!P$39,3)="ST&gt;",P32&gt;=100,'2-man'!P$38&lt;=IF('2-man'!$BF$27="",999,'2-man'!$BF$27)),0,IF(AND(OR(AND('2-man'!P$40="ST&gt;1",P40&gt;=100)),'2-man'!P$38&lt;=IF('2-man'!$BF$27="",999,'2-man'!$BF$27)),100,P32)))))</f>
        <v/>
      </c>
      <c r="Q33">
        <f>IF('2-man'!Q$39="R",MIN(100,Q32+10),IF('2-man'!Q$39="P",MIN(100,Q32+25),IF(AND('2-man'!Q$39="D",Q32&gt;=35,'2-man'!Q$38&lt;=IF('2-man'!$BF$27="",999,'2-man'!$BF$27)),Q32-35,IF(AND(LEFT('2-man'!Q$39,3)="ST&gt;",Q32&gt;=100,'2-man'!Q$38&lt;=IF('2-man'!$BF$27="",999,'2-man'!$BF$27)),0,IF(AND(OR(AND('2-man'!Q$40="ST&gt;1",Q40&gt;=100)),'2-man'!Q$38&lt;=IF('2-man'!$BF$27="",999,'2-man'!$BF$27)),100,Q32)))))</f>
        <v/>
      </c>
      <c r="R33">
        <f>IF('2-man'!R$39="R",MIN(100,R32+10),IF('2-man'!R$39="P",MIN(100,R32+25),IF(AND('2-man'!R$39="D",R32&gt;=35,'2-man'!R$38&lt;=IF('2-man'!$BF$27="",999,'2-man'!$BF$27)),R32-35,IF(AND(LEFT('2-man'!R$39,3)="ST&gt;",R32&gt;=100,'2-man'!R$38&lt;=IF('2-man'!$BF$27="",999,'2-man'!$BF$27)),0,IF(AND(OR(AND('2-man'!R$40="ST&gt;1",R40&gt;=100)),'2-man'!R$38&lt;=IF('2-man'!$BF$27="",999,'2-man'!$BF$27)),100,R32)))))</f>
        <v/>
      </c>
      <c r="S33">
        <f>IF('2-man'!S$39="R",MIN(100,S32+10),IF('2-man'!S$39="P",MIN(100,S32+25),IF(AND('2-man'!S$39="D",S32&gt;=35,'2-man'!S$38&lt;=IF('2-man'!$BF$27="",999,'2-man'!$BF$27)),S32-35,IF(AND(LEFT('2-man'!S$39,3)="ST&gt;",S32&gt;=100,'2-man'!S$38&lt;=IF('2-man'!$BF$27="",999,'2-man'!$BF$27)),0,IF(AND(OR(AND('2-man'!S$40="ST&gt;1",S40&gt;=100)),'2-man'!S$38&lt;=IF('2-man'!$BF$27="",999,'2-man'!$BF$27)),100,S32)))))</f>
        <v/>
      </c>
      <c r="T33">
        <f>IF('2-man'!T$39="R",MIN(100,T32+10),IF('2-man'!T$39="P",MIN(100,T32+25),IF(AND('2-man'!T$39="D",T32&gt;=35,'2-man'!T$38&lt;=IF('2-man'!$BF$27="",999,'2-man'!$BF$27)),T32-35,IF(AND(LEFT('2-man'!T$39,3)="ST&gt;",T32&gt;=100,'2-man'!T$38&lt;=IF('2-man'!$BF$27="",999,'2-man'!$BF$27)),0,IF(AND(OR(AND('2-man'!T$40="ST&gt;1",T40&gt;=100)),'2-man'!T$38&lt;=IF('2-man'!$BF$27="",999,'2-man'!$BF$27)),100,T32)))))</f>
        <v/>
      </c>
      <c r="U33">
        <f>IF('2-man'!U$39="R",MIN(100,U32+10),IF('2-man'!U$39="P",MIN(100,U32+25),IF(AND('2-man'!U$39="D",U32&gt;=35,'2-man'!U$38&lt;=IF('2-man'!$BF$27="",999,'2-man'!$BF$27)),U32-35,IF(AND(LEFT('2-man'!U$39,3)="ST&gt;",U32&gt;=100,'2-man'!U$38&lt;=IF('2-man'!$BF$27="",999,'2-man'!$BF$27)),0,IF(AND(OR(AND('2-man'!U$40="ST&gt;1",U40&gt;=100)),'2-man'!U$38&lt;=IF('2-man'!$BF$27="",999,'2-man'!$BF$27)),100,U32)))))</f>
        <v/>
      </c>
      <c r="V33">
        <f>IF('2-man'!V$39="R",MIN(100,V32+10),IF('2-man'!V$39="P",MIN(100,V32+25),IF(AND('2-man'!V$39="D",V32&gt;=35,'2-man'!V$38&lt;=IF('2-man'!$BF$27="",999,'2-man'!$BF$27)),V32-35,IF(AND(LEFT('2-man'!V$39,3)="ST&gt;",V32&gt;=100,'2-man'!V$38&lt;=IF('2-man'!$BF$27="",999,'2-man'!$BF$27)),0,IF(AND(OR(AND('2-man'!V$40="ST&gt;1",V40&gt;=100)),'2-man'!V$38&lt;=IF('2-man'!$BF$27="",999,'2-man'!$BF$27)),100,V32)))))</f>
        <v/>
      </c>
      <c r="W33">
        <f>IF('2-man'!W$39="R",MIN(100,W32+10),IF('2-man'!W$39="P",MIN(100,W32+25),IF(AND('2-man'!W$39="D",W32&gt;=35,'2-man'!W$38&lt;=IF('2-man'!$BF$27="",999,'2-man'!$BF$27)),W32-35,IF(AND(LEFT('2-man'!W$39,3)="ST&gt;",W32&gt;=100,'2-man'!W$38&lt;=IF('2-man'!$BF$27="",999,'2-man'!$BF$27)),0,IF(AND(OR(AND('2-man'!W$40="ST&gt;1",W40&gt;=100)),'2-man'!W$38&lt;=IF('2-man'!$BF$27="",999,'2-man'!$BF$27)),100,W32)))))</f>
        <v/>
      </c>
      <c r="X33">
        <f>IF('2-man'!X$39="R",MIN(100,X32+10),IF('2-man'!X$39="P",MIN(100,X32+25),IF(AND('2-man'!X$39="D",X32&gt;=35,'2-man'!X$38&lt;=IF('2-man'!$BF$27="",999,'2-man'!$BF$27)),X32-35,IF(AND(LEFT('2-man'!X$39,3)="ST&gt;",X32&gt;=100,'2-man'!X$38&lt;=IF('2-man'!$BF$27="",999,'2-man'!$BF$27)),0,IF(AND(OR(AND('2-man'!X$40="ST&gt;1",X40&gt;=100)),'2-man'!X$38&lt;=IF('2-man'!$BF$27="",999,'2-man'!$BF$27)),100,X32)))))</f>
        <v/>
      </c>
      <c r="Y33">
        <f>IF('2-man'!Y$39="R",MIN(100,Y32+10),IF('2-man'!Y$39="P",MIN(100,Y32+25),IF(AND('2-man'!Y$39="D",Y32&gt;=35,'2-man'!Y$38&lt;=IF('2-man'!$BF$27="",999,'2-man'!$BF$27)),Y32-35,IF(AND(LEFT('2-man'!Y$39,3)="ST&gt;",Y32&gt;=100,'2-man'!Y$38&lt;=IF('2-man'!$BF$27="",999,'2-man'!$BF$27)),0,IF(AND(OR(AND('2-man'!Y$40="ST&gt;1",Y40&gt;=100)),'2-man'!Y$38&lt;=IF('2-man'!$BF$27="",999,'2-man'!$BF$27)),100,Y32)))))</f>
        <v/>
      </c>
      <c r="Z33">
        <f>IF('2-man'!Z$39="R",MIN(100,Z32+10),IF('2-man'!Z$39="P",MIN(100,Z32+25),IF(AND('2-man'!Z$39="D",Z32&gt;=35,'2-man'!Z$38&lt;=IF('2-man'!$BF$27="",999,'2-man'!$BF$27)),Z32-35,IF(AND(LEFT('2-man'!Z$39,3)="ST&gt;",Z32&gt;=100,'2-man'!Z$38&lt;=IF('2-man'!$BF$27="",999,'2-man'!$BF$27)),0,IF(AND(OR(AND('2-man'!Z$40="ST&gt;1",Z40&gt;=100)),'2-man'!Z$38&lt;=IF('2-man'!$BF$27="",999,'2-man'!$BF$27)),100,Z32)))))</f>
        <v/>
      </c>
      <c r="AA33">
        <f>IF('2-man'!AA$39="R",MIN(100,AA32+10),IF('2-man'!AA$39="P",MIN(100,AA32+25),IF(AND('2-man'!AA$39="D",AA32&gt;=35,'2-man'!AA$38&lt;=IF('2-man'!$BF$27="",999,'2-man'!$BF$27)),AA32-35,IF(AND(LEFT('2-man'!AA$39,3)="ST&gt;",AA32&gt;=100,'2-man'!AA$38&lt;=IF('2-man'!$BF$27="",999,'2-man'!$BF$27)),0,IF(AND(OR(AND('2-man'!AA$40="ST&gt;1",AA40&gt;=100)),'2-man'!AA$38&lt;=IF('2-man'!$BF$27="",999,'2-man'!$BF$27)),100,AA32)))))</f>
        <v/>
      </c>
      <c r="AB33">
        <f>IF('2-man'!AB$39="R",MIN(100,AB32+10),IF('2-man'!AB$39="P",MIN(100,AB32+25),IF(AND('2-man'!AB$39="D",AB32&gt;=35,'2-man'!AB$38&lt;=IF('2-man'!$BF$27="",999,'2-man'!$BF$27)),AB32-35,IF(AND(LEFT('2-man'!AB$39,3)="ST&gt;",AB32&gt;=100,'2-man'!AB$38&lt;=IF('2-man'!$BF$27="",999,'2-man'!$BF$27)),0,IF(AND(OR(AND('2-man'!AB$40="ST&gt;1",AB40&gt;=100)),'2-man'!AB$38&lt;=IF('2-man'!$BF$27="",999,'2-man'!$BF$27)),100,AB32)))))</f>
        <v/>
      </c>
      <c r="AC33">
        <f>IF('2-man'!AC$39="R",MIN(100,AC32+10),IF('2-man'!AC$39="P",MIN(100,AC32+25),IF(AND('2-man'!AC$39="D",AC32&gt;=35,'2-man'!AC$38&lt;=IF('2-man'!$BF$27="",999,'2-man'!$BF$27)),AC32-35,IF(AND(LEFT('2-man'!AC$39,3)="ST&gt;",AC32&gt;=100,'2-man'!AC$38&lt;=IF('2-man'!$BF$27="",999,'2-man'!$BF$27)),0,IF(AND(OR(AND('2-man'!AC$40="ST&gt;1",AC40&gt;=100)),'2-man'!AC$38&lt;=IF('2-man'!$BF$27="",999,'2-man'!$BF$27)),100,AC32)))))</f>
        <v/>
      </c>
      <c r="AD33">
        <f>IF('2-man'!AD$39="R",MIN(100,AD32+10),IF('2-man'!AD$39="P",MIN(100,AD32+25),IF(AND('2-man'!AD$39="D",AD32&gt;=35,'2-man'!AD$38&lt;=IF('2-man'!$BF$27="",999,'2-man'!$BF$27)),AD32-35,IF(AND(LEFT('2-man'!AD$39,3)="ST&gt;",AD32&gt;=100,'2-man'!AD$38&lt;=IF('2-man'!$BF$27="",999,'2-man'!$BF$27)),0,IF(AND(OR(AND('2-man'!AD$40="ST&gt;1",AD40&gt;=100)),'2-man'!AD$38&lt;=IF('2-man'!$BF$27="",999,'2-man'!$BF$27)),100,AD32)))))</f>
        <v/>
      </c>
      <c r="AE33">
        <f>IF('2-man'!AE$39="R",MIN(100,AE32+10),IF('2-man'!AE$39="P",MIN(100,AE32+25),IF(AND('2-man'!AE$39="D",AE32&gt;=35,'2-man'!AE$38&lt;=IF('2-man'!$BF$27="",999,'2-man'!$BF$27)),AE32-35,IF(AND(LEFT('2-man'!AE$39,3)="ST&gt;",AE32&gt;=100,'2-man'!AE$38&lt;=IF('2-man'!$BF$27="",999,'2-man'!$BF$27)),0,IF(AND(OR(AND('2-man'!AE$40="ST&gt;1",AE40&gt;=100)),'2-man'!AE$38&lt;=IF('2-man'!$BF$27="",999,'2-man'!$BF$27)),100,AE32)))))</f>
        <v/>
      </c>
      <c r="AF33">
        <f>IF('2-man'!AF$39="R",MIN(100,AF32+10),IF('2-man'!AF$39="P",MIN(100,AF32+25),IF(AND('2-man'!AF$39="D",AF32&gt;=35,'2-man'!AF$38&lt;=IF('2-man'!$BF$27="",999,'2-man'!$BF$27)),AF32-35,IF(AND(LEFT('2-man'!AF$39,3)="ST&gt;",AF32&gt;=100,'2-man'!AF$38&lt;=IF('2-man'!$BF$27="",999,'2-man'!$BF$27)),0,IF(AND(OR(AND('2-man'!AF$40="ST&gt;1",AF40&gt;=100)),'2-man'!AF$38&lt;=IF('2-man'!$BF$27="",999,'2-man'!$BF$27)),100,AF32)))))</f>
        <v/>
      </c>
      <c r="AG33">
        <f>IF('2-man'!AG$39="R",MIN(100,AG32+10),IF('2-man'!AG$39="P",MIN(100,AG32+25),IF(AND('2-man'!AG$39="D",AG32&gt;=35,'2-man'!AG$38&lt;=IF('2-man'!$BF$27="",999,'2-man'!$BF$27)),AG32-35,IF(AND(LEFT('2-man'!AG$39,3)="ST&gt;",AG32&gt;=100,'2-man'!AG$38&lt;=IF('2-man'!$BF$27="",999,'2-man'!$BF$27)),0,IF(AND(OR(AND('2-man'!AG$40="ST&gt;1",AG40&gt;=100)),'2-man'!AG$38&lt;=IF('2-man'!$BF$27="",999,'2-man'!$BF$27)),100,AG32)))))</f>
        <v/>
      </c>
      <c r="AH33">
        <f>IF('2-man'!AH$39="R",MIN(100,AH32+10),IF('2-man'!AH$39="P",MIN(100,AH32+25),IF(AND('2-man'!AH$39="D",AH32&gt;=35,'2-man'!AH$38&lt;=IF('2-man'!$BF$27="",999,'2-man'!$BF$27)),AH32-35,IF(AND(LEFT('2-man'!AH$39,3)="ST&gt;",AH32&gt;=100,'2-man'!AH$38&lt;=IF('2-man'!$BF$27="",999,'2-man'!$BF$27)),0,IF(AND(OR(AND('2-man'!AH$40="ST&gt;1",AH40&gt;=100)),'2-man'!AH$38&lt;=IF('2-man'!$BF$27="",999,'2-man'!$BF$27)),100,AH32)))))</f>
        <v/>
      </c>
      <c r="AI33">
        <f>IF('2-man'!AI$39="R",MIN(100,AI32+10),IF('2-man'!AI$39="P",MIN(100,AI32+25),IF(AND('2-man'!AI$39="D",AI32&gt;=35,'2-man'!AI$38&lt;=IF('2-man'!$BF$27="",999,'2-man'!$BF$27)),AI32-35,IF(AND(LEFT('2-man'!AI$39,3)="ST&gt;",AI32&gt;=100,'2-man'!AI$38&lt;=IF('2-man'!$BF$27="",999,'2-man'!$BF$27)),0,IF(AND(OR(AND('2-man'!AI$40="ST&gt;1",AI40&gt;=100)),'2-man'!AI$38&lt;=IF('2-man'!$BF$27="",999,'2-man'!$BF$27)),100,AI32)))))</f>
        <v/>
      </c>
      <c r="AJ33">
        <f>IF('2-man'!AJ$39="R",MIN(100,AJ32+10),IF('2-man'!AJ$39="P",MIN(100,AJ32+25),IF(AND('2-man'!AJ$39="D",AJ32&gt;=35,'2-man'!AJ$38&lt;=IF('2-man'!$BF$27="",999,'2-man'!$BF$27)),AJ32-35,IF(AND(LEFT('2-man'!AJ$39,3)="ST&gt;",AJ32&gt;=100,'2-man'!AJ$38&lt;=IF('2-man'!$BF$27="",999,'2-man'!$BF$27)),0,IF(AND(OR(AND('2-man'!AJ$40="ST&gt;1",AJ40&gt;=100)),'2-man'!AJ$38&lt;=IF('2-man'!$BF$27="",999,'2-man'!$BF$27)),100,AJ32)))))</f>
        <v/>
      </c>
      <c r="AK33">
        <f>IF('2-man'!AK$39="R",MIN(100,AK32+10),IF('2-man'!AK$39="P",MIN(100,AK32+25),IF(AND('2-man'!AK$39="D",AK32&gt;=35,'2-man'!AK$38&lt;=IF('2-man'!$BF$27="",999,'2-man'!$BF$27)),AK32-35,IF(AND(LEFT('2-man'!AK$39,3)="ST&gt;",AK32&gt;=100,'2-man'!AK$38&lt;=IF('2-man'!$BF$27="",999,'2-man'!$BF$27)),0,IF(AND(OR(AND('2-man'!AK$40="ST&gt;1",AK40&gt;=100)),'2-man'!AK$38&lt;=IF('2-man'!$BF$27="",999,'2-man'!$BF$27)),100,AK32)))))</f>
        <v/>
      </c>
      <c r="AL33">
        <f>IF('2-man'!AL$39="R",MIN(100,AL32+10),IF('2-man'!AL$39="P",MIN(100,AL32+25),IF(AND('2-man'!AL$39="D",AL32&gt;=35,'2-man'!AL$38&lt;=IF('2-man'!$BF$27="",999,'2-man'!$BF$27)),AL32-35,IF(AND(LEFT('2-man'!AL$39,3)="ST&gt;",AL32&gt;=100,'2-man'!AL$38&lt;=IF('2-man'!$BF$27="",999,'2-man'!$BF$27)),0,IF(AND(OR(AND('2-man'!AL$40="ST&gt;1",AL40&gt;=100)),'2-man'!AL$38&lt;=IF('2-man'!$BF$27="",999,'2-man'!$BF$27)),100,AL32)))))</f>
        <v/>
      </c>
      <c r="AM33">
        <f>IF('2-man'!AM$39="R",MIN(100,AM32+10),IF('2-man'!AM$39="P",MIN(100,AM32+25),IF(AND('2-man'!AM$39="D",AM32&gt;=35,'2-man'!AM$38&lt;=IF('2-man'!$BF$27="",999,'2-man'!$BF$27)),AM32-35,IF(AND(LEFT('2-man'!AM$39,3)="ST&gt;",AM32&gt;=100,'2-man'!AM$38&lt;=IF('2-man'!$BF$27="",999,'2-man'!$BF$27)),0,IF(AND(OR(AND('2-man'!AM$40="ST&gt;1",AM40&gt;=100)),'2-man'!AM$38&lt;=IF('2-man'!$BF$27="",999,'2-man'!$BF$27)),100,AM32)))))</f>
        <v/>
      </c>
      <c r="AN33">
        <f>IF('2-man'!AN$39="R",MIN(100,AN32+10),IF('2-man'!AN$39="P",MIN(100,AN32+25),IF(AND('2-man'!AN$39="D",AN32&gt;=35,'2-man'!AN$38&lt;=IF('2-man'!$BF$27="",999,'2-man'!$BF$27)),AN32-35,IF(AND(LEFT('2-man'!AN$39,3)="ST&gt;",AN32&gt;=100,'2-man'!AN$38&lt;=IF('2-man'!$BF$27="",999,'2-man'!$BF$27)),0,IF(AND(OR(AND('2-man'!AN$40="ST&gt;1",AN40&gt;=100)),'2-man'!AN$38&lt;=IF('2-man'!$BF$27="",999,'2-man'!$BF$27)),100,AN32)))))</f>
        <v/>
      </c>
      <c r="AO33">
        <f>IF('2-man'!AO$39="R",MIN(100,AO32+10),IF('2-man'!AO$39="P",MIN(100,AO32+25),IF(AND('2-man'!AO$39="D",AO32&gt;=35,'2-man'!AO$38&lt;=IF('2-man'!$BF$27="",999,'2-man'!$BF$27)),AO32-35,IF(AND(LEFT('2-man'!AO$39,3)="ST&gt;",AO32&gt;=100,'2-man'!AO$38&lt;=IF('2-man'!$BF$27="",999,'2-man'!$BF$27)),0,IF(AND(OR(AND('2-man'!AO$40="ST&gt;1",AO40&gt;=100)),'2-man'!AO$38&lt;=IF('2-man'!$BF$27="",999,'2-man'!$BF$27)),100,AO32)))))</f>
        <v/>
      </c>
      <c r="AP33">
        <f>IF('2-man'!AP$39="R",MIN(100,AP32+10),IF('2-man'!AP$39="P",MIN(100,AP32+25),IF(AND('2-man'!AP$39="D",AP32&gt;=35,'2-man'!AP$38&lt;=IF('2-man'!$BF$27="",999,'2-man'!$BF$27)),AP32-35,IF(AND(LEFT('2-man'!AP$39,3)="ST&gt;",AP32&gt;=100,'2-man'!AP$38&lt;=IF('2-man'!$BF$27="",999,'2-man'!$BF$27)),0,IF(AND(OR(AND('2-man'!AP$40="ST&gt;1",AP40&gt;=100)),'2-man'!AP$38&lt;=IF('2-man'!$BF$27="",999,'2-man'!$BF$27)),100,AP32)))))</f>
        <v/>
      </c>
      <c r="AQ33">
        <f>IF('2-man'!AQ$39="R",MIN(100,AQ32+10),IF('2-man'!AQ$39="P",MIN(100,AQ32+25),IF(AND('2-man'!AQ$39="D",AQ32&gt;=35,'2-man'!AQ$38&lt;=IF('2-man'!$BF$27="",999,'2-man'!$BF$27)),AQ32-35,IF(AND(LEFT('2-man'!AQ$39,3)="ST&gt;",AQ32&gt;=100,'2-man'!AQ$38&lt;=IF('2-man'!$BF$27="",999,'2-man'!$BF$27)),0,IF(AND(OR(AND('2-man'!AQ$40="ST&gt;1",AQ40&gt;=100)),'2-man'!AQ$38&lt;=IF('2-man'!$BF$27="",999,'2-man'!$BF$27)),100,AQ32)))))</f>
        <v/>
      </c>
      <c r="AR33">
        <f>IF('2-man'!AR$39="R",MIN(100,AR32+10),IF('2-man'!AR$39="P",MIN(100,AR32+25),IF(AND('2-man'!AR$39="D",AR32&gt;=35,'2-man'!AR$38&lt;=IF('2-man'!$BF$27="",999,'2-man'!$BF$27)),AR32-35,IF(AND(LEFT('2-man'!AR$39,3)="ST&gt;",AR32&gt;=100,'2-man'!AR$38&lt;=IF('2-man'!$BF$27="",999,'2-man'!$BF$27)),0,IF(AND(OR(AND('2-man'!AR$40="ST&gt;1",AR40&gt;=100)),'2-man'!AR$38&lt;=IF('2-man'!$BF$27="",999,'2-man'!$BF$27)),100,AR32)))))</f>
        <v/>
      </c>
      <c r="AS33">
        <f>IF('2-man'!AS$39="R",MIN(100,AS32+10),IF('2-man'!AS$39="P",MIN(100,AS32+25),IF(AND('2-man'!AS$39="D",AS32&gt;=35,'2-man'!AS$38&lt;=IF('2-man'!$BF$27="",999,'2-man'!$BF$27)),AS32-35,IF(AND(LEFT('2-man'!AS$39,3)="ST&gt;",AS32&gt;=100,'2-man'!AS$38&lt;=IF('2-man'!$BF$27="",999,'2-man'!$BF$27)),0,IF(AND(OR(AND('2-man'!AS$40="ST&gt;1",AS40&gt;=100)),'2-man'!AS$38&lt;=IF('2-man'!$BF$27="",999,'2-man'!$BF$27)),100,AS32)))))</f>
        <v/>
      </c>
      <c r="AT33">
        <f>IF('2-man'!AT$39="R",MIN(100,AT32+10),IF('2-man'!AT$39="P",MIN(100,AT32+25),IF(AND('2-man'!AT$39="D",AT32&gt;=35,'2-man'!AT$38&lt;=IF('2-man'!$BF$27="",999,'2-man'!$BF$27)),AT32-35,IF(AND(LEFT('2-man'!AT$39,3)="ST&gt;",AT32&gt;=100,'2-man'!AT$38&lt;=IF('2-man'!$BF$27="",999,'2-man'!$BF$27)),0,IF(AND(OR(AND('2-man'!AT$40="ST&gt;1",AT40&gt;=100)),'2-man'!AT$38&lt;=IF('2-man'!$BF$27="",999,'2-man'!$BF$27)),100,AT32)))))</f>
        <v/>
      </c>
      <c r="AU33">
        <f>IF('2-man'!AU$39="R",MIN(100,AU32+10),IF('2-man'!AU$39="P",MIN(100,AU32+25),IF(AND('2-man'!AU$39="D",AU32&gt;=35,'2-man'!AU$38&lt;=IF('2-man'!$BF$27="",999,'2-man'!$BF$27)),AU32-35,IF(AND(LEFT('2-man'!AU$39,3)="ST&gt;",AU32&gt;=100,'2-man'!AU$38&lt;=IF('2-man'!$BF$27="",999,'2-man'!$BF$27)),0,IF(AND(OR(AND('2-man'!AU$40="ST&gt;1",AU40&gt;=100)),'2-man'!AU$38&lt;=IF('2-man'!$BF$27="",999,'2-man'!$BF$27)),100,AU32)))))</f>
        <v/>
      </c>
      <c r="AV33">
        <f>IF('2-man'!AV$39="R",MIN(100,AV32+10),IF('2-man'!AV$39="P",MIN(100,AV32+25),IF(AND('2-man'!AV$39="D",AV32&gt;=35,'2-man'!AV$38&lt;=IF('2-man'!$BF$27="",999,'2-man'!$BF$27)),AV32-35,IF(AND(LEFT('2-man'!AV$39,3)="ST&gt;",AV32&gt;=100,'2-man'!AV$38&lt;=IF('2-man'!$BF$27="",999,'2-man'!$BF$27)),0,IF(AND(OR(AND('2-man'!AV$40="ST&gt;1",AV40&gt;=100)),'2-man'!AV$38&lt;=IF('2-man'!$BF$27="",999,'2-man'!$BF$27)),100,AV32)))))</f>
        <v/>
      </c>
      <c r="AW33">
        <f>IF('2-man'!AW$39="R",MIN(100,AW32+10),IF('2-man'!AW$39="P",MIN(100,AW32+25),IF(AND('2-man'!AW$39="D",AW32&gt;=35,'2-man'!AW$38&lt;=IF('2-man'!$BF$27="",999,'2-man'!$BF$27)),AW32-35,IF(AND(LEFT('2-man'!AW$39,3)="ST&gt;",AW32&gt;=100,'2-man'!AW$38&lt;=IF('2-man'!$BF$27="",999,'2-man'!$BF$27)),0,IF(AND(OR(AND('2-man'!AW$40="ST&gt;1",AW40&gt;=100)),'2-man'!AW$38&lt;=IF('2-man'!$BF$27="",999,'2-man'!$BF$27)),100,AW32)))))</f>
        <v/>
      </c>
      <c r="AX33">
        <f>IF('2-man'!AX$39="R",MIN(100,AX32+10),IF('2-man'!AX$39="P",MIN(100,AX32+25),IF(AND('2-man'!AX$39="D",AX32&gt;=35,'2-man'!AX$38&lt;=IF('2-man'!$BF$27="",999,'2-man'!$BF$27)),AX32-35,IF(AND(LEFT('2-man'!AX$39,3)="ST&gt;",AX32&gt;=100,'2-man'!AX$38&lt;=IF('2-man'!$BF$27="",999,'2-man'!$BF$27)),0,IF(AND(OR(AND('2-man'!AX$40="ST&gt;1",AX40&gt;=100)),'2-man'!AX$38&lt;=IF('2-man'!$BF$27="",999,'2-man'!$BF$27)),100,AX32)))))</f>
        <v/>
      </c>
      <c r="AY33">
        <f>IF('2-man'!AY$39="R",MIN(100,AY32+10),IF('2-man'!AY$39="P",MIN(100,AY32+25),IF(AND('2-man'!AY$39="D",AY32&gt;=35,'2-man'!AY$38&lt;=IF('2-man'!$BF$27="",999,'2-man'!$BF$27)),AY32-35,IF(AND(LEFT('2-man'!AY$39,3)="ST&gt;",AY32&gt;=100,'2-man'!AY$38&lt;=IF('2-man'!$BF$27="",999,'2-man'!$BF$27)),0,IF(AND(OR(AND('2-man'!AY$40="ST&gt;1",AY40&gt;=100)),'2-man'!AY$38&lt;=IF('2-man'!$BF$27="",999,'2-man'!$BF$27)),100,AY32)))))</f>
        <v/>
      </c>
      <c r="AZ33">
        <f>IF('2-man'!AZ$39="R",MIN(100,AZ32+10),IF('2-man'!AZ$39="P",MIN(100,AZ32+25),IF(AND('2-man'!AZ$39="D",AZ32&gt;=35,'2-man'!AZ$38&lt;=IF('2-man'!$BF$27="",999,'2-man'!$BF$27)),AZ32-35,IF(AND(LEFT('2-man'!AZ$39,3)="ST&gt;",AZ32&gt;=100,'2-man'!AZ$38&lt;=IF('2-man'!$BF$27="",999,'2-man'!$BF$27)),0,IF(AND(OR(AND('2-man'!AZ$40="ST&gt;1",AZ40&gt;=100)),'2-man'!AZ$38&lt;=IF('2-man'!$BF$27="",999,'2-man'!$BF$27)),100,AZ32)))))</f>
        <v/>
      </c>
      <c r="BA33">
        <f>IF('2-man'!BA$39="R",MIN(100,BA32+10),IF('2-man'!BA$39="P",MIN(100,BA32+25),IF(AND('2-man'!BA$39="D",BA32&gt;=35,'2-man'!BA$38&lt;=IF('2-man'!$BF$27="",999,'2-man'!$BF$27)),BA32-35,IF(AND(LEFT('2-man'!BA$39,3)="ST&gt;",BA32&gt;=100,'2-man'!BA$38&lt;=IF('2-man'!$BF$27="",999,'2-man'!$BF$27)),0,IF(AND(OR(AND('2-man'!BA$40="ST&gt;1",BA40&gt;=100)),'2-man'!BA$38&lt;=IF('2-man'!$BF$27="",999,'2-man'!$BF$27)),100,BA32)))))</f>
        <v/>
      </c>
      <c r="BB33">
        <f>IF('2-man'!BB$39="R",MIN(100,BB32+10),IF('2-man'!BB$39="P",MIN(100,BB32+25),IF(AND('2-man'!BB$39="D",BB32&gt;=35,'2-man'!BB$38&lt;=IF('2-man'!$BF$27="",999,'2-man'!$BF$27)),BB32-35,IF(AND(LEFT('2-man'!BB$39,3)="ST&gt;",BB32&gt;=100,'2-man'!BB$38&lt;=IF('2-man'!$BF$27="",999,'2-man'!$BF$27)),0,IF(AND(OR(AND('2-man'!BB$40="ST&gt;1",BB40&gt;=100)),'2-man'!BB$38&lt;=IF('2-man'!$BF$27="",999,'2-man'!$BF$27)),100,BB32)))))</f>
        <v/>
      </c>
      <c r="BC33">
        <f>IF('2-man'!BC$39="R",MIN(100,BC32+10),IF('2-man'!BC$39="P",MIN(100,BC32+25),IF(AND('2-man'!BC$39="D",BC32&gt;=35,'2-man'!BC$38&lt;=IF('2-man'!$BF$27="",999,'2-man'!$BF$27)),BC32-35,IF(AND(LEFT('2-man'!BC$39,3)="ST&gt;",BC32&gt;=100,'2-man'!BC$38&lt;=IF('2-man'!$BF$27="",999,'2-man'!$BF$27)),0,IF(AND(OR(AND('2-man'!BC$40="ST&gt;1",BC40&gt;=100)),'2-man'!BC$38&lt;=IF('2-man'!$BF$27="",999,'2-man'!$BF$27)),100,BC32)))))</f>
        <v/>
      </c>
      <c r="BD33">
        <f>IF('2-man'!BD$39="R",MIN(100,BD32+10),IF('2-man'!BD$39="P",MIN(100,BD32+25),IF(AND('2-man'!BD$39="D",BD32&gt;=35,'2-man'!BD$38&lt;=IF('2-man'!$BF$27="",999,'2-man'!$BF$27)),BD32-35,IF(AND(LEFT('2-man'!BD$39,3)="ST&gt;",BD32&gt;=100,'2-man'!BD$38&lt;=IF('2-man'!$BF$27="",999,'2-man'!$BF$27)),0,IF(AND(OR(AND('2-man'!BD$40="ST&gt;1",BD40&gt;=100)),'2-man'!BD$38&lt;=IF('2-man'!$BF$27="",999,'2-man'!$BF$27)),100,BD32)))))</f>
        <v/>
      </c>
      <c r="BE33">
        <f>IF('2-man'!BE$39="R",MIN(100,BE32+10),IF('2-man'!BE$39="P",MIN(100,BE32+25),IF(AND('2-man'!BE$39="D",BE32&gt;=35,'2-man'!BE$38&lt;=IF('2-man'!$BF$27="",999,'2-man'!$BF$27)),BE32-35,IF(AND(LEFT('2-man'!BE$39,3)="ST&gt;",BE32&gt;=100,'2-man'!BE$38&lt;=IF('2-man'!$BF$27="",999,'2-man'!$BF$27)),0,IF(AND(OR(AND('2-man'!BE$40="ST&gt;1",BE40&gt;=100)),'2-man'!BE$38&lt;=IF('2-man'!$BF$27="",999,'2-man'!$BF$27)),100,BE32)))))</f>
        <v/>
      </c>
      <c r="BF33">
        <f>IF('2-man'!BF$39="R",MIN(100,BF32+10),IF('2-man'!BF$39="P",MIN(100,BF32+25),IF(AND('2-man'!BF$39="D",BF32&gt;=35,'2-man'!BF$38&lt;=IF('2-man'!$BF$27="",999,'2-man'!$BF$27)),BF32-35,IF(AND(LEFT('2-man'!BF$39,3)="ST&gt;",BF32&gt;=100,'2-man'!BF$38&lt;=IF('2-man'!$BF$27="",999,'2-man'!$BF$27)),0,IF(AND(OR(AND('2-man'!BF$40="ST&gt;1",BF40&gt;=100)),'2-man'!BF$38&lt;=IF('2-man'!$BF$27="",999,'2-man'!$BF$27)),100,BF32)))))</f>
        <v/>
      </c>
      <c r="BG33">
        <f>IF('2-man'!BG$39="R",MIN(100,BG32+10),IF('2-man'!BG$39="P",MIN(100,BG32+25),IF(AND('2-man'!BG$39="D",BG32&gt;=35,'2-man'!BG$38&lt;=IF('2-man'!$BF$27="",999,'2-man'!$BF$27)),BG32-35,IF(AND(LEFT('2-man'!BG$39,3)="ST&gt;",BG32&gt;=100,'2-man'!BG$38&lt;=IF('2-man'!$BF$27="",999,'2-man'!$BF$27)),0,IF(AND(OR(AND('2-man'!BG$40="ST&gt;1",BG40&gt;=100)),'2-man'!BG$38&lt;=IF('2-man'!$BF$27="",999,'2-man'!$BF$27)),100,BG32)))))</f>
        <v/>
      </c>
      <c r="BH33">
        <f>IF('2-man'!BH$39="R",MIN(100,BH32+10),IF('2-man'!BH$39="P",MIN(100,BH32+25),IF(AND('2-man'!BH$39="D",BH32&gt;=35,'2-man'!BH$38&lt;=IF('2-man'!$BF$27="",999,'2-man'!$BF$27)),BH32-35,IF(AND(LEFT('2-man'!BH$39,3)="ST&gt;",BH32&gt;=100,'2-man'!BH$38&lt;=IF('2-man'!$BF$27="",999,'2-man'!$BF$27)),0,IF(AND(OR(AND('2-man'!BH$40="ST&gt;1",BH40&gt;=100)),'2-man'!BH$38&lt;=IF('2-man'!$BF$27="",999,'2-man'!$BF$27)),100,BH32)))))</f>
        <v/>
      </c>
      <c r="BI33">
        <f>IF('2-man'!BI$39="R",MIN(100,BI32+10),IF('2-man'!BI$39="P",MIN(100,BI32+25),IF(AND('2-man'!BI$39="D",BI32&gt;=35,'2-man'!BI$38&lt;=IF('2-man'!$BF$27="",999,'2-man'!$BF$27)),BI32-35,IF(AND(LEFT('2-man'!BI$39,3)="ST&gt;",BI32&gt;=100,'2-man'!BI$38&lt;=IF('2-man'!$BF$27="",999,'2-man'!$BF$27)),0,IF(AND(OR(AND('2-man'!BI$40="ST&gt;1",BI40&gt;=100)),'2-man'!BI$38&lt;=IF('2-man'!$BF$27="",999,'2-man'!$BF$27)),100,BI32)))))</f>
        <v/>
      </c>
      <c r="BJ33">
        <f>IF('2-man'!BJ$39="R",MIN(100,BJ32+10),IF('2-man'!BJ$39="P",MIN(100,BJ32+25),IF(AND('2-man'!BJ$39="D",BJ32&gt;=35,'2-man'!BJ$38&lt;=IF('2-man'!$BF$27="",999,'2-man'!$BF$27)),BJ32-35,IF(AND(LEFT('2-man'!BJ$39,3)="ST&gt;",BJ32&gt;=100,'2-man'!BJ$38&lt;=IF('2-man'!$BF$27="",999,'2-man'!$BF$27)),0,IF(AND(OR(AND('2-man'!BJ$40="ST&gt;1",BJ40&gt;=100)),'2-man'!BJ$38&lt;=IF('2-man'!$BF$27="",999,'2-man'!$BF$27)),100,BJ32)))))</f>
        <v/>
      </c>
      <c r="BK33">
        <f>IF('2-man'!BK$39="R",MIN(100,BK32+10),IF('2-man'!BK$39="P",MIN(100,BK32+25),IF(AND('2-man'!BK$39="D",BK32&gt;=35,'2-man'!BK$38&lt;=IF('2-man'!$BF$27="",999,'2-man'!$BF$27)),BK32-35,IF(AND(LEFT('2-man'!BK$39,3)="ST&gt;",BK32&gt;=100,'2-man'!BK$38&lt;=IF('2-man'!$BF$27="",999,'2-man'!$BF$27)),0,IF(AND(OR(AND('2-man'!BK$40="ST&gt;1",BK40&gt;=100)),'2-man'!BK$38&lt;=IF('2-man'!$BF$27="",999,'2-man'!$BF$27)),100,BK32)))))</f>
        <v/>
      </c>
      <c r="BL33">
        <f>IF('2-man'!BL$39="R",MIN(100,BL32+10),IF('2-man'!BL$39="P",MIN(100,BL32+25),IF(AND('2-man'!BL$39="D",BL32&gt;=35,'2-man'!BL$38&lt;=IF('2-man'!$BF$27="",999,'2-man'!$BF$27)),BL32-35,IF(AND(LEFT('2-man'!BL$39,3)="ST&gt;",BL32&gt;=100,'2-man'!BL$38&lt;=IF('2-man'!$BF$27="",999,'2-man'!$BF$27)),0,IF(AND(OR(AND('2-man'!BL$40="ST&gt;1",BL40&gt;=100)),'2-man'!BL$38&lt;=IF('2-man'!$BF$27="",999,'2-man'!$BF$27)),100,BL32)))))</f>
        <v/>
      </c>
      <c r="BM33">
        <f>IF('2-man'!BM$39="R",MIN(100,BM32+10),IF('2-man'!BM$39="P",MIN(100,BM32+25),IF(AND('2-man'!BM$39="D",BM32&gt;=35,'2-man'!BM$38&lt;=IF('2-man'!$BF$27="",999,'2-man'!$BF$27)),BM32-35,IF(AND(LEFT('2-man'!BM$39,3)="ST&gt;",BM32&gt;=100,'2-man'!BM$38&lt;=IF('2-man'!$BF$27="",999,'2-man'!$BF$27)),0,IF(AND(OR(AND('2-man'!BM$40="ST&gt;1",BM40&gt;=100)),'2-man'!BM$38&lt;=IF('2-man'!$BF$27="",999,'2-man'!$BF$27)),100,BM32)))))</f>
        <v/>
      </c>
      <c r="BN33">
        <f>IF('2-man'!BN$39="R",MIN(100,BN32+10),IF('2-man'!BN$39="P",MIN(100,BN32+25),IF(AND('2-man'!BN$39="D",BN32&gt;=35,'2-man'!BN$38&lt;=IF('2-man'!$BF$27="",999,'2-man'!$BF$27)),BN32-35,IF(AND(LEFT('2-man'!BN$39,3)="ST&gt;",BN32&gt;=100,'2-man'!BN$38&lt;=IF('2-man'!$BF$27="",999,'2-man'!$BF$27)),0,IF(AND(OR(AND('2-man'!BN$40="ST&gt;1",BN40&gt;=100)),'2-man'!BN$38&lt;=IF('2-man'!$BF$27="",999,'2-man'!$BF$27)),100,BN32)))))</f>
        <v/>
      </c>
      <c r="BO33">
        <f>IF('2-man'!BO$39="R",MIN(100,BO32+10),IF('2-man'!BO$39="P",MIN(100,BO32+25),IF(AND('2-man'!BO$39="D",BO32&gt;=35,'2-man'!BO$38&lt;=IF('2-man'!$BF$27="",999,'2-man'!$BF$27)),BO32-35,IF(AND(LEFT('2-man'!BO$39,3)="ST&gt;",BO32&gt;=100,'2-man'!BO$38&lt;=IF('2-man'!$BF$27="",999,'2-man'!$BF$27)),0,IF(AND(OR(AND('2-man'!BO$40="ST&gt;1",BO40&gt;=100)),'2-man'!BO$38&lt;=IF('2-man'!$BF$27="",999,'2-man'!$BF$27)),100,BO32)))))</f>
        <v/>
      </c>
      <c r="BP33">
        <f>IF('2-man'!BP$39="R",MIN(100,BP32+10),IF('2-man'!BP$39="P",MIN(100,BP32+25),IF(AND('2-man'!BP$39="D",BP32&gt;=35,'2-man'!BP$38&lt;=IF('2-man'!$BF$27="",999,'2-man'!$BF$27)),BP32-35,IF(AND(LEFT('2-man'!BP$39,3)="ST&gt;",BP32&gt;=100,'2-man'!BP$38&lt;=IF('2-man'!$BF$27="",999,'2-man'!$BF$27)),0,IF(AND(OR(AND('2-man'!BP$40="ST&gt;1",BP40&gt;=100)),'2-man'!BP$38&lt;=IF('2-man'!$BF$27="",999,'2-man'!$BF$27)),100,BP32)))))</f>
        <v/>
      </c>
      <c r="BQ33">
        <f>IF('2-man'!BQ$39="R",MIN(100,BQ32+10),IF('2-man'!BQ$39="P",MIN(100,BQ32+25),IF(AND('2-man'!BQ$39="D",BQ32&gt;=35,'2-man'!BQ$38&lt;=IF('2-man'!$BF$27="",999,'2-man'!$BF$27)),BQ32-35,IF(AND(LEFT('2-man'!BQ$39,3)="ST&gt;",BQ32&gt;=100,'2-man'!BQ$38&lt;=IF('2-man'!$BF$27="",999,'2-man'!$BF$27)),0,IF(AND(OR(AND('2-man'!BQ$40="ST&gt;1",BQ40&gt;=100)),'2-man'!BQ$38&lt;=IF('2-man'!$BF$27="",999,'2-man'!$BF$27)),100,BQ32)))))</f>
        <v/>
      </c>
      <c r="BR33">
        <f>IF('2-man'!BR$39="R",MIN(100,BR32+10),IF('2-man'!BR$39="P",MIN(100,BR32+25),IF(AND('2-man'!BR$39="D",BR32&gt;=35,'2-man'!BR$38&lt;=IF('2-man'!$BF$27="",999,'2-man'!$BF$27)),BR32-35,IF(AND(LEFT('2-man'!BR$39,3)="ST&gt;",BR32&gt;=100,'2-man'!BR$38&lt;=IF('2-man'!$BF$27="",999,'2-man'!$BF$27)),0,IF(AND(OR(AND('2-man'!BR$40="ST&gt;1",BR40&gt;=100)),'2-man'!BR$38&lt;=IF('2-man'!$BF$27="",999,'2-man'!$BF$27)),100,BR32)))))</f>
        <v/>
      </c>
      <c r="BS33">
        <f>IF('2-man'!BS$39="R",MIN(100,BS32+10),IF('2-man'!BS$39="P",MIN(100,BS32+25),IF(AND('2-man'!BS$39="D",BS32&gt;=35,'2-man'!BS$38&lt;=IF('2-man'!$BF$27="",999,'2-man'!$BF$27)),BS32-35,IF(AND(LEFT('2-man'!BS$39,3)="ST&gt;",BS32&gt;=100,'2-man'!BS$38&lt;=IF('2-man'!$BF$27="",999,'2-man'!$BF$27)),0,IF(AND(OR(AND('2-man'!BS$40="ST&gt;1",BS40&gt;=100)),'2-man'!BS$38&lt;=IF('2-man'!$BF$27="",999,'2-man'!$BF$27)),100,BS32)))))</f>
        <v/>
      </c>
      <c r="BT33">
        <f>IF('2-man'!BT$39="R",MIN(100,BT32+10),IF('2-man'!BT$39="P",MIN(100,BT32+25),IF(AND('2-man'!BT$39="D",BT32&gt;=35,'2-man'!BT$38&lt;=IF('2-man'!$BF$27="",999,'2-man'!$BF$27)),BT32-35,IF(AND(LEFT('2-man'!BT$39,3)="ST&gt;",BT32&gt;=100,'2-man'!BT$38&lt;=IF('2-man'!$BF$27="",999,'2-man'!$BF$27)),0,IF(AND(OR(AND('2-man'!BT$40="ST&gt;1",BT40&gt;=100)),'2-man'!BT$38&lt;=IF('2-man'!$BF$27="",999,'2-man'!$BF$27)),100,BT32)))))</f>
        <v/>
      </c>
      <c r="BU33">
        <f>IF('2-man'!BU$39="R",MIN(100,BU32+10),IF('2-man'!BU$39="P",MIN(100,BU32+25),IF(AND('2-man'!BU$39="D",BU32&gt;=35,'2-man'!BU$38&lt;=IF('2-man'!$BF$27="",999,'2-man'!$BF$27)),BU32-35,IF(AND(LEFT('2-man'!BU$39,3)="ST&gt;",BU32&gt;=100,'2-man'!BU$38&lt;=IF('2-man'!$BF$27="",999,'2-man'!$BF$27)),0,IF(AND(OR(AND('2-man'!BU$40="ST&gt;1",BU40&gt;=100)),'2-man'!BU$38&lt;=IF('2-man'!$BF$27="",999,'2-man'!$BF$27)),100,BU32)))))</f>
        <v/>
      </c>
      <c r="BV33">
        <f>IF('2-man'!BV$39="R",MIN(100,BV32+10),IF('2-man'!BV$39="P",MIN(100,BV32+25),IF(AND('2-man'!BV$39="D",BV32&gt;=35,'2-man'!BV$38&lt;=IF('2-man'!$BF$27="",999,'2-man'!$BF$27)),BV32-35,IF(AND(LEFT('2-man'!BV$39,3)="ST&gt;",BV32&gt;=100,'2-man'!BV$38&lt;=IF('2-man'!$BF$27="",999,'2-man'!$BF$27)),0,IF(AND(OR(AND('2-man'!BV$40="ST&gt;1",BV40&gt;=100)),'2-man'!BV$38&lt;=IF('2-man'!$BF$27="",999,'2-man'!$BF$27)),100,BV32)))))</f>
        <v/>
      </c>
      <c r="BW33">
        <f>IF('2-man'!BW$39="R",MIN(100,BW32+10),IF('2-man'!BW$39="P",MIN(100,BW32+25),IF(AND('2-man'!BW$39="D",BW32&gt;=35,'2-man'!BW$38&lt;=IF('2-man'!$BF$27="",999,'2-man'!$BF$27)),BW32-35,IF(AND(LEFT('2-man'!BW$39,3)="ST&gt;",BW32&gt;=100,'2-man'!BW$38&lt;=IF('2-man'!$BF$27="",999,'2-man'!$BF$27)),0,IF(AND(OR(AND('2-man'!BW$40="ST&gt;1",BW40&gt;=100)),'2-man'!BW$38&lt;=IF('2-man'!$BF$27="",999,'2-man'!$BF$27)),100,BW32)))))</f>
        <v/>
      </c>
      <c r="BX33">
        <f>IF('2-man'!BX$39="R",MIN(100,BX32+10),IF('2-man'!BX$39="P",MIN(100,BX32+25),IF(AND('2-man'!BX$39="D",BX32&gt;=35,'2-man'!BX$38&lt;=IF('2-man'!$BF$27="",999,'2-man'!$BF$27)),BX32-35,IF(AND(LEFT('2-man'!BX$39,3)="ST&gt;",BX32&gt;=100,'2-man'!BX$38&lt;=IF('2-man'!$BF$27="",999,'2-man'!$BF$27)),0,IF(AND(OR(AND('2-man'!BX$40="ST&gt;1",BX40&gt;=100)),'2-man'!BX$38&lt;=IF('2-man'!$BF$27="",999,'2-man'!$BF$27)),100,BX32)))))</f>
        <v/>
      </c>
      <c r="BY33">
        <f>IF('2-man'!BY$39="R",MIN(100,BY32+10),IF('2-man'!BY$39="P",MIN(100,BY32+25),IF(AND('2-man'!BY$39="D",BY32&gt;=35,'2-man'!BY$38&lt;=IF('2-man'!$BF$27="",999,'2-man'!$BF$27)),BY32-35,IF(AND(LEFT('2-man'!BY$39,3)="ST&gt;",BY32&gt;=100,'2-man'!BY$38&lt;=IF('2-man'!$BF$27="",999,'2-man'!$BF$27)),0,IF(AND(OR(AND('2-man'!BY$40="ST&gt;1",BY40&gt;=100)),'2-man'!BY$38&lt;=IF('2-man'!$BF$27="",999,'2-man'!$BF$27)),100,BY32)))))</f>
        <v/>
      </c>
      <c r="BZ33">
        <f>IF('2-man'!BZ$39="R",MIN(100,BZ32+10),IF('2-man'!BZ$39="P",MIN(100,BZ32+25),IF(AND('2-man'!BZ$39="D",BZ32&gt;=35,'2-man'!BZ$38&lt;=IF('2-man'!$BF$27="",999,'2-man'!$BF$27)),BZ32-35,IF(AND(LEFT('2-man'!BZ$39,3)="ST&gt;",BZ32&gt;=100,'2-man'!BZ$38&lt;=IF('2-man'!$BF$27="",999,'2-man'!$BF$27)),0,IF(AND(OR(AND('2-man'!BZ$40="ST&gt;1",BZ40&gt;=100)),'2-man'!BZ$38&lt;=IF('2-man'!$BF$27="",999,'2-man'!$BF$27)),100,BZ32)))))</f>
        <v/>
      </c>
      <c r="CA33">
        <f>IF('2-man'!CA$39="R",MIN(100,CA32+10),IF('2-man'!CA$39="P",MIN(100,CA32+25),IF(AND('2-man'!CA$39="D",CA32&gt;=35,'2-man'!CA$38&lt;=IF('2-man'!$BF$27="",999,'2-man'!$BF$27)),CA32-35,IF(AND(LEFT('2-man'!CA$39,3)="ST&gt;",CA32&gt;=100,'2-man'!CA$38&lt;=IF('2-man'!$BF$27="",999,'2-man'!$BF$27)),0,IF(AND(OR(AND('2-man'!CA$40="ST&gt;1",CA40&gt;=100)),'2-man'!CA$38&lt;=IF('2-man'!$BF$27="",999,'2-man'!$BF$27)),100,CA32)))))</f>
        <v/>
      </c>
      <c r="CB33">
        <f>IF('2-man'!CB$39="R",MIN(100,CB32+10),IF('2-man'!CB$39="P",MIN(100,CB32+25),IF(AND('2-man'!CB$39="D",CB32&gt;=35,'2-man'!CB$38&lt;=IF('2-man'!$BF$27="",999,'2-man'!$BF$27)),CB32-35,IF(AND(LEFT('2-man'!CB$39,3)="ST&gt;",CB32&gt;=100,'2-man'!CB$38&lt;=IF('2-man'!$BF$27="",999,'2-man'!$BF$27)),0,IF(AND(OR(AND('2-man'!CB$40="ST&gt;1",CB40&gt;=100)),'2-man'!CB$38&lt;=IF('2-man'!$BF$27="",999,'2-man'!$BF$27)),100,CB32)))))</f>
        <v/>
      </c>
      <c r="CC33">
        <f>IF('2-man'!CC$39="R",MIN(100,CC32+10),IF('2-man'!CC$39="P",MIN(100,CC32+25),IF(AND('2-man'!CC$39="D",CC32&gt;=35,'2-man'!CC$38&lt;=IF('2-man'!$BF$27="",999,'2-man'!$BF$27)),CC32-35,IF(AND(LEFT('2-man'!CC$39,3)="ST&gt;",CC32&gt;=100,'2-man'!CC$38&lt;=IF('2-man'!$BF$27="",999,'2-man'!$BF$27)),0,IF(AND(OR(AND('2-man'!CC$40="ST&gt;1",CC40&gt;=100)),'2-man'!CC$38&lt;=IF('2-man'!$BF$27="",999,'2-man'!$BF$27)),100,CC32)))))</f>
        <v/>
      </c>
      <c r="CD33">
        <f>IF('2-man'!CD$39="R",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IF('2-man'!C$39="R",0,IF(B33&gt;=100,0,IF(B34+1&gt;=IF(OR('2-man'!$F$27=TRUE,'2-man'!$F$27="TRUE",'2-man'!$F$27="Yes"),25,50),0,B34+1)))</f>
        <v/>
      </c>
      <c r="D34">
        <f>IF('2-man'!D$39="R",0,IF(C33&gt;=100,0,IF(C34+1&gt;=IF(OR('2-man'!$F$27=TRUE,'2-man'!$F$27="TRUE",'2-man'!$F$27="Yes"),25,50),0,C34+1)))</f>
        <v/>
      </c>
      <c r="E34">
        <f>IF('2-man'!E$39="R",0,IF(D33&gt;=100,0,IF(D34+1&gt;=IF(OR('2-man'!$F$27=TRUE,'2-man'!$F$27="TRUE",'2-man'!$F$27="Yes"),25,50),0,D34+1)))</f>
        <v/>
      </c>
      <c r="F34">
        <f>IF('2-man'!F$39="R",0,IF(E33&gt;=100,0,IF(E34+1&gt;=IF(OR('2-man'!$F$27=TRUE,'2-man'!$F$27="TRUE",'2-man'!$F$27="Yes"),25,50),0,E34+1)))</f>
        <v/>
      </c>
      <c r="G34">
        <f>IF('2-man'!G$39="R",0,IF(F33&gt;=100,0,IF(F34+1&gt;=IF(OR('2-man'!$F$27=TRUE,'2-man'!$F$27="TRUE",'2-man'!$F$27="Yes"),25,50),0,F34+1)))</f>
        <v/>
      </c>
      <c r="H34">
        <f>IF('2-man'!H$39="R",0,IF(G33&gt;=100,0,IF(G34+1&gt;=IF(OR('2-man'!$F$27=TRUE,'2-man'!$F$27="TRUE",'2-man'!$F$27="Yes"),25,50),0,G34+1)))</f>
        <v/>
      </c>
      <c r="I34">
        <f>IF('2-man'!I$39="R",0,IF(H33&gt;=100,0,IF(H34+1&gt;=IF(OR('2-man'!$F$27=TRUE,'2-man'!$F$27="TRUE",'2-man'!$F$27="Yes"),25,50),0,H34+1)))</f>
        <v/>
      </c>
      <c r="J34">
        <f>IF('2-man'!J$39="R",0,IF(I33&gt;=100,0,IF(I34+1&gt;=IF(OR('2-man'!$F$27=TRUE,'2-man'!$F$27="TRUE",'2-man'!$F$27="Yes"),25,50),0,I34+1)))</f>
        <v/>
      </c>
      <c r="K34">
        <f>IF('2-man'!K$39="R",0,IF(J33&gt;=100,0,IF(J34+1&gt;=IF(OR('2-man'!$F$27=TRUE,'2-man'!$F$27="TRUE",'2-man'!$F$27="Yes"),25,50),0,J34+1)))</f>
        <v/>
      </c>
      <c r="L34">
        <f>IF('2-man'!L$39="R",0,IF(K33&gt;=100,0,IF(K34+1&gt;=IF(OR('2-man'!$F$27=TRUE,'2-man'!$F$27="TRUE",'2-man'!$F$27="Yes"),25,50),0,K34+1)))</f>
        <v/>
      </c>
      <c r="M34">
        <f>IF('2-man'!M$39="R",0,IF(L33&gt;=100,0,IF(L34+1&gt;=IF(OR('2-man'!$F$27=TRUE,'2-man'!$F$27="TRUE",'2-man'!$F$27="Yes"),25,50),0,L34+1)))</f>
        <v/>
      </c>
      <c r="N34">
        <f>IF('2-man'!N$39="R",0,IF(M33&gt;=100,0,IF(M34+1&gt;=IF(OR('2-man'!$F$27=TRUE,'2-man'!$F$27="TRUE",'2-man'!$F$27="Yes"),25,50),0,M34+1)))</f>
        <v/>
      </c>
      <c r="O34">
        <f>IF('2-man'!O$39="R",0,IF(N33&gt;=100,0,IF(N34+1&gt;=IF(OR('2-man'!$F$27=TRUE,'2-man'!$F$27="TRUE",'2-man'!$F$27="Yes"),25,50),0,N34+1)))</f>
        <v/>
      </c>
      <c r="P34">
        <f>IF('2-man'!P$39="R",0,IF(O33&gt;=100,0,IF(O34+1&gt;=IF(OR('2-man'!$F$27=TRUE,'2-man'!$F$27="TRUE",'2-man'!$F$27="Yes"),25,50),0,O34+1)))</f>
        <v/>
      </c>
      <c r="Q34">
        <f>IF('2-man'!Q$39="R",0,IF(P33&gt;=100,0,IF(P34+1&gt;=IF(OR('2-man'!$F$27=TRUE,'2-man'!$F$27="TRUE",'2-man'!$F$27="Yes"),25,50),0,P34+1)))</f>
        <v/>
      </c>
      <c r="R34">
        <f>IF('2-man'!R$39="R",0,IF(Q33&gt;=100,0,IF(Q34+1&gt;=IF(OR('2-man'!$F$27=TRUE,'2-man'!$F$27="TRUE",'2-man'!$F$27="Yes"),25,50),0,Q34+1)))</f>
        <v/>
      </c>
      <c r="S34">
        <f>IF('2-man'!S$39="R",0,IF(R33&gt;=100,0,IF(R34+1&gt;=IF(OR('2-man'!$F$27=TRUE,'2-man'!$F$27="TRUE",'2-man'!$F$27="Yes"),25,50),0,R34+1)))</f>
        <v/>
      </c>
      <c r="T34">
        <f>IF('2-man'!T$39="R",0,IF(S33&gt;=100,0,IF(S34+1&gt;=IF(OR('2-man'!$F$27=TRUE,'2-man'!$F$27="TRUE",'2-man'!$F$27="Yes"),25,50),0,S34+1)))</f>
        <v/>
      </c>
      <c r="U34">
        <f>IF('2-man'!U$39="R",0,IF(T33&gt;=100,0,IF(T34+1&gt;=IF(OR('2-man'!$F$27=TRUE,'2-man'!$F$27="TRUE",'2-man'!$F$27="Yes"),25,50),0,T34+1)))</f>
        <v/>
      </c>
      <c r="V34">
        <f>IF('2-man'!V$39="R",0,IF(U33&gt;=100,0,IF(U34+1&gt;=IF(OR('2-man'!$F$27=TRUE,'2-man'!$F$27="TRUE",'2-man'!$F$27="Yes"),25,50),0,U34+1)))</f>
        <v/>
      </c>
      <c r="W34">
        <f>IF('2-man'!W$39="R",0,IF(V33&gt;=100,0,IF(V34+1&gt;=IF(OR('2-man'!$F$27=TRUE,'2-man'!$F$27="TRUE",'2-man'!$F$27="Yes"),25,50),0,V34+1)))</f>
        <v/>
      </c>
      <c r="X34">
        <f>IF('2-man'!X$39="R",0,IF(W33&gt;=100,0,IF(W34+1&gt;=IF(OR('2-man'!$F$27=TRUE,'2-man'!$F$27="TRUE",'2-man'!$F$27="Yes"),25,50),0,W34+1)))</f>
        <v/>
      </c>
      <c r="Y34">
        <f>IF('2-man'!Y$39="R",0,IF(X33&gt;=100,0,IF(X34+1&gt;=IF(OR('2-man'!$F$27=TRUE,'2-man'!$F$27="TRUE",'2-man'!$F$27="Yes"),25,50),0,X34+1)))</f>
        <v/>
      </c>
      <c r="Z34">
        <f>IF('2-man'!Z$39="R",0,IF(Y33&gt;=100,0,IF(Y34+1&gt;=IF(OR('2-man'!$F$27=TRUE,'2-man'!$F$27="TRUE",'2-man'!$F$27="Yes"),25,50),0,Y34+1)))</f>
        <v/>
      </c>
      <c r="AA34">
        <f>IF('2-man'!AA$39="R",0,IF(Z33&gt;=100,0,IF(Z34+1&gt;=IF(OR('2-man'!$F$27=TRUE,'2-man'!$F$27="TRUE",'2-man'!$F$27="Yes"),25,50),0,Z34+1)))</f>
        <v/>
      </c>
      <c r="AB34">
        <f>IF('2-man'!AB$39="R",0,IF(AA33&gt;=100,0,IF(AA34+1&gt;=IF(OR('2-man'!$F$27=TRUE,'2-man'!$F$27="TRUE",'2-man'!$F$27="Yes"),25,50),0,AA34+1)))</f>
        <v/>
      </c>
      <c r="AC34">
        <f>IF('2-man'!AC$39="R",0,IF(AB33&gt;=100,0,IF(AB34+1&gt;=IF(OR('2-man'!$F$27=TRUE,'2-man'!$F$27="TRUE",'2-man'!$F$27="Yes"),25,50),0,AB34+1)))</f>
        <v/>
      </c>
      <c r="AD34">
        <f>IF('2-man'!AD$39="R",0,IF(AC33&gt;=100,0,IF(AC34+1&gt;=IF(OR('2-man'!$F$27=TRUE,'2-man'!$F$27="TRUE",'2-man'!$F$27="Yes"),25,50),0,AC34+1)))</f>
        <v/>
      </c>
      <c r="AE34">
        <f>IF('2-man'!AE$39="R",0,IF(AD33&gt;=100,0,IF(AD34+1&gt;=IF(OR('2-man'!$F$27=TRUE,'2-man'!$F$27="TRUE",'2-man'!$F$27="Yes"),25,50),0,AD34+1)))</f>
        <v/>
      </c>
      <c r="AF34">
        <f>IF('2-man'!AF$39="R",0,IF(AE33&gt;=100,0,IF(AE34+1&gt;=IF(OR('2-man'!$F$27=TRUE,'2-man'!$F$27="TRUE",'2-man'!$F$27="Yes"),25,50),0,AE34+1)))</f>
        <v/>
      </c>
      <c r="AG34">
        <f>IF('2-man'!AG$39="R",0,IF(AF33&gt;=100,0,IF(AF34+1&gt;=IF(OR('2-man'!$F$27=TRUE,'2-man'!$F$27="TRUE",'2-man'!$F$27="Yes"),25,50),0,AF34+1)))</f>
        <v/>
      </c>
      <c r="AH34">
        <f>IF('2-man'!AH$39="R",0,IF(AG33&gt;=100,0,IF(AG34+1&gt;=IF(OR('2-man'!$F$27=TRUE,'2-man'!$F$27="TRUE",'2-man'!$F$27="Yes"),25,50),0,AG34+1)))</f>
        <v/>
      </c>
      <c r="AI34">
        <f>IF('2-man'!AI$39="R",0,IF(AH33&gt;=100,0,IF(AH34+1&gt;=IF(OR('2-man'!$F$27=TRUE,'2-man'!$F$27="TRUE",'2-man'!$F$27="Yes"),25,50),0,AH34+1)))</f>
        <v/>
      </c>
      <c r="AJ34">
        <f>IF('2-man'!AJ$39="R",0,IF(AI33&gt;=100,0,IF(AI34+1&gt;=IF(OR('2-man'!$F$27=TRUE,'2-man'!$F$27="TRUE",'2-man'!$F$27="Yes"),25,50),0,AI34+1)))</f>
        <v/>
      </c>
      <c r="AK34">
        <f>IF('2-man'!AK$39="R",0,IF(AJ33&gt;=100,0,IF(AJ34+1&gt;=IF(OR('2-man'!$F$27=TRUE,'2-man'!$F$27="TRUE",'2-man'!$F$27="Yes"),25,50),0,AJ34+1)))</f>
        <v/>
      </c>
      <c r="AL34">
        <f>IF('2-man'!AL$39="R",0,IF(AK33&gt;=100,0,IF(AK34+1&gt;=IF(OR('2-man'!$F$27=TRUE,'2-man'!$F$27="TRUE",'2-man'!$F$27="Yes"),25,50),0,AK34+1)))</f>
        <v/>
      </c>
      <c r="AM34">
        <f>IF('2-man'!AM$39="R",0,IF(AL33&gt;=100,0,IF(AL34+1&gt;=IF(OR('2-man'!$F$27=TRUE,'2-man'!$F$27="TRUE",'2-man'!$F$27="Yes"),25,50),0,AL34+1)))</f>
        <v/>
      </c>
      <c r="AN34">
        <f>IF('2-man'!AN$39="R",0,IF(AM33&gt;=100,0,IF(AM34+1&gt;=IF(OR('2-man'!$F$27=TRUE,'2-man'!$F$27="TRUE",'2-man'!$F$27="Yes"),25,50),0,AM34+1)))</f>
        <v/>
      </c>
      <c r="AO34">
        <f>IF('2-man'!AO$39="R",0,IF(AN33&gt;=100,0,IF(AN34+1&gt;=IF(OR('2-man'!$F$27=TRUE,'2-man'!$F$27="TRUE",'2-man'!$F$27="Yes"),25,50),0,AN34+1)))</f>
        <v/>
      </c>
      <c r="AP34">
        <f>IF('2-man'!AP$39="R",0,IF(AO33&gt;=100,0,IF(AO34+1&gt;=IF(OR('2-man'!$F$27=TRUE,'2-man'!$F$27="TRUE",'2-man'!$F$27="Yes"),25,50),0,AO34+1)))</f>
        <v/>
      </c>
      <c r="AQ34">
        <f>IF('2-man'!AQ$39="R",0,IF(AP33&gt;=100,0,IF(AP34+1&gt;=IF(OR('2-man'!$F$27=TRUE,'2-man'!$F$27="TRUE",'2-man'!$F$27="Yes"),25,50),0,AP34+1)))</f>
        <v/>
      </c>
      <c r="AR34">
        <f>IF('2-man'!AR$39="R",0,IF(AQ33&gt;=100,0,IF(AQ34+1&gt;=IF(OR('2-man'!$F$27=TRUE,'2-man'!$F$27="TRUE",'2-man'!$F$27="Yes"),25,50),0,AQ34+1)))</f>
        <v/>
      </c>
      <c r="AS34">
        <f>IF('2-man'!AS$39="R",0,IF(AR33&gt;=100,0,IF(AR34+1&gt;=IF(OR('2-man'!$F$27=TRUE,'2-man'!$F$27="TRUE",'2-man'!$F$27="Yes"),25,50),0,AR34+1)))</f>
        <v/>
      </c>
      <c r="AT34">
        <f>IF('2-man'!AT$39="R",0,IF(AS33&gt;=100,0,IF(AS34+1&gt;=IF(OR('2-man'!$F$27=TRUE,'2-man'!$F$27="TRUE",'2-man'!$F$27="Yes"),25,50),0,AS34+1)))</f>
        <v/>
      </c>
      <c r="AU34">
        <f>IF('2-man'!AU$39="R",0,IF(AT33&gt;=100,0,IF(AT34+1&gt;=IF(OR('2-man'!$F$27=TRUE,'2-man'!$F$27="TRUE",'2-man'!$F$27="Yes"),25,50),0,AT34+1)))</f>
        <v/>
      </c>
      <c r="AV34">
        <f>IF('2-man'!AV$39="R",0,IF(AU33&gt;=100,0,IF(AU34+1&gt;=IF(OR('2-man'!$F$27=TRUE,'2-man'!$F$27="TRUE",'2-man'!$F$27="Yes"),25,50),0,AU34+1)))</f>
        <v/>
      </c>
      <c r="AW34">
        <f>IF('2-man'!AW$39="R",0,IF(AV33&gt;=100,0,IF(AV34+1&gt;=IF(OR('2-man'!$F$27=TRUE,'2-man'!$F$27="TRUE",'2-man'!$F$27="Yes"),25,50),0,AV34+1)))</f>
        <v/>
      </c>
      <c r="AX34">
        <f>IF('2-man'!AX$39="R",0,IF(AW33&gt;=100,0,IF(AW34+1&gt;=IF(OR('2-man'!$F$27=TRUE,'2-man'!$F$27="TRUE",'2-man'!$F$27="Yes"),25,50),0,AW34+1)))</f>
        <v/>
      </c>
      <c r="AY34">
        <f>IF('2-man'!AY$39="R",0,IF(AX33&gt;=100,0,IF(AX34+1&gt;=IF(OR('2-man'!$F$27=TRUE,'2-man'!$F$27="TRUE",'2-man'!$F$27="Yes"),25,50),0,AX34+1)))</f>
        <v/>
      </c>
      <c r="AZ34">
        <f>IF('2-man'!AZ$39="R",0,IF(AY33&gt;=100,0,IF(AY34+1&gt;=IF(OR('2-man'!$F$27=TRUE,'2-man'!$F$27="TRUE",'2-man'!$F$27="Yes"),25,50),0,AY34+1)))</f>
        <v/>
      </c>
      <c r="BA34">
        <f>IF('2-man'!BA$39="R",0,IF(AZ33&gt;=100,0,IF(AZ34+1&gt;=IF(OR('2-man'!$F$27=TRUE,'2-man'!$F$27="TRUE",'2-man'!$F$27="Yes"),25,50),0,AZ34+1)))</f>
        <v/>
      </c>
      <c r="BB34">
        <f>IF('2-man'!BB$39="R",0,IF(BA33&gt;=100,0,IF(BA34+1&gt;=IF(OR('2-man'!$F$27=TRUE,'2-man'!$F$27="TRUE",'2-man'!$F$27="Yes"),25,50),0,BA34+1)))</f>
        <v/>
      </c>
      <c r="BC34">
        <f>IF('2-man'!BC$39="R",0,IF(BB33&gt;=100,0,IF(BB34+1&gt;=IF(OR('2-man'!$F$27=TRUE,'2-man'!$F$27="TRUE",'2-man'!$F$27="Yes"),25,50),0,BB34+1)))</f>
        <v/>
      </c>
      <c r="BD34">
        <f>IF('2-man'!BD$39="R",0,IF(BC33&gt;=100,0,IF(BC34+1&gt;=IF(OR('2-man'!$F$27=TRUE,'2-man'!$F$27="TRUE",'2-man'!$F$27="Yes"),25,50),0,BC34+1)))</f>
        <v/>
      </c>
      <c r="BE34">
        <f>IF('2-man'!BE$39="R",0,IF(BD33&gt;=100,0,IF(BD34+1&gt;=IF(OR('2-man'!$F$27=TRUE,'2-man'!$F$27="TRUE",'2-man'!$F$27="Yes"),25,50),0,BD34+1)))</f>
        <v/>
      </c>
      <c r="BF34">
        <f>IF('2-man'!BF$39="R",0,IF(BE33&gt;=100,0,IF(BE34+1&gt;=IF(OR('2-man'!$F$27=TRUE,'2-man'!$F$27="TRUE",'2-man'!$F$27="Yes"),25,50),0,BE34+1)))</f>
        <v/>
      </c>
      <c r="BG34">
        <f>IF('2-man'!BG$39="R",0,IF(BF33&gt;=100,0,IF(BF34+1&gt;=IF(OR('2-man'!$F$27=TRUE,'2-man'!$F$27="TRUE",'2-man'!$F$27="Yes"),25,50),0,BF34+1)))</f>
        <v/>
      </c>
      <c r="BH34">
        <f>IF('2-man'!BH$39="R",0,IF(BG33&gt;=100,0,IF(BG34+1&gt;=IF(OR('2-man'!$F$27=TRUE,'2-man'!$F$27="TRUE",'2-man'!$F$27="Yes"),25,50),0,BG34+1)))</f>
        <v/>
      </c>
      <c r="BI34">
        <f>IF('2-man'!BI$39="R",0,IF(BH33&gt;=100,0,IF(BH34+1&gt;=IF(OR('2-man'!$F$27=TRUE,'2-man'!$F$27="TRUE",'2-man'!$F$27="Yes"),25,50),0,BH34+1)))</f>
        <v/>
      </c>
      <c r="BJ34">
        <f>IF('2-man'!BJ$39="R",0,IF(BI33&gt;=100,0,IF(BI34+1&gt;=IF(OR('2-man'!$F$27=TRUE,'2-man'!$F$27="TRUE",'2-man'!$F$27="Yes"),25,50),0,BI34+1)))</f>
        <v/>
      </c>
      <c r="BK34">
        <f>IF('2-man'!BK$39="R",0,IF(BJ33&gt;=100,0,IF(BJ34+1&gt;=IF(OR('2-man'!$F$27=TRUE,'2-man'!$F$27="TRUE",'2-man'!$F$27="Yes"),25,50),0,BJ34+1)))</f>
        <v/>
      </c>
      <c r="BL34">
        <f>IF('2-man'!BL$39="R",0,IF(BK33&gt;=100,0,IF(BK34+1&gt;=IF(OR('2-man'!$F$27=TRUE,'2-man'!$F$27="TRUE",'2-man'!$F$27="Yes"),25,50),0,BK34+1)))</f>
        <v/>
      </c>
      <c r="BM34">
        <f>IF('2-man'!BM$39="R",0,IF(BL33&gt;=100,0,IF(BL34+1&gt;=IF(OR('2-man'!$F$27=TRUE,'2-man'!$F$27="TRUE",'2-man'!$F$27="Yes"),25,50),0,BL34+1)))</f>
        <v/>
      </c>
      <c r="BN34">
        <f>IF('2-man'!BN$39="R",0,IF(BM33&gt;=100,0,IF(BM34+1&gt;=IF(OR('2-man'!$F$27=TRUE,'2-man'!$F$27="TRUE",'2-man'!$F$27="Yes"),25,50),0,BM34+1)))</f>
        <v/>
      </c>
      <c r="BO34">
        <f>IF('2-man'!BO$39="R",0,IF(BN33&gt;=100,0,IF(BN34+1&gt;=IF(OR('2-man'!$F$27=TRUE,'2-man'!$F$27="TRUE",'2-man'!$F$27="Yes"),25,50),0,BN34+1)))</f>
        <v/>
      </c>
      <c r="BP34">
        <f>IF('2-man'!BP$39="R",0,IF(BO33&gt;=100,0,IF(BO34+1&gt;=IF(OR('2-man'!$F$27=TRUE,'2-man'!$F$27="TRUE",'2-man'!$F$27="Yes"),25,50),0,BO34+1)))</f>
        <v/>
      </c>
      <c r="BQ34">
        <f>IF('2-man'!BQ$39="R",0,IF(BP33&gt;=100,0,IF(BP34+1&gt;=IF(OR('2-man'!$F$27=TRUE,'2-man'!$F$27="TRUE",'2-man'!$F$27="Yes"),25,50),0,BP34+1)))</f>
        <v/>
      </c>
      <c r="BR34">
        <f>IF('2-man'!BR$39="R",0,IF(BQ33&gt;=100,0,IF(BQ34+1&gt;=IF(OR('2-man'!$F$27=TRUE,'2-man'!$F$27="TRUE",'2-man'!$F$27="Yes"),25,50),0,BQ34+1)))</f>
        <v/>
      </c>
      <c r="BS34">
        <f>IF('2-man'!BS$39="R",0,IF(BR33&gt;=100,0,IF(BR34+1&gt;=IF(OR('2-man'!$F$27=TRUE,'2-man'!$F$27="TRUE",'2-man'!$F$27="Yes"),25,50),0,BR34+1)))</f>
        <v/>
      </c>
      <c r="BT34">
        <f>IF('2-man'!BT$39="R",0,IF(BS33&gt;=100,0,IF(BS34+1&gt;=IF(OR('2-man'!$F$27=TRUE,'2-man'!$F$27="TRUE",'2-man'!$F$27="Yes"),25,50),0,BS34+1)))</f>
        <v/>
      </c>
      <c r="BU34">
        <f>IF('2-man'!BU$39="R",0,IF(BT33&gt;=100,0,IF(BT34+1&gt;=IF(OR('2-man'!$F$27=TRUE,'2-man'!$F$27="TRUE",'2-man'!$F$27="Yes"),25,50),0,BT34+1)))</f>
        <v/>
      </c>
      <c r="BV34">
        <f>IF('2-man'!BV$39="R",0,IF(BU33&gt;=100,0,IF(BU34+1&gt;=IF(OR('2-man'!$F$27=TRUE,'2-man'!$F$27="TRUE",'2-man'!$F$27="Yes"),25,50),0,BU34+1)))</f>
        <v/>
      </c>
      <c r="BW34">
        <f>IF('2-man'!BW$39="R",0,IF(BV33&gt;=100,0,IF(BV34+1&gt;=IF(OR('2-man'!$F$27=TRUE,'2-man'!$F$27="TRUE",'2-man'!$F$27="Yes"),25,50),0,BV34+1)))</f>
        <v/>
      </c>
      <c r="BX34">
        <f>IF('2-man'!BX$39="R",0,IF(BW33&gt;=100,0,IF(BW34+1&gt;=IF(OR('2-man'!$F$27=TRUE,'2-man'!$F$27="TRUE",'2-man'!$F$27="Yes"),25,50),0,BW34+1)))</f>
        <v/>
      </c>
      <c r="BY34">
        <f>IF('2-man'!BY$39="R",0,IF(BX33&gt;=100,0,IF(BX34+1&gt;=IF(OR('2-man'!$F$27=TRUE,'2-man'!$F$27="TRUE",'2-man'!$F$27="Yes"),25,50),0,BX34+1)))</f>
        <v/>
      </c>
      <c r="BZ34">
        <f>IF('2-man'!BZ$39="R",0,IF(BY33&gt;=100,0,IF(BY34+1&gt;=IF(OR('2-man'!$F$27=TRUE,'2-man'!$F$27="TRUE",'2-man'!$F$27="Yes"),25,50),0,BY34+1)))</f>
        <v/>
      </c>
      <c r="CA34">
        <f>IF('2-man'!CA$39="R",0,IF(BZ33&gt;=100,0,IF(BZ34+1&gt;=IF(OR('2-man'!$F$27=TRUE,'2-man'!$F$27="TRUE",'2-man'!$F$27="Yes"),25,50),0,BZ34+1)))</f>
        <v/>
      </c>
      <c r="CB34">
        <f>IF('2-man'!CB$39="R",0,IF(CA33&gt;=100,0,IF(CA34+1&gt;=IF(OR('2-man'!$F$27=TRUE,'2-man'!$F$27="TRUE",'2-man'!$F$27="Yes"),25,50),0,CA34+1)))</f>
        <v/>
      </c>
      <c r="CC34">
        <f>IF('2-man'!CC$39="R",0,IF(CB33&gt;=100,0,IF(CB34+1&gt;=IF(OR('2-man'!$F$27=TRUE,'2-man'!$F$27="TRUE",'2-man'!$F$27="Yes"),25,50),0,CB34+1)))</f>
        <v/>
      </c>
      <c r="CD34">
        <f>IF('2-man'!CD$39="R",0,IF(CC33&gt;=100,0,IF(CC34+1&gt;=IF(OR('2-man'!$F$27=TRUE,'2-man'!$F$27="TRUE",'2-man'!$F$27="Yes"),25,50),0,CC34+1)))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row>
    <row r="39">
      <c r="A39" t="inlineStr">
        <is>
          <t>P1 act</t>
        </is>
      </c>
      <c r="C39">
        <f>IF(OR('2-man'!C$39="P",'2-man'!C$39="R",AND('2-man'!C$38&lt;=IF('2-man'!$BF$27="",999,'2-man'!$BF$27),OR('2-man'!C$39="D",LEFT('2-man'!C$39,3)="ST&gt;",OR(AND('2-man'!C$40="ST&gt;1",C40&gt;=100))))),'2-man'!C$38,0)</f>
        <v/>
      </c>
      <c r="D39">
        <f>IF(OR('2-man'!D$39="P",'2-man'!D$39="R",AND('2-man'!D$38&lt;=IF('2-man'!$BF$27="",999,'2-man'!$BF$27),OR('2-man'!D$39="D",LEFT('2-man'!D$39,3)="ST&gt;",OR(AND('2-man'!D$40="ST&gt;1",D40&gt;=100))))),'2-man'!D$38,0)</f>
        <v/>
      </c>
      <c r="E39">
        <f>IF(OR('2-man'!E$39="P",'2-man'!E$39="R",AND('2-man'!E$38&lt;=IF('2-man'!$BF$27="",999,'2-man'!$BF$27),OR('2-man'!E$39="D",LEFT('2-man'!E$39,3)="ST&gt;",OR(AND('2-man'!E$40="ST&gt;1",E40&gt;=100))))),'2-man'!E$38,0)</f>
        <v/>
      </c>
      <c r="F39">
        <f>IF(OR('2-man'!F$39="P",'2-man'!F$39="R",AND('2-man'!F$38&lt;=IF('2-man'!$BF$27="",999,'2-man'!$BF$27),OR('2-man'!F$39="D",LEFT('2-man'!F$39,3)="ST&gt;",OR(AND('2-man'!F$40="ST&gt;1",F40&gt;=100))))),'2-man'!F$38,0)</f>
        <v/>
      </c>
      <c r="G39">
        <f>IF(OR('2-man'!G$39="P",'2-man'!G$39="R",AND('2-man'!G$38&lt;=IF('2-man'!$BF$27="",999,'2-man'!$BF$27),OR('2-man'!G$39="D",LEFT('2-man'!G$39,3)="ST&gt;",OR(AND('2-man'!G$40="ST&gt;1",G40&gt;=100))))),'2-man'!G$38,0)</f>
        <v/>
      </c>
      <c r="H39">
        <f>IF(OR('2-man'!H$39="P",'2-man'!H$39="R",AND('2-man'!H$38&lt;=IF('2-man'!$BF$27="",999,'2-man'!$BF$27),OR('2-man'!H$39="D",LEFT('2-man'!H$39,3)="ST&gt;",OR(AND('2-man'!H$40="ST&gt;1",H40&gt;=100))))),'2-man'!H$38,0)</f>
        <v/>
      </c>
      <c r="I39">
        <f>IF(OR('2-man'!I$39="P",'2-man'!I$39="R",AND('2-man'!I$38&lt;=IF('2-man'!$BF$27="",999,'2-man'!$BF$27),OR('2-man'!I$39="D",LEFT('2-man'!I$39,3)="ST&gt;",OR(AND('2-man'!I$40="ST&gt;1",I40&gt;=100))))),'2-man'!I$38,0)</f>
        <v/>
      </c>
      <c r="J39">
        <f>IF(OR('2-man'!J$39="P",'2-man'!J$39="R",AND('2-man'!J$38&lt;=IF('2-man'!$BF$27="",999,'2-man'!$BF$27),OR('2-man'!J$39="D",LEFT('2-man'!J$39,3)="ST&gt;",OR(AND('2-man'!J$40="ST&gt;1",J40&gt;=100))))),'2-man'!J$38,0)</f>
        <v/>
      </c>
      <c r="K39">
        <f>IF(OR('2-man'!K$39="P",'2-man'!K$39="R",AND('2-man'!K$38&lt;=IF('2-man'!$BF$27="",999,'2-man'!$BF$27),OR('2-man'!K$39="D",LEFT('2-man'!K$39,3)="ST&gt;",OR(AND('2-man'!K$40="ST&gt;1",K40&gt;=100))))),'2-man'!K$38,0)</f>
        <v/>
      </c>
      <c r="L39">
        <f>IF(OR('2-man'!L$39="P",'2-man'!L$39="R",AND('2-man'!L$38&lt;=IF('2-man'!$BF$27="",999,'2-man'!$BF$27),OR('2-man'!L$39="D",LEFT('2-man'!L$39,3)="ST&gt;",OR(AND('2-man'!L$40="ST&gt;1",L40&gt;=100))))),'2-man'!L$38,0)</f>
        <v/>
      </c>
      <c r="M39">
        <f>IF(OR('2-man'!M$39="P",'2-man'!M$39="R",AND('2-man'!M$38&lt;=IF('2-man'!$BF$27="",999,'2-man'!$BF$27),OR('2-man'!M$39="D",LEFT('2-man'!M$39,3)="ST&gt;",OR(AND('2-man'!M$40="ST&gt;1",M40&gt;=100))))),'2-man'!M$38,0)</f>
        <v/>
      </c>
      <c r="N39">
        <f>IF(OR('2-man'!N$39="P",'2-man'!N$39="R",AND('2-man'!N$38&lt;=IF('2-man'!$BF$27="",999,'2-man'!$BF$27),OR('2-man'!N$39="D",LEFT('2-man'!N$39,3)="ST&gt;",OR(AND('2-man'!N$40="ST&gt;1",N40&gt;=100))))),'2-man'!N$38,0)</f>
        <v/>
      </c>
      <c r="O39">
        <f>IF(OR('2-man'!O$39="P",'2-man'!O$39="R",AND('2-man'!O$38&lt;=IF('2-man'!$BF$27="",999,'2-man'!$BF$27),OR('2-man'!O$39="D",LEFT('2-man'!O$39,3)="ST&gt;",OR(AND('2-man'!O$40="ST&gt;1",O40&gt;=100))))),'2-man'!O$38,0)</f>
        <v/>
      </c>
      <c r="P39">
        <f>IF(OR('2-man'!P$39="P",'2-man'!P$39="R",AND('2-man'!P$38&lt;=IF('2-man'!$BF$27="",999,'2-man'!$BF$27),OR('2-man'!P$39="D",LEFT('2-man'!P$39,3)="ST&gt;",OR(AND('2-man'!P$40="ST&gt;1",P40&gt;=100))))),'2-man'!P$38,0)</f>
        <v/>
      </c>
      <c r="Q39">
        <f>IF(OR('2-man'!Q$39="P",'2-man'!Q$39="R",AND('2-man'!Q$38&lt;=IF('2-man'!$BF$27="",999,'2-man'!$BF$27),OR('2-man'!Q$39="D",LEFT('2-man'!Q$39,3)="ST&gt;",OR(AND('2-man'!Q$40="ST&gt;1",Q40&gt;=100))))),'2-man'!Q$38,0)</f>
        <v/>
      </c>
      <c r="R39">
        <f>IF(OR('2-man'!R$39="P",'2-man'!R$39="R",AND('2-man'!R$38&lt;=IF('2-man'!$BF$27="",999,'2-man'!$BF$27),OR('2-man'!R$39="D",LEFT('2-man'!R$39,3)="ST&gt;",OR(AND('2-man'!R$40="ST&gt;1",R40&gt;=100))))),'2-man'!R$38,0)</f>
        <v/>
      </c>
      <c r="S39">
        <f>IF(OR('2-man'!S$39="P",'2-man'!S$39="R",AND('2-man'!S$38&lt;=IF('2-man'!$BF$27="",999,'2-man'!$BF$27),OR('2-man'!S$39="D",LEFT('2-man'!S$39,3)="ST&gt;",OR(AND('2-man'!S$40="ST&gt;1",S40&gt;=100))))),'2-man'!S$38,0)</f>
        <v/>
      </c>
      <c r="T39">
        <f>IF(OR('2-man'!T$39="P",'2-man'!T$39="R",AND('2-man'!T$38&lt;=IF('2-man'!$BF$27="",999,'2-man'!$BF$27),OR('2-man'!T$39="D",LEFT('2-man'!T$39,3)="ST&gt;",OR(AND('2-man'!T$40="ST&gt;1",T40&gt;=100))))),'2-man'!T$38,0)</f>
        <v/>
      </c>
      <c r="U39">
        <f>IF(OR('2-man'!U$39="P",'2-man'!U$39="R",AND('2-man'!U$38&lt;=IF('2-man'!$BF$27="",999,'2-man'!$BF$27),OR('2-man'!U$39="D",LEFT('2-man'!U$39,3)="ST&gt;",OR(AND('2-man'!U$40="ST&gt;1",U40&gt;=100))))),'2-man'!U$38,0)</f>
        <v/>
      </c>
      <c r="V39">
        <f>IF(OR('2-man'!V$39="P",'2-man'!V$39="R",AND('2-man'!V$38&lt;=IF('2-man'!$BF$27="",999,'2-man'!$BF$27),OR('2-man'!V$39="D",LEFT('2-man'!V$39,3)="ST&gt;",OR(AND('2-man'!V$40="ST&gt;1",V40&gt;=100))))),'2-man'!V$38,0)</f>
        <v/>
      </c>
      <c r="W39">
        <f>IF(OR('2-man'!W$39="P",'2-man'!W$39="R",AND('2-man'!W$38&lt;=IF('2-man'!$BF$27="",999,'2-man'!$BF$27),OR('2-man'!W$39="D",LEFT('2-man'!W$39,3)="ST&gt;",OR(AND('2-man'!W$40="ST&gt;1",W40&gt;=100))))),'2-man'!W$38,0)</f>
        <v/>
      </c>
      <c r="X39">
        <f>IF(OR('2-man'!X$39="P",'2-man'!X$39="R",AND('2-man'!X$38&lt;=IF('2-man'!$BF$27="",999,'2-man'!$BF$27),OR('2-man'!X$39="D",LEFT('2-man'!X$39,3)="ST&gt;",OR(AND('2-man'!X$40="ST&gt;1",X40&gt;=100))))),'2-man'!X$38,0)</f>
        <v/>
      </c>
      <c r="Y39">
        <f>IF(OR('2-man'!Y$39="P",'2-man'!Y$39="R",AND('2-man'!Y$38&lt;=IF('2-man'!$BF$27="",999,'2-man'!$BF$27),OR('2-man'!Y$39="D",LEFT('2-man'!Y$39,3)="ST&gt;",OR(AND('2-man'!Y$40="ST&gt;1",Y40&gt;=100))))),'2-man'!Y$38,0)</f>
        <v/>
      </c>
      <c r="Z39">
        <f>IF(OR('2-man'!Z$39="P",'2-man'!Z$39="R",AND('2-man'!Z$38&lt;=IF('2-man'!$BF$27="",999,'2-man'!$BF$27),OR('2-man'!Z$39="D",LEFT('2-man'!Z$39,3)="ST&gt;",OR(AND('2-man'!Z$40="ST&gt;1",Z40&gt;=100))))),'2-man'!Z$38,0)</f>
        <v/>
      </c>
      <c r="AA39">
        <f>IF(OR('2-man'!AA$39="P",'2-man'!AA$39="R",AND('2-man'!AA$38&lt;=IF('2-man'!$BF$27="",999,'2-man'!$BF$27),OR('2-man'!AA$39="D",LEFT('2-man'!AA$39,3)="ST&gt;",OR(AND('2-man'!AA$40="ST&gt;1",AA40&gt;=100))))),'2-man'!AA$38,0)</f>
        <v/>
      </c>
      <c r="AB39">
        <f>IF(OR('2-man'!AB$39="P",'2-man'!AB$39="R",AND('2-man'!AB$38&lt;=IF('2-man'!$BF$27="",999,'2-man'!$BF$27),OR('2-man'!AB$39="D",LEFT('2-man'!AB$39,3)="ST&gt;",OR(AND('2-man'!AB$40="ST&gt;1",AB40&gt;=100))))),'2-man'!AB$38,0)</f>
        <v/>
      </c>
      <c r="AC39">
        <f>IF(OR('2-man'!AC$39="P",'2-man'!AC$39="R",AND('2-man'!AC$38&lt;=IF('2-man'!$BF$27="",999,'2-man'!$BF$27),OR('2-man'!AC$39="D",LEFT('2-man'!AC$39,3)="ST&gt;",OR(AND('2-man'!AC$40="ST&gt;1",AC40&gt;=100))))),'2-man'!AC$38,0)</f>
        <v/>
      </c>
      <c r="AD39">
        <f>IF(OR('2-man'!AD$39="P",'2-man'!AD$39="R",AND('2-man'!AD$38&lt;=IF('2-man'!$BF$27="",999,'2-man'!$BF$27),OR('2-man'!AD$39="D",LEFT('2-man'!AD$39,3)="ST&gt;",OR(AND('2-man'!AD$40="ST&gt;1",AD40&gt;=100))))),'2-man'!AD$38,0)</f>
        <v/>
      </c>
      <c r="AE39">
        <f>IF(OR('2-man'!AE$39="P",'2-man'!AE$39="R",AND('2-man'!AE$38&lt;=IF('2-man'!$BF$27="",999,'2-man'!$BF$27),OR('2-man'!AE$39="D",LEFT('2-man'!AE$39,3)="ST&gt;",OR(AND('2-man'!AE$40="ST&gt;1",AE40&gt;=100))))),'2-man'!AE$38,0)</f>
        <v/>
      </c>
      <c r="AF39">
        <f>IF(OR('2-man'!AF$39="P",'2-man'!AF$39="R",AND('2-man'!AF$38&lt;=IF('2-man'!$BF$27="",999,'2-man'!$BF$27),OR('2-man'!AF$39="D",LEFT('2-man'!AF$39,3)="ST&gt;",OR(AND('2-man'!AF$40="ST&gt;1",AF40&gt;=100))))),'2-man'!AF$38,0)</f>
        <v/>
      </c>
      <c r="AG39">
        <f>IF(OR('2-man'!AG$39="P",'2-man'!AG$39="R",AND('2-man'!AG$38&lt;=IF('2-man'!$BF$27="",999,'2-man'!$BF$27),OR('2-man'!AG$39="D",LEFT('2-man'!AG$39,3)="ST&gt;",OR(AND('2-man'!AG$40="ST&gt;1",AG40&gt;=100))))),'2-man'!AG$38,0)</f>
        <v/>
      </c>
      <c r="AH39">
        <f>IF(OR('2-man'!AH$39="P",'2-man'!AH$39="R",AND('2-man'!AH$38&lt;=IF('2-man'!$BF$27="",999,'2-man'!$BF$27),OR('2-man'!AH$39="D",LEFT('2-man'!AH$39,3)="ST&gt;",OR(AND('2-man'!AH$40="ST&gt;1",AH40&gt;=100))))),'2-man'!AH$38,0)</f>
        <v/>
      </c>
      <c r="AI39">
        <f>IF(OR('2-man'!AI$39="P",'2-man'!AI$39="R",AND('2-man'!AI$38&lt;=IF('2-man'!$BF$27="",999,'2-man'!$BF$27),OR('2-man'!AI$39="D",LEFT('2-man'!AI$39,3)="ST&gt;",OR(AND('2-man'!AI$40="ST&gt;1",AI40&gt;=100))))),'2-man'!AI$38,0)</f>
        <v/>
      </c>
      <c r="AJ39">
        <f>IF(OR('2-man'!AJ$39="P",'2-man'!AJ$39="R",AND('2-man'!AJ$38&lt;=IF('2-man'!$BF$27="",999,'2-man'!$BF$27),OR('2-man'!AJ$39="D",LEFT('2-man'!AJ$39,3)="ST&gt;",OR(AND('2-man'!AJ$40="ST&gt;1",AJ40&gt;=100))))),'2-man'!AJ$38,0)</f>
        <v/>
      </c>
      <c r="AK39">
        <f>IF(OR('2-man'!AK$39="P",'2-man'!AK$39="R",AND('2-man'!AK$38&lt;=IF('2-man'!$BF$27="",999,'2-man'!$BF$27),OR('2-man'!AK$39="D",LEFT('2-man'!AK$39,3)="ST&gt;",OR(AND('2-man'!AK$40="ST&gt;1",AK40&gt;=100))))),'2-man'!AK$38,0)</f>
        <v/>
      </c>
      <c r="AL39">
        <f>IF(OR('2-man'!AL$39="P",'2-man'!AL$39="R",AND('2-man'!AL$38&lt;=IF('2-man'!$BF$27="",999,'2-man'!$BF$27),OR('2-man'!AL$39="D",LEFT('2-man'!AL$39,3)="ST&gt;",OR(AND('2-man'!AL$40="ST&gt;1",AL40&gt;=100))))),'2-man'!AL$38,0)</f>
        <v/>
      </c>
      <c r="AM39">
        <f>IF(OR('2-man'!AM$39="P",'2-man'!AM$39="R",AND('2-man'!AM$38&lt;=IF('2-man'!$BF$27="",999,'2-man'!$BF$27),OR('2-man'!AM$39="D",LEFT('2-man'!AM$39,3)="ST&gt;",OR(AND('2-man'!AM$40="ST&gt;1",AM40&gt;=100))))),'2-man'!AM$38,0)</f>
        <v/>
      </c>
      <c r="AN39">
        <f>IF(OR('2-man'!AN$39="P",'2-man'!AN$39="R",AND('2-man'!AN$38&lt;=IF('2-man'!$BF$27="",999,'2-man'!$BF$27),OR('2-man'!AN$39="D",LEFT('2-man'!AN$39,3)="ST&gt;",OR(AND('2-man'!AN$40="ST&gt;1",AN40&gt;=100))))),'2-man'!AN$38,0)</f>
        <v/>
      </c>
      <c r="AO39">
        <f>IF(OR('2-man'!AO$39="P",'2-man'!AO$39="R",AND('2-man'!AO$38&lt;=IF('2-man'!$BF$27="",999,'2-man'!$BF$27),OR('2-man'!AO$39="D",LEFT('2-man'!AO$39,3)="ST&gt;",OR(AND('2-man'!AO$40="ST&gt;1",AO40&gt;=100))))),'2-man'!AO$38,0)</f>
        <v/>
      </c>
      <c r="AP39">
        <f>IF(OR('2-man'!AP$39="P",'2-man'!AP$39="R",AND('2-man'!AP$38&lt;=IF('2-man'!$BF$27="",999,'2-man'!$BF$27),OR('2-man'!AP$39="D",LEFT('2-man'!AP$39,3)="ST&gt;",OR(AND('2-man'!AP$40="ST&gt;1",AP40&gt;=100))))),'2-man'!AP$38,0)</f>
        <v/>
      </c>
      <c r="AQ39">
        <f>IF(OR('2-man'!AQ$39="P",'2-man'!AQ$39="R",AND('2-man'!AQ$38&lt;=IF('2-man'!$BF$27="",999,'2-man'!$BF$27),OR('2-man'!AQ$39="D",LEFT('2-man'!AQ$39,3)="ST&gt;",OR(AND('2-man'!AQ$40="ST&gt;1",AQ40&gt;=100))))),'2-man'!AQ$38,0)</f>
        <v/>
      </c>
      <c r="AR39">
        <f>IF(OR('2-man'!AR$39="P",'2-man'!AR$39="R",AND('2-man'!AR$38&lt;=IF('2-man'!$BF$27="",999,'2-man'!$BF$27),OR('2-man'!AR$39="D",LEFT('2-man'!AR$39,3)="ST&gt;",OR(AND('2-man'!AR$40="ST&gt;1",AR40&gt;=100))))),'2-man'!AR$38,0)</f>
        <v/>
      </c>
      <c r="AS39">
        <f>IF(OR('2-man'!AS$39="P",'2-man'!AS$39="R",AND('2-man'!AS$38&lt;=IF('2-man'!$BF$27="",999,'2-man'!$BF$27),OR('2-man'!AS$39="D",LEFT('2-man'!AS$39,3)="ST&gt;",OR(AND('2-man'!AS$40="ST&gt;1",AS40&gt;=100))))),'2-man'!AS$38,0)</f>
        <v/>
      </c>
      <c r="AT39">
        <f>IF(OR('2-man'!AT$39="P",'2-man'!AT$39="R",AND('2-man'!AT$38&lt;=IF('2-man'!$BF$27="",999,'2-man'!$BF$27),OR('2-man'!AT$39="D",LEFT('2-man'!AT$39,3)="ST&gt;",OR(AND('2-man'!AT$40="ST&gt;1",AT40&gt;=100))))),'2-man'!AT$38,0)</f>
        <v/>
      </c>
      <c r="AU39">
        <f>IF(OR('2-man'!AU$39="P",'2-man'!AU$39="R",AND('2-man'!AU$38&lt;=IF('2-man'!$BF$27="",999,'2-man'!$BF$27),OR('2-man'!AU$39="D",LEFT('2-man'!AU$39,3)="ST&gt;",OR(AND('2-man'!AU$40="ST&gt;1",AU40&gt;=100))))),'2-man'!AU$38,0)</f>
        <v/>
      </c>
      <c r="AV39">
        <f>IF(OR('2-man'!AV$39="P",'2-man'!AV$39="R",AND('2-man'!AV$38&lt;=IF('2-man'!$BF$27="",999,'2-man'!$BF$27),OR('2-man'!AV$39="D",LEFT('2-man'!AV$39,3)="ST&gt;",OR(AND('2-man'!AV$40="ST&gt;1",AV40&gt;=100))))),'2-man'!AV$38,0)</f>
        <v/>
      </c>
      <c r="AW39">
        <f>IF(OR('2-man'!AW$39="P",'2-man'!AW$39="R",AND('2-man'!AW$38&lt;=IF('2-man'!$BF$27="",999,'2-man'!$BF$27),OR('2-man'!AW$39="D",LEFT('2-man'!AW$39,3)="ST&gt;",OR(AND('2-man'!AW$40="ST&gt;1",AW40&gt;=100))))),'2-man'!AW$38,0)</f>
        <v/>
      </c>
      <c r="AX39">
        <f>IF(OR('2-man'!AX$39="P",'2-man'!AX$39="R",AND('2-man'!AX$38&lt;=IF('2-man'!$BF$27="",999,'2-man'!$BF$27),OR('2-man'!AX$39="D",LEFT('2-man'!AX$39,3)="ST&gt;",OR(AND('2-man'!AX$40="ST&gt;1",AX40&gt;=100))))),'2-man'!AX$38,0)</f>
        <v/>
      </c>
      <c r="AY39">
        <f>IF(OR('2-man'!AY$39="P",'2-man'!AY$39="R",AND('2-man'!AY$38&lt;=IF('2-man'!$BF$27="",999,'2-man'!$BF$27),OR('2-man'!AY$39="D",LEFT('2-man'!AY$39,3)="ST&gt;",OR(AND('2-man'!AY$40="ST&gt;1",AY40&gt;=100))))),'2-man'!AY$38,0)</f>
        <v/>
      </c>
      <c r="AZ39">
        <f>IF(OR('2-man'!AZ$39="P",'2-man'!AZ$39="R",AND('2-man'!AZ$38&lt;=IF('2-man'!$BF$27="",999,'2-man'!$BF$27),OR('2-man'!AZ$39="D",LEFT('2-man'!AZ$39,3)="ST&gt;",OR(AND('2-man'!AZ$40="ST&gt;1",AZ40&gt;=100))))),'2-man'!AZ$38,0)</f>
        <v/>
      </c>
      <c r="BA39">
        <f>IF(OR('2-man'!BA$39="P",'2-man'!BA$39="R",AND('2-man'!BA$38&lt;=IF('2-man'!$BF$27="",999,'2-man'!$BF$27),OR('2-man'!BA$39="D",LEFT('2-man'!BA$39,3)="ST&gt;",OR(AND('2-man'!BA$40="ST&gt;1",BA40&gt;=100))))),'2-man'!BA$38,0)</f>
        <v/>
      </c>
      <c r="BB39">
        <f>IF(OR('2-man'!BB$39="P",'2-man'!BB$39="R",AND('2-man'!BB$38&lt;=IF('2-man'!$BF$27="",999,'2-man'!$BF$27),OR('2-man'!BB$39="D",LEFT('2-man'!BB$39,3)="ST&gt;",OR(AND('2-man'!BB$40="ST&gt;1",BB40&gt;=100))))),'2-man'!BB$38,0)</f>
        <v/>
      </c>
      <c r="BC39">
        <f>IF(OR('2-man'!BC$39="P",'2-man'!BC$39="R",AND('2-man'!BC$38&lt;=IF('2-man'!$BF$27="",999,'2-man'!$BF$27),OR('2-man'!BC$39="D",LEFT('2-man'!BC$39,3)="ST&gt;",OR(AND('2-man'!BC$40="ST&gt;1",BC40&gt;=100))))),'2-man'!BC$38,0)</f>
        <v/>
      </c>
      <c r="BD39">
        <f>IF(OR('2-man'!BD$39="P",'2-man'!BD$39="R",AND('2-man'!BD$38&lt;=IF('2-man'!$BF$27="",999,'2-man'!$BF$27),OR('2-man'!BD$39="D",LEFT('2-man'!BD$39,3)="ST&gt;",OR(AND('2-man'!BD$40="ST&gt;1",BD40&gt;=100))))),'2-man'!BD$38,0)</f>
        <v/>
      </c>
      <c r="BE39">
        <f>IF(OR('2-man'!BE$39="P",'2-man'!BE$39="R",AND('2-man'!BE$38&lt;=IF('2-man'!$BF$27="",999,'2-man'!$BF$27),OR('2-man'!BE$39="D",LEFT('2-man'!BE$39,3)="ST&gt;",OR(AND('2-man'!BE$40="ST&gt;1",BE40&gt;=100))))),'2-man'!BE$38,0)</f>
        <v/>
      </c>
      <c r="BF39">
        <f>IF(OR('2-man'!BF$39="P",'2-man'!BF$39="R",AND('2-man'!BF$38&lt;=IF('2-man'!$BF$27="",999,'2-man'!$BF$27),OR('2-man'!BF$39="D",LEFT('2-man'!BF$39,3)="ST&gt;",OR(AND('2-man'!BF$40="ST&gt;1",BF40&gt;=100))))),'2-man'!BF$38,0)</f>
        <v/>
      </c>
      <c r="BG39">
        <f>IF(OR('2-man'!BG$39="P",'2-man'!BG$39="R",AND('2-man'!BG$38&lt;=IF('2-man'!$BF$27="",999,'2-man'!$BF$27),OR('2-man'!BG$39="D",LEFT('2-man'!BG$39,3)="ST&gt;",OR(AND('2-man'!BG$40="ST&gt;1",BG40&gt;=100))))),'2-man'!BG$38,0)</f>
        <v/>
      </c>
      <c r="BH39">
        <f>IF(OR('2-man'!BH$39="P",'2-man'!BH$39="R",AND('2-man'!BH$38&lt;=IF('2-man'!$BF$27="",999,'2-man'!$BF$27),OR('2-man'!BH$39="D",LEFT('2-man'!BH$39,3)="ST&gt;",OR(AND('2-man'!BH$40="ST&gt;1",BH40&gt;=100))))),'2-man'!BH$38,0)</f>
        <v/>
      </c>
      <c r="BI39">
        <f>IF(OR('2-man'!BI$39="P",'2-man'!BI$39="R",AND('2-man'!BI$38&lt;=IF('2-man'!$BF$27="",999,'2-man'!$BF$27),OR('2-man'!BI$39="D",LEFT('2-man'!BI$39,3)="ST&gt;",OR(AND('2-man'!BI$40="ST&gt;1",BI40&gt;=100))))),'2-man'!BI$38,0)</f>
        <v/>
      </c>
      <c r="BJ39">
        <f>IF(OR('2-man'!BJ$39="P",'2-man'!BJ$39="R",AND('2-man'!BJ$38&lt;=IF('2-man'!$BF$27="",999,'2-man'!$BF$27),OR('2-man'!BJ$39="D",LEFT('2-man'!BJ$39,3)="ST&gt;",OR(AND('2-man'!BJ$40="ST&gt;1",BJ40&gt;=100))))),'2-man'!BJ$38,0)</f>
        <v/>
      </c>
      <c r="BK39">
        <f>IF(OR('2-man'!BK$39="P",'2-man'!BK$39="R",AND('2-man'!BK$38&lt;=IF('2-man'!$BF$27="",999,'2-man'!$BF$27),OR('2-man'!BK$39="D",LEFT('2-man'!BK$39,3)="ST&gt;",OR(AND('2-man'!BK$40="ST&gt;1",BK40&gt;=100))))),'2-man'!BK$38,0)</f>
        <v/>
      </c>
      <c r="BL39">
        <f>IF(OR('2-man'!BL$39="P",'2-man'!BL$39="R",AND('2-man'!BL$38&lt;=IF('2-man'!$BF$27="",999,'2-man'!$BF$27),OR('2-man'!BL$39="D",LEFT('2-man'!BL$39,3)="ST&gt;",OR(AND('2-man'!BL$40="ST&gt;1",BL40&gt;=100))))),'2-man'!BL$38,0)</f>
        <v/>
      </c>
      <c r="BM39">
        <f>IF(OR('2-man'!BM$39="P",'2-man'!BM$39="R",AND('2-man'!BM$38&lt;=IF('2-man'!$BF$27="",999,'2-man'!$BF$27),OR('2-man'!BM$39="D",LEFT('2-man'!BM$39,3)="ST&gt;",OR(AND('2-man'!BM$40="ST&gt;1",BM40&gt;=100))))),'2-man'!BM$38,0)</f>
        <v/>
      </c>
      <c r="BN39">
        <f>IF(OR('2-man'!BN$39="P",'2-man'!BN$39="R",AND('2-man'!BN$38&lt;=IF('2-man'!$BF$27="",999,'2-man'!$BF$27),OR('2-man'!BN$39="D",LEFT('2-man'!BN$39,3)="ST&gt;",OR(AND('2-man'!BN$40="ST&gt;1",BN40&gt;=100))))),'2-man'!BN$38,0)</f>
        <v/>
      </c>
      <c r="BO39">
        <f>IF(OR('2-man'!BO$39="P",'2-man'!BO$39="R",AND('2-man'!BO$38&lt;=IF('2-man'!$BF$27="",999,'2-man'!$BF$27),OR('2-man'!BO$39="D",LEFT('2-man'!BO$39,3)="ST&gt;",OR(AND('2-man'!BO$40="ST&gt;1",BO40&gt;=100))))),'2-man'!BO$38,0)</f>
        <v/>
      </c>
      <c r="BP39">
        <f>IF(OR('2-man'!BP$39="P",'2-man'!BP$39="R",AND('2-man'!BP$38&lt;=IF('2-man'!$BF$27="",999,'2-man'!$BF$27),OR('2-man'!BP$39="D",LEFT('2-man'!BP$39,3)="ST&gt;",OR(AND('2-man'!BP$40="ST&gt;1",BP40&gt;=100))))),'2-man'!BP$38,0)</f>
        <v/>
      </c>
      <c r="BQ39">
        <f>IF(OR('2-man'!BQ$39="P",'2-man'!BQ$39="R",AND('2-man'!BQ$38&lt;=IF('2-man'!$BF$27="",999,'2-man'!$BF$27),OR('2-man'!BQ$39="D",LEFT('2-man'!BQ$39,3)="ST&gt;",OR(AND('2-man'!BQ$40="ST&gt;1",BQ40&gt;=100))))),'2-man'!BQ$38,0)</f>
        <v/>
      </c>
      <c r="BR39">
        <f>IF(OR('2-man'!BR$39="P",'2-man'!BR$39="R",AND('2-man'!BR$38&lt;=IF('2-man'!$BF$27="",999,'2-man'!$BF$27),OR('2-man'!BR$39="D",LEFT('2-man'!BR$39,3)="ST&gt;",OR(AND('2-man'!BR$40="ST&gt;1",BR40&gt;=100))))),'2-man'!BR$38,0)</f>
        <v/>
      </c>
      <c r="BS39">
        <f>IF(OR('2-man'!BS$39="P",'2-man'!BS$39="R",AND('2-man'!BS$38&lt;=IF('2-man'!$BF$27="",999,'2-man'!$BF$27),OR('2-man'!BS$39="D",LEFT('2-man'!BS$39,3)="ST&gt;",OR(AND('2-man'!BS$40="ST&gt;1",BS40&gt;=100))))),'2-man'!BS$38,0)</f>
        <v/>
      </c>
      <c r="BT39">
        <f>IF(OR('2-man'!BT$39="P",'2-man'!BT$39="R",AND('2-man'!BT$38&lt;=IF('2-man'!$BF$27="",999,'2-man'!$BF$27),OR('2-man'!BT$39="D",LEFT('2-man'!BT$39,3)="ST&gt;",OR(AND('2-man'!BT$40="ST&gt;1",BT40&gt;=100))))),'2-man'!BT$38,0)</f>
        <v/>
      </c>
      <c r="BU39">
        <f>IF(OR('2-man'!BU$39="P",'2-man'!BU$39="R",AND('2-man'!BU$38&lt;=IF('2-man'!$BF$27="",999,'2-man'!$BF$27),OR('2-man'!BU$39="D",LEFT('2-man'!BU$39,3)="ST&gt;",OR(AND('2-man'!BU$40="ST&gt;1",BU40&gt;=100))))),'2-man'!BU$38,0)</f>
        <v/>
      </c>
      <c r="BV39">
        <f>IF(OR('2-man'!BV$39="P",'2-man'!BV$39="R",AND('2-man'!BV$38&lt;=IF('2-man'!$BF$27="",999,'2-man'!$BF$27),OR('2-man'!BV$39="D",LEFT('2-man'!BV$39,3)="ST&gt;",OR(AND('2-man'!BV$40="ST&gt;1",BV40&gt;=100))))),'2-man'!BV$38,0)</f>
        <v/>
      </c>
      <c r="BW39">
        <f>IF(OR('2-man'!BW$39="P",'2-man'!BW$39="R",AND('2-man'!BW$38&lt;=IF('2-man'!$BF$27="",999,'2-man'!$BF$27),OR('2-man'!BW$39="D",LEFT('2-man'!BW$39,3)="ST&gt;",OR(AND('2-man'!BW$40="ST&gt;1",BW40&gt;=100))))),'2-man'!BW$38,0)</f>
        <v/>
      </c>
      <c r="BX39">
        <f>IF(OR('2-man'!BX$39="P",'2-man'!BX$39="R",AND('2-man'!BX$38&lt;=IF('2-man'!$BF$27="",999,'2-man'!$BF$27),OR('2-man'!BX$39="D",LEFT('2-man'!BX$39,3)="ST&gt;",OR(AND('2-man'!BX$40="ST&gt;1",BX40&gt;=100))))),'2-man'!BX$38,0)</f>
        <v/>
      </c>
      <c r="BY39">
        <f>IF(OR('2-man'!BY$39="P",'2-man'!BY$39="R",AND('2-man'!BY$38&lt;=IF('2-man'!$BF$27="",999,'2-man'!$BF$27),OR('2-man'!BY$39="D",LEFT('2-man'!BY$39,3)="ST&gt;",OR(AND('2-man'!BY$40="ST&gt;1",BY40&gt;=100))))),'2-man'!BY$38,0)</f>
        <v/>
      </c>
      <c r="BZ39">
        <f>IF(OR('2-man'!BZ$39="P",'2-man'!BZ$39="R",AND('2-man'!BZ$38&lt;=IF('2-man'!$BF$27="",999,'2-man'!$BF$27),OR('2-man'!BZ$39="D",LEFT('2-man'!BZ$39,3)="ST&gt;",OR(AND('2-man'!BZ$40="ST&gt;1",BZ40&gt;=100))))),'2-man'!BZ$38,0)</f>
        <v/>
      </c>
      <c r="CA39">
        <f>IF(OR('2-man'!CA$39="P",'2-man'!CA$39="R",AND('2-man'!CA$38&lt;=IF('2-man'!$BF$27="",999,'2-man'!$BF$27),OR('2-man'!CA$39="D",LEFT('2-man'!CA$39,3)="ST&gt;",OR(AND('2-man'!CA$40="ST&gt;1",CA40&gt;=100))))),'2-man'!CA$38,0)</f>
        <v/>
      </c>
      <c r="CB39">
        <f>IF(OR('2-man'!CB$39="P",'2-man'!CB$39="R",AND('2-man'!CB$38&lt;=IF('2-man'!$BF$27="",999,'2-man'!$BF$27),OR('2-man'!CB$39="D",LEFT('2-man'!CB$39,3)="ST&gt;",OR(AND('2-man'!CB$40="ST&gt;1",CB40&gt;=100))))),'2-man'!CB$38,0)</f>
        <v/>
      </c>
      <c r="CC39">
        <f>IF(OR('2-man'!CC$39="P",'2-man'!CC$39="R",AND('2-man'!CC$38&lt;=IF('2-man'!$BF$27="",999,'2-man'!$BF$27),OR('2-man'!CC$39="D",LEFT('2-man'!CC$39,3)="ST&gt;",OR(AND('2-man'!CC$40="ST&gt;1",CC40&gt;=100))))),'2-man'!CC$38,0)</f>
        <v/>
      </c>
      <c r="CD39">
        <f>IF(OR('2-man'!CD$39="P",'2-man'!CD$39="R",AND('2-man'!CD$38&lt;=IF('2-man'!$BF$27="",999,'2-man'!$BF$27),OR('2-man'!CD$39="D",LEFT('2-man'!CD$39,3)="ST&gt;",OR(AND('2-man'!CD$40="ST&gt;1",CD40&gt;=100))))),'2-man'!CD$38,0)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MIN(100,B41+IF(AND(B41&lt;100,B42+1&gt;=IF(OR('2-man'!$F$28=TRUE,'2-man'!$F$28="TRUE",'2-man'!$F$28="Yes"),25,50)),10,0)+IF('2-man'!C$38=$Q$46,25,0))</f>
        <v/>
      </c>
      <c r="D40">
        <f>MIN(100,C41+IF(AND(C41&lt;100,C42+1&gt;=IF(OR('2-man'!$F$28=TRUE,'2-man'!$F$28="TRUE",'2-man'!$F$28="Yes"),25,50)),10,0)+IF('2-man'!D$38=$Q$46,25,0))</f>
        <v/>
      </c>
      <c r="E40">
        <f>MIN(100,D41+IF(AND(D41&lt;100,D42+1&gt;=IF(OR('2-man'!$F$28=TRUE,'2-man'!$F$28="TRUE",'2-man'!$F$28="Yes"),25,50)),10,0)+IF('2-man'!E$38=$Q$46,25,0))</f>
        <v/>
      </c>
      <c r="F40">
        <f>MIN(100,E41+IF(AND(E41&lt;100,E42+1&gt;=IF(OR('2-man'!$F$28=TRUE,'2-man'!$F$28="TRUE",'2-man'!$F$28="Yes"),25,50)),10,0)+IF('2-man'!F$38=$Q$46,25,0))</f>
        <v/>
      </c>
      <c r="G40">
        <f>MIN(100,F41+IF(AND(F41&lt;100,F42+1&gt;=IF(OR('2-man'!$F$28=TRUE,'2-man'!$F$28="TRUE",'2-man'!$F$28="Yes"),25,50)),10,0)+IF('2-man'!G$38=$Q$46,25,0))</f>
        <v/>
      </c>
      <c r="H40">
        <f>MIN(100,G41+IF(AND(G41&lt;100,G42+1&gt;=IF(OR('2-man'!$F$28=TRUE,'2-man'!$F$28="TRUE",'2-man'!$F$28="Yes"),25,50)),10,0)+IF('2-man'!H$38=$Q$46,25,0))</f>
        <v/>
      </c>
      <c r="I40">
        <f>MIN(100,H41+IF(AND(H41&lt;100,H42+1&gt;=IF(OR('2-man'!$F$28=TRUE,'2-man'!$F$28="TRUE",'2-man'!$F$28="Yes"),25,50)),10,0)+IF('2-man'!I$38=$Q$46,25,0))</f>
        <v/>
      </c>
      <c r="J40">
        <f>MIN(100,I41+IF(AND(I41&lt;100,I42+1&gt;=IF(OR('2-man'!$F$28=TRUE,'2-man'!$F$28="TRUE",'2-man'!$F$28="Yes"),25,50)),10,0)+IF('2-man'!J$38=$Q$46,25,0))</f>
        <v/>
      </c>
      <c r="K40">
        <f>MIN(100,J41+IF(AND(J41&lt;100,J42+1&gt;=IF(OR('2-man'!$F$28=TRUE,'2-man'!$F$28="TRUE",'2-man'!$F$28="Yes"),25,50)),10,0)+IF('2-man'!K$38=$Q$46,25,0))</f>
        <v/>
      </c>
      <c r="L40">
        <f>MIN(100,K41+IF(AND(K41&lt;100,K42+1&gt;=IF(OR('2-man'!$F$28=TRUE,'2-man'!$F$28="TRUE",'2-man'!$F$28="Yes"),25,50)),10,0)+IF('2-man'!L$38=$Q$46,25,0))</f>
        <v/>
      </c>
      <c r="M40">
        <f>MIN(100,L41+IF(AND(L41&lt;100,L42+1&gt;=IF(OR('2-man'!$F$28=TRUE,'2-man'!$F$28="TRUE",'2-man'!$F$28="Yes"),25,50)),10,0)+IF('2-man'!M$38=$Q$46,25,0))</f>
        <v/>
      </c>
      <c r="N40">
        <f>MIN(100,M41+IF(AND(M41&lt;100,M42+1&gt;=IF(OR('2-man'!$F$28=TRUE,'2-man'!$F$28="TRUE",'2-man'!$F$28="Yes"),25,50)),10,0)+IF('2-man'!N$38=$Q$46,25,0))</f>
        <v/>
      </c>
      <c r="O40">
        <f>MIN(100,N41+IF(AND(N41&lt;100,N42+1&gt;=IF(OR('2-man'!$F$28=TRUE,'2-man'!$F$28="TRUE",'2-man'!$F$28="Yes"),25,50)),10,0)+IF('2-man'!O$38=$Q$46,25,0))</f>
        <v/>
      </c>
      <c r="P40">
        <f>MIN(100,O41+IF(AND(O41&lt;100,O42+1&gt;=IF(OR('2-man'!$F$28=TRUE,'2-man'!$F$28="TRUE",'2-man'!$F$28="Yes"),25,50)),10,0)+IF('2-man'!P$38=$Q$46,25,0))</f>
        <v/>
      </c>
      <c r="Q40">
        <f>MIN(100,P41+IF(AND(P41&lt;100,P42+1&gt;=IF(OR('2-man'!$F$28=TRUE,'2-man'!$F$28="TRUE",'2-man'!$F$28="Yes"),25,50)),10,0)+IF('2-man'!Q$38=$Q$46,25,0))</f>
        <v/>
      </c>
      <c r="R40">
        <f>MIN(100,Q41+IF(AND(Q41&lt;100,Q42+1&gt;=IF(OR('2-man'!$F$28=TRUE,'2-man'!$F$28="TRUE",'2-man'!$F$28="Yes"),25,50)),10,0)+IF('2-man'!R$38=$Q$46,25,0))</f>
        <v/>
      </c>
      <c r="S40">
        <f>MIN(100,R41+IF(AND(R41&lt;100,R42+1&gt;=IF(OR('2-man'!$F$28=TRUE,'2-man'!$F$28="TRUE",'2-man'!$F$28="Yes"),25,50)),10,0)+IF('2-man'!S$38=$Q$46,25,0))</f>
        <v/>
      </c>
      <c r="T40">
        <f>MIN(100,S41+IF(AND(S41&lt;100,S42+1&gt;=IF(OR('2-man'!$F$28=TRUE,'2-man'!$F$28="TRUE",'2-man'!$F$28="Yes"),25,50)),10,0)+IF('2-man'!T$38=$Q$46,25,0))</f>
        <v/>
      </c>
      <c r="U40">
        <f>MIN(100,T41+IF(AND(T41&lt;100,T42+1&gt;=IF(OR('2-man'!$F$28=TRUE,'2-man'!$F$28="TRUE",'2-man'!$F$28="Yes"),25,50)),10,0)+IF('2-man'!U$38=$Q$46,25,0))</f>
        <v/>
      </c>
      <c r="V40">
        <f>MIN(100,U41+IF(AND(U41&lt;100,U42+1&gt;=IF(OR('2-man'!$F$28=TRUE,'2-man'!$F$28="TRUE",'2-man'!$F$28="Yes"),25,50)),10,0)+IF('2-man'!V$38=$Q$46,25,0))</f>
        <v/>
      </c>
      <c r="W40">
        <f>MIN(100,V41+IF(AND(V41&lt;100,V42+1&gt;=IF(OR('2-man'!$F$28=TRUE,'2-man'!$F$28="TRUE",'2-man'!$F$28="Yes"),25,50)),10,0)+IF('2-man'!W$38=$Q$46,25,0))</f>
        <v/>
      </c>
      <c r="X40">
        <f>MIN(100,W41+IF(AND(W41&lt;100,W42+1&gt;=IF(OR('2-man'!$F$28=TRUE,'2-man'!$F$28="TRUE",'2-man'!$F$28="Yes"),25,50)),10,0)+IF('2-man'!X$38=$Q$46,25,0))</f>
        <v/>
      </c>
      <c r="Y40">
        <f>MIN(100,X41+IF(AND(X41&lt;100,X42+1&gt;=IF(OR('2-man'!$F$28=TRUE,'2-man'!$F$28="TRUE",'2-man'!$F$28="Yes"),25,50)),10,0)+IF('2-man'!Y$38=$Q$46,25,0))</f>
        <v/>
      </c>
      <c r="Z40">
        <f>MIN(100,Y41+IF(AND(Y41&lt;100,Y42+1&gt;=IF(OR('2-man'!$F$28=TRUE,'2-man'!$F$28="TRUE",'2-man'!$F$28="Yes"),25,50)),10,0)+IF('2-man'!Z$38=$Q$46,25,0))</f>
        <v/>
      </c>
      <c r="AA40">
        <f>MIN(100,Z41+IF(AND(Z41&lt;100,Z42+1&gt;=IF(OR('2-man'!$F$28=TRUE,'2-man'!$F$28="TRUE",'2-man'!$F$28="Yes"),25,50)),10,0)+IF('2-man'!AA$38=$Q$46,25,0))</f>
        <v/>
      </c>
      <c r="AB40">
        <f>MIN(100,AA41+IF(AND(AA41&lt;100,AA42+1&gt;=IF(OR('2-man'!$F$28=TRUE,'2-man'!$F$28="TRUE",'2-man'!$F$28="Yes"),25,50)),10,0)+IF('2-man'!AB$38=$Q$46,25,0))</f>
        <v/>
      </c>
      <c r="AC40">
        <f>MIN(100,AB41+IF(AND(AB41&lt;100,AB42+1&gt;=IF(OR('2-man'!$F$28=TRUE,'2-man'!$F$28="TRUE",'2-man'!$F$28="Yes"),25,50)),10,0)+IF('2-man'!AC$38=$Q$46,25,0))</f>
        <v/>
      </c>
      <c r="AD40">
        <f>MIN(100,AC41+IF(AND(AC41&lt;100,AC42+1&gt;=IF(OR('2-man'!$F$28=TRUE,'2-man'!$F$28="TRUE",'2-man'!$F$28="Yes"),25,50)),10,0)+IF('2-man'!AD$38=$Q$46,25,0))</f>
        <v/>
      </c>
      <c r="AE40">
        <f>MIN(100,AD41+IF(AND(AD41&lt;100,AD42+1&gt;=IF(OR('2-man'!$F$28=TRUE,'2-man'!$F$28="TRUE",'2-man'!$F$28="Yes"),25,50)),10,0)+IF('2-man'!AE$38=$Q$46,25,0))</f>
        <v/>
      </c>
      <c r="AF40">
        <f>MIN(100,AE41+IF(AND(AE41&lt;100,AE42+1&gt;=IF(OR('2-man'!$F$28=TRUE,'2-man'!$F$28="TRUE",'2-man'!$F$28="Yes"),25,50)),10,0)+IF('2-man'!AF$38=$Q$46,25,0))</f>
        <v/>
      </c>
      <c r="AG40">
        <f>MIN(100,AF41+IF(AND(AF41&lt;100,AF42+1&gt;=IF(OR('2-man'!$F$28=TRUE,'2-man'!$F$28="TRUE",'2-man'!$F$28="Yes"),25,50)),10,0)+IF('2-man'!AG$38=$Q$46,25,0))</f>
        <v/>
      </c>
      <c r="AH40">
        <f>MIN(100,AG41+IF(AND(AG41&lt;100,AG42+1&gt;=IF(OR('2-man'!$F$28=TRUE,'2-man'!$F$28="TRUE",'2-man'!$F$28="Yes"),25,50)),10,0)+IF('2-man'!AH$38=$Q$46,25,0))</f>
        <v/>
      </c>
      <c r="AI40">
        <f>MIN(100,AH41+IF(AND(AH41&lt;100,AH42+1&gt;=IF(OR('2-man'!$F$28=TRUE,'2-man'!$F$28="TRUE",'2-man'!$F$28="Yes"),25,50)),10,0)+IF('2-man'!AI$38=$Q$46,25,0))</f>
        <v/>
      </c>
      <c r="AJ40">
        <f>MIN(100,AI41+IF(AND(AI41&lt;100,AI42+1&gt;=IF(OR('2-man'!$F$28=TRUE,'2-man'!$F$28="TRUE",'2-man'!$F$28="Yes"),25,50)),10,0)+IF('2-man'!AJ$38=$Q$46,25,0))</f>
        <v/>
      </c>
      <c r="AK40">
        <f>MIN(100,AJ41+IF(AND(AJ41&lt;100,AJ42+1&gt;=IF(OR('2-man'!$F$28=TRUE,'2-man'!$F$28="TRUE",'2-man'!$F$28="Yes"),25,50)),10,0)+IF('2-man'!AK$38=$Q$46,25,0))</f>
        <v/>
      </c>
      <c r="AL40">
        <f>MIN(100,AK41+IF(AND(AK41&lt;100,AK42+1&gt;=IF(OR('2-man'!$F$28=TRUE,'2-man'!$F$28="TRUE",'2-man'!$F$28="Yes"),25,50)),10,0)+IF('2-man'!AL$38=$Q$46,25,0))</f>
        <v/>
      </c>
      <c r="AM40">
        <f>MIN(100,AL41+IF(AND(AL41&lt;100,AL42+1&gt;=IF(OR('2-man'!$F$28=TRUE,'2-man'!$F$28="TRUE",'2-man'!$F$28="Yes"),25,50)),10,0)+IF('2-man'!AM$38=$Q$46,25,0))</f>
        <v/>
      </c>
      <c r="AN40">
        <f>MIN(100,AM41+IF(AND(AM41&lt;100,AM42+1&gt;=IF(OR('2-man'!$F$28=TRUE,'2-man'!$F$28="TRUE",'2-man'!$F$28="Yes"),25,50)),10,0)+IF('2-man'!AN$38=$Q$46,25,0))</f>
        <v/>
      </c>
      <c r="AO40">
        <f>MIN(100,AN41+IF(AND(AN41&lt;100,AN42+1&gt;=IF(OR('2-man'!$F$28=TRUE,'2-man'!$F$28="TRUE",'2-man'!$F$28="Yes"),25,50)),10,0)+IF('2-man'!AO$38=$Q$46,25,0))</f>
        <v/>
      </c>
      <c r="AP40">
        <f>MIN(100,AO41+IF(AND(AO41&lt;100,AO42+1&gt;=IF(OR('2-man'!$F$28=TRUE,'2-man'!$F$28="TRUE",'2-man'!$F$28="Yes"),25,50)),10,0)+IF('2-man'!AP$38=$Q$46,25,0))</f>
        <v/>
      </c>
      <c r="AQ40">
        <f>MIN(100,AP41+IF(AND(AP41&lt;100,AP42+1&gt;=IF(OR('2-man'!$F$28=TRUE,'2-man'!$F$28="TRUE",'2-man'!$F$28="Yes"),25,50)),10,0)+IF('2-man'!AQ$38=$Q$46,25,0))</f>
        <v/>
      </c>
      <c r="AR40">
        <f>MIN(100,AQ41+IF(AND(AQ41&lt;100,AQ42+1&gt;=IF(OR('2-man'!$F$28=TRUE,'2-man'!$F$28="TRUE",'2-man'!$F$28="Yes"),25,50)),10,0)+IF('2-man'!AR$38=$Q$46,25,0))</f>
        <v/>
      </c>
      <c r="AS40">
        <f>MIN(100,AR41+IF(AND(AR41&lt;100,AR42+1&gt;=IF(OR('2-man'!$F$28=TRUE,'2-man'!$F$28="TRUE",'2-man'!$F$28="Yes"),25,50)),10,0)+IF('2-man'!AS$38=$Q$46,25,0))</f>
        <v/>
      </c>
      <c r="AT40">
        <f>MIN(100,AS41+IF(AND(AS41&lt;100,AS42+1&gt;=IF(OR('2-man'!$F$28=TRUE,'2-man'!$F$28="TRUE",'2-man'!$F$28="Yes"),25,50)),10,0)+IF('2-man'!AT$38=$Q$46,25,0))</f>
        <v/>
      </c>
      <c r="AU40">
        <f>MIN(100,AT41+IF(AND(AT41&lt;100,AT42+1&gt;=IF(OR('2-man'!$F$28=TRUE,'2-man'!$F$28="TRUE",'2-man'!$F$28="Yes"),25,50)),10,0)+IF('2-man'!AU$38=$Q$46,25,0))</f>
        <v/>
      </c>
      <c r="AV40">
        <f>MIN(100,AU41+IF(AND(AU41&lt;100,AU42+1&gt;=IF(OR('2-man'!$F$28=TRUE,'2-man'!$F$28="TRUE",'2-man'!$F$28="Yes"),25,50)),10,0)+IF('2-man'!AV$38=$Q$46,25,0))</f>
        <v/>
      </c>
      <c r="AW40">
        <f>MIN(100,AV41+IF(AND(AV41&lt;100,AV42+1&gt;=IF(OR('2-man'!$F$28=TRUE,'2-man'!$F$28="TRUE",'2-man'!$F$28="Yes"),25,50)),10,0)+IF('2-man'!AW$38=$Q$46,25,0))</f>
        <v/>
      </c>
      <c r="AX40">
        <f>MIN(100,AW41+IF(AND(AW41&lt;100,AW42+1&gt;=IF(OR('2-man'!$F$28=TRUE,'2-man'!$F$28="TRUE",'2-man'!$F$28="Yes"),25,50)),10,0)+IF('2-man'!AX$38=$Q$46,25,0))</f>
        <v/>
      </c>
      <c r="AY40">
        <f>MIN(100,AX41+IF(AND(AX41&lt;100,AX42+1&gt;=IF(OR('2-man'!$F$28=TRUE,'2-man'!$F$28="TRUE",'2-man'!$F$28="Yes"),25,50)),10,0)+IF('2-man'!AY$38=$Q$46,25,0))</f>
        <v/>
      </c>
      <c r="AZ40">
        <f>MIN(100,AY41+IF(AND(AY41&lt;100,AY42+1&gt;=IF(OR('2-man'!$F$28=TRUE,'2-man'!$F$28="TRUE",'2-man'!$F$28="Yes"),25,50)),10,0)+IF('2-man'!AZ$38=$Q$46,25,0))</f>
        <v/>
      </c>
      <c r="BA40">
        <f>MIN(100,AZ41+IF(AND(AZ41&lt;100,AZ42+1&gt;=IF(OR('2-man'!$F$28=TRUE,'2-man'!$F$28="TRUE",'2-man'!$F$28="Yes"),25,50)),10,0)+IF('2-man'!BA$38=$Q$46,25,0))</f>
        <v/>
      </c>
      <c r="BB40">
        <f>MIN(100,BA41+IF(AND(BA41&lt;100,BA42+1&gt;=IF(OR('2-man'!$F$28=TRUE,'2-man'!$F$28="TRUE",'2-man'!$F$28="Yes"),25,50)),10,0)+IF('2-man'!BB$38=$Q$46,25,0))</f>
        <v/>
      </c>
      <c r="BC40">
        <f>MIN(100,BB41+IF(AND(BB41&lt;100,BB42+1&gt;=IF(OR('2-man'!$F$28=TRUE,'2-man'!$F$28="TRUE",'2-man'!$F$28="Yes"),25,50)),10,0)+IF('2-man'!BC$38=$Q$46,25,0))</f>
        <v/>
      </c>
      <c r="BD40">
        <f>MIN(100,BC41+IF(AND(BC41&lt;100,BC42+1&gt;=IF(OR('2-man'!$F$28=TRUE,'2-man'!$F$28="TRUE",'2-man'!$F$28="Yes"),25,50)),10,0)+IF('2-man'!BD$38=$Q$46,25,0))</f>
        <v/>
      </c>
      <c r="BE40">
        <f>MIN(100,BD41+IF(AND(BD41&lt;100,BD42+1&gt;=IF(OR('2-man'!$F$28=TRUE,'2-man'!$F$28="TRUE",'2-man'!$F$28="Yes"),25,50)),10,0)+IF('2-man'!BE$38=$Q$46,25,0))</f>
        <v/>
      </c>
      <c r="BF40">
        <f>MIN(100,BE41+IF(AND(BE41&lt;100,BE42+1&gt;=IF(OR('2-man'!$F$28=TRUE,'2-man'!$F$28="TRUE",'2-man'!$F$28="Yes"),25,50)),10,0)+IF('2-man'!BF$38=$Q$46,25,0))</f>
        <v/>
      </c>
      <c r="BG40">
        <f>MIN(100,BF41+IF(AND(BF41&lt;100,BF42+1&gt;=IF(OR('2-man'!$F$28=TRUE,'2-man'!$F$28="TRUE",'2-man'!$F$28="Yes"),25,50)),10,0)+IF('2-man'!BG$38=$Q$46,25,0))</f>
        <v/>
      </c>
      <c r="BH40">
        <f>MIN(100,BG41+IF(AND(BG41&lt;100,BG42+1&gt;=IF(OR('2-man'!$F$28=TRUE,'2-man'!$F$28="TRUE",'2-man'!$F$28="Yes"),25,50)),10,0)+IF('2-man'!BH$38=$Q$46,25,0))</f>
        <v/>
      </c>
      <c r="BI40">
        <f>MIN(100,BH41+IF(AND(BH41&lt;100,BH42+1&gt;=IF(OR('2-man'!$F$28=TRUE,'2-man'!$F$28="TRUE",'2-man'!$F$28="Yes"),25,50)),10,0)+IF('2-man'!BI$38=$Q$46,25,0))</f>
        <v/>
      </c>
      <c r="BJ40">
        <f>MIN(100,BI41+IF(AND(BI41&lt;100,BI42+1&gt;=IF(OR('2-man'!$F$28=TRUE,'2-man'!$F$28="TRUE",'2-man'!$F$28="Yes"),25,50)),10,0)+IF('2-man'!BJ$38=$Q$46,25,0))</f>
        <v/>
      </c>
      <c r="BK40">
        <f>MIN(100,BJ41+IF(AND(BJ41&lt;100,BJ42+1&gt;=IF(OR('2-man'!$F$28=TRUE,'2-man'!$F$28="TRUE",'2-man'!$F$28="Yes"),25,50)),10,0)+IF('2-man'!BK$38=$Q$46,25,0))</f>
        <v/>
      </c>
      <c r="BL40">
        <f>MIN(100,BK41+IF(AND(BK41&lt;100,BK42+1&gt;=IF(OR('2-man'!$F$28=TRUE,'2-man'!$F$28="TRUE",'2-man'!$F$28="Yes"),25,50)),10,0)+IF('2-man'!BL$38=$Q$46,25,0))</f>
        <v/>
      </c>
      <c r="BM40">
        <f>MIN(100,BL41+IF(AND(BL41&lt;100,BL42+1&gt;=IF(OR('2-man'!$F$28=TRUE,'2-man'!$F$28="TRUE",'2-man'!$F$28="Yes"),25,50)),10,0)+IF('2-man'!BM$38=$Q$46,25,0))</f>
        <v/>
      </c>
      <c r="BN40">
        <f>MIN(100,BM41+IF(AND(BM41&lt;100,BM42+1&gt;=IF(OR('2-man'!$F$28=TRUE,'2-man'!$F$28="TRUE",'2-man'!$F$28="Yes"),25,50)),10,0)+IF('2-man'!BN$38=$Q$46,25,0))</f>
        <v/>
      </c>
      <c r="BO40">
        <f>MIN(100,BN41+IF(AND(BN41&lt;100,BN42+1&gt;=IF(OR('2-man'!$F$28=TRUE,'2-man'!$F$28="TRUE",'2-man'!$F$28="Yes"),25,50)),10,0)+IF('2-man'!BO$38=$Q$46,25,0))</f>
        <v/>
      </c>
      <c r="BP40">
        <f>MIN(100,BO41+IF(AND(BO41&lt;100,BO42+1&gt;=IF(OR('2-man'!$F$28=TRUE,'2-man'!$F$28="TRUE",'2-man'!$F$28="Yes"),25,50)),10,0)+IF('2-man'!BP$38=$Q$46,25,0))</f>
        <v/>
      </c>
      <c r="BQ40">
        <f>MIN(100,BP41+IF(AND(BP41&lt;100,BP42+1&gt;=IF(OR('2-man'!$F$28=TRUE,'2-man'!$F$28="TRUE",'2-man'!$F$28="Yes"),25,50)),10,0)+IF('2-man'!BQ$38=$Q$46,25,0))</f>
        <v/>
      </c>
      <c r="BR40">
        <f>MIN(100,BQ41+IF(AND(BQ41&lt;100,BQ42+1&gt;=IF(OR('2-man'!$F$28=TRUE,'2-man'!$F$28="TRUE",'2-man'!$F$28="Yes"),25,50)),10,0)+IF('2-man'!BR$38=$Q$46,25,0))</f>
        <v/>
      </c>
      <c r="BS40">
        <f>MIN(100,BR41+IF(AND(BR41&lt;100,BR42+1&gt;=IF(OR('2-man'!$F$28=TRUE,'2-man'!$F$28="TRUE",'2-man'!$F$28="Yes"),25,50)),10,0)+IF('2-man'!BS$38=$Q$46,25,0))</f>
        <v/>
      </c>
      <c r="BT40">
        <f>MIN(100,BS41+IF(AND(BS41&lt;100,BS42+1&gt;=IF(OR('2-man'!$F$28=TRUE,'2-man'!$F$28="TRUE",'2-man'!$F$28="Yes"),25,50)),10,0)+IF('2-man'!BT$38=$Q$46,25,0))</f>
        <v/>
      </c>
      <c r="BU40">
        <f>MIN(100,BT41+IF(AND(BT41&lt;100,BT42+1&gt;=IF(OR('2-man'!$F$28=TRUE,'2-man'!$F$28="TRUE",'2-man'!$F$28="Yes"),25,50)),10,0)+IF('2-man'!BU$38=$Q$46,25,0))</f>
        <v/>
      </c>
      <c r="BV40">
        <f>MIN(100,BU41+IF(AND(BU41&lt;100,BU42+1&gt;=IF(OR('2-man'!$F$28=TRUE,'2-man'!$F$28="TRUE",'2-man'!$F$28="Yes"),25,50)),10,0)+IF('2-man'!BV$38=$Q$46,25,0))</f>
        <v/>
      </c>
      <c r="BW40">
        <f>MIN(100,BV41+IF(AND(BV41&lt;100,BV42+1&gt;=IF(OR('2-man'!$F$28=TRUE,'2-man'!$F$28="TRUE",'2-man'!$F$28="Yes"),25,50)),10,0)+IF('2-man'!BW$38=$Q$46,25,0))</f>
        <v/>
      </c>
      <c r="BX40">
        <f>MIN(100,BW41+IF(AND(BW41&lt;100,BW42+1&gt;=IF(OR('2-man'!$F$28=TRUE,'2-man'!$F$28="TRUE",'2-man'!$F$28="Yes"),25,50)),10,0)+IF('2-man'!BX$38=$Q$46,25,0))</f>
        <v/>
      </c>
      <c r="BY40">
        <f>MIN(100,BX41+IF(AND(BX41&lt;100,BX42+1&gt;=IF(OR('2-man'!$F$28=TRUE,'2-man'!$F$28="TRUE",'2-man'!$F$28="Yes"),25,50)),10,0)+IF('2-man'!BY$38=$Q$46,25,0))</f>
        <v/>
      </c>
      <c r="BZ40">
        <f>MIN(100,BY41+IF(AND(BY41&lt;100,BY42+1&gt;=IF(OR('2-man'!$F$28=TRUE,'2-man'!$F$28="TRUE",'2-man'!$F$28="Yes"),25,50)),10,0)+IF('2-man'!BZ$38=$Q$46,25,0))</f>
        <v/>
      </c>
      <c r="CA40">
        <f>MIN(100,BZ41+IF(AND(BZ41&lt;100,BZ42+1&gt;=IF(OR('2-man'!$F$28=TRUE,'2-man'!$F$28="TRUE",'2-man'!$F$28="Yes"),25,50)),10,0)+IF('2-man'!CA$38=$Q$46,25,0))</f>
        <v/>
      </c>
      <c r="CB40">
        <f>MIN(100,CA41+IF(AND(CA41&lt;100,CA42+1&gt;=IF(OR('2-man'!$F$28=TRUE,'2-man'!$F$28="TRUE",'2-man'!$F$28="Yes"),25,50)),10,0)+IF('2-man'!CB$38=$Q$46,25,0))</f>
        <v/>
      </c>
      <c r="CC40">
        <f>MIN(100,CB41+IF(AND(CB41&lt;100,CB42+1&gt;=IF(OR('2-man'!$F$28=TRUE,'2-man'!$F$28="TRUE",'2-man'!$F$28="Yes"),25,50)),10,0)+IF('2-man'!CC$38=$Q$46,25,0))</f>
        <v/>
      </c>
      <c r="CD40">
        <f>MIN(100,CC41+IF(AND(CC41&lt;100,CC42+1&gt;=IF(OR('2-man'!$F$28=TRUE,'2-man'!$F$28="TRUE",'2-man'!$F$28="Yes"),25,50)),10,0)+IF('2-man'!CD$38=$Q$46,25,0))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2-man'!C$40="R",MIN(100,C40+10),IF('2-man'!C$40="P",MIN(100,C40+25),IF(AND('2-man'!C$40="D",C40&gt;=35,'2-man'!C$38&lt;=IF('2-man'!$BF$27="",999,'2-man'!$BF$27)),C40-35,IF(AND(LEFT('2-man'!C$40,3)="ST&gt;",C40&gt;=100,'2-man'!C$38&lt;=IF('2-man'!$BF$27="",999,'2-man'!$BF$27)),0,IF(AND(OR(AND('2-man'!C$39="ST&gt;2",C32&gt;=100)),'2-man'!C$38&lt;=IF('2-man'!$BF$27="",999,'2-man'!$BF$27)),100,C40)))))</f>
        <v/>
      </c>
      <c r="D41">
        <f>IF('2-man'!D$40="R",MIN(100,D40+10),IF('2-man'!D$40="P",MIN(100,D40+25),IF(AND('2-man'!D$40="D",D40&gt;=35,'2-man'!D$38&lt;=IF('2-man'!$BF$27="",999,'2-man'!$BF$27)),D40-35,IF(AND(LEFT('2-man'!D$40,3)="ST&gt;",D40&gt;=100,'2-man'!D$38&lt;=IF('2-man'!$BF$27="",999,'2-man'!$BF$27)),0,IF(AND(OR(AND('2-man'!D$39="ST&gt;2",D32&gt;=100)),'2-man'!D$38&lt;=IF('2-man'!$BF$27="",999,'2-man'!$BF$27)),100,D40)))))</f>
        <v/>
      </c>
      <c r="E41">
        <f>IF('2-man'!E$40="R",MIN(100,E40+10),IF('2-man'!E$40="P",MIN(100,E40+25),IF(AND('2-man'!E$40="D",E40&gt;=35,'2-man'!E$38&lt;=IF('2-man'!$BF$27="",999,'2-man'!$BF$27)),E40-35,IF(AND(LEFT('2-man'!E$40,3)="ST&gt;",E40&gt;=100,'2-man'!E$38&lt;=IF('2-man'!$BF$27="",999,'2-man'!$BF$27)),0,IF(AND(OR(AND('2-man'!E$39="ST&gt;2",E32&gt;=100)),'2-man'!E$38&lt;=IF('2-man'!$BF$27="",999,'2-man'!$BF$27)),100,E40)))))</f>
        <v/>
      </c>
      <c r="F41">
        <f>IF('2-man'!F$40="R",MIN(100,F40+10),IF('2-man'!F$40="P",MIN(100,F40+25),IF(AND('2-man'!F$40="D",F40&gt;=35,'2-man'!F$38&lt;=IF('2-man'!$BF$27="",999,'2-man'!$BF$27)),F40-35,IF(AND(LEFT('2-man'!F$40,3)="ST&gt;",F40&gt;=100,'2-man'!F$38&lt;=IF('2-man'!$BF$27="",999,'2-man'!$BF$27)),0,IF(AND(OR(AND('2-man'!F$39="ST&gt;2",F32&gt;=100)),'2-man'!F$38&lt;=IF('2-man'!$BF$27="",999,'2-man'!$BF$27)),100,F40)))))</f>
        <v/>
      </c>
      <c r="G41">
        <f>IF('2-man'!G$40="R",MIN(100,G40+10),IF('2-man'!G$40="P",MIN(100,G40+25),IF(AND('2-man'!G$40="D",G40&gt;=35,'2-man'!G$38&lt;=IF('2-man'!$BF$27="",999,'2-man'!$BF$27)),G40-35,IF(AND(LEFT('2-man'!G$40,3)="ST&gt;",G40&gt;=100,'2-man'!G$38&lt;=IF('2-man'!$BF$27="",999,'2-man'!$BF$27)),0,IF(AND(OR(AND('2-man'!G$39="ST&gt;2",G32&gt;=100)),'2-man'!G$38&lt;=IF('2-man'!$BF$27="",999,'2-man'!$BF$27)),100,G40)))))</f>
        <v/>
      </c>
      <c r="H41">
        <f>IF('2-man'!H$40="R",MIN(100,H40+10),IF('2-man'!H$40="P",MIN(100,H40+25),IF(AND('2-man'!H$40="D",H40&gt;=35,'2-man'!H$38&lt;=IF('2-man'!$BF$27="",999,'2-man'!$BF$27)),H40-35,IF(AND(LEFT('2-man'!H$40,3)="ST&gt;",H40&gt;=100,'2-man'!H$38&lt;=IF('2-man'!$BF$27="",999,'2-man'!$BF$27)),0,IF(AND(OR(AND('2-man'!H$39="ST&gt;2",H32&gt;=100)),'2-man'!H$38&lt;=IF('2-man'!$BF$27="",999,'2-man'!$BF$27)),100,H40)))))</f>
        <v/>
      </c>
      <c r="I41">
        <f>IF('2-man'!I$40="R",MIN(100,I40+10),IF('2-man'!I$40="P",MIN(100,I40+25),IF(AND('2-man'!I$40="D",I40&gt;=35,'2-man'!I$38&lt;=IF('2-man'!$BF$27="",999,'2-man'!$BF$27)),I40-35,IF(AND(LEFT('2-man'!I$40,3)="ST&gt;",I40&gt;=100,'2-man'!I$38&lt;=IF('2-man'!$BF$27="",999,'2-man'!$BF$27)),0,IF(AND(OR(AND('2-man'!I$39="ST&gt;2",I32&gt;=100)),'2-man'!I$38&lt;=IF('2-man'!$BF$27="",999,'2-man'!$BF$27)),100,I40)))))</f>
        <v/>
      </c>
      <c r="J41">
        <f>IF('2-man'!J$40="R",MIN(100,J40+10),IF('2-man'!J$40="P",MIN(100,J40+25),IF(AND('2-man'!J$40="D",J40&gt;=35,'2-man'!J$38&lt;=IF('2-man'!$BF$27="",999,'2-man'!$BF$27)),J40-35,IF(AND(LEFT('2-man'!J$40,3)="ST&gt;",J40&gt;=100,'2-man'!J$38&lt;=IF('2-man'!$BF$27="",999,'2-man'!$BF$27)),0,IF(AND(OR(AND('2-man'!J$39="ST&gt;2",J32&gt;=100)),'2-man'!J$38&lt;=IF('2-man'!$BF$27="",999,'2-man'!$BF$27)),100,J40)))))</f>
        <v/>
      </c>
      <c r="K41">
        <f>IF('2-man'!K$40="R",MIN(100,K40+10),IF('2-man'!K$40="P",MIN(100,K40+25),IF(AND('2-man'!K$40="D",K40&gt;=35,'2-man'!K$38&lt;=IF('2-man'!$BF$27="",999,'2-man'!$BF$27)),K40-35,IF(AND(LEFT('2-man'!K$40,3)="ST&gt;",K40&gt;=100,'2-man'!K$38&lt;=IF('2-man'!$BF$27="",999,'2-man'!$BF$27)),0,IF(AND(OR(AND('2-man'!K$39="ST&gt;2",K32&gt;=100)),'2-man'!K$38&lt;=IF('2-man'!$BF$27="",999,'2-man'!$BF$27)),100,K40)))))</f>
        <v/>
      </c>
      <c r="L41">
        <f>IF('2-man'!L$40="R",MIN(100,L40+10),IF('2-man'!L$40="P",MIN(100,L40+25),IF(AND('2-man'!L$40="D",L40&gt;=35,'2-man'!L$38&lt;=IF('2-man'!$BF$27="",999,'2-man'!$BF$27)),L40-35,IF(AND(LEFT('2-man'!L$40,3)="ST&gt;",L40&gt;=100,'2-man'!L$38&lt;=IF('2-man'!$BF$27="",999,'2-man'!$BF$27)),0,IF(AND(OR(AND('2-man'!L$39="ST&gt;2",L32&gt;=100)),'2-man'!L$38&lt;=IF('2-man'!$BF$27="",999,'2-man'!$BF$27)),100,L40)))))</f>
        <v/>
      </c>
      <c r="M41">
        <f>IF('2-man'!M$40="R",MIN(100,M40+10),IF('2-man'!M$40="P",MIN(100,M40+25),IF(AND('2-man'!M$40="D",M40&gt;=35,'2-man'!M$38&lt;=IF('2-man'!$BF$27="",999,'2-man'!$BF$27)),M40-35,IF(AND(LEFT('2-man'!M$40,3)="ST&gt;",M40&gt;=100,'2-man'!M$38&lt;=IF('2-man'!$BF$27="",999,'2-man'!$BF$27)),0,IF(AND(OR(AND('2-man'!M$39="ST&gt;2",M32&gt;=100)),'2-man'!M$38&lt;=IF('2-man'!$BF$27="",999,'2-man'!$BF$27)),100,M40)))))</f>
        <v/>
      </c>
      <c r="N41">
        <f>IF('2-man'!N$40="R",MIN(100,N40+10),IF('2-man'!N$40="P",MIN(100,N40+25),IF(AND('2-man'!N$40="D",N40&gt;=35,'2-man'!N$38&lt;=IF('2-man'!$BF$27="",999,'2-man'!$BF$27)),N40-35,IF(AND(LEFT('2-man'!N$40,3)="ST&gt;",N40&gt;=100,'2-man'!N$38&lt;=IF('2-man'!$BF$27="",999,'2-man'!$BF$27)),0,IF(AND(OR(AND('2-man'!N$39="ST&gt;2",N32&gt;=100)),'2-man'!N$38&lt;=IF('2-man'!$BF$27="",999,'2-man'!$BF$27)),100,N40)))))</f>
        <v/>
      </c>
      <c r="O41">
        <f>IF('2-man'!O$40="R",MIN(100,O40+10),IF('2-man'!O$40="P",MIN(100,O40+25),IF(AND('2-man'!O$40="D",O40&gt;=35,'2-man'!O$38&lt;=IF('2-man'!$BF$27="",999,'2-man'!$BF$27)),O40-35,IF(AND(LEFT('2-man'!O$40,3)="ST&gt;",O40&gt;=100,'2-man'!O$38&lt;=IF('2-man'!$BF$27="",999,'2-man'!$BF$27)),0,IF(AND(OR(AND('2-man'!O$39="ST&gt;2",O32&gt;=100)),'2-man'!O$38&lt;=IF('2-man'!$BF$27="",999,'2-man'!$BF$27)),100,O40)))))</f>
        <v/>
      </c>
      <c r="P41">
        <f>IF('2-man'!P$40="R",MIN(100,P40+10),IF('2-man'!P$40="P",MIN(100,P40+25),IF(AND('2-man'!P$40="D",P40&gt;=35,'2-man'!P$38&lt;=IF('2-man'!$BF$27="",999,'2-man'!$BF$27)),P40-35,IF(AND(LEFT('2-man'!P$40,3)="ST&gt;",P40&gt;=100,'2-man'!P$38&lt;=IF('2-man'!$BF$27="",999,'2-man'!$BF$27)),0,IF(AND(OR(AND('2-man'!P$39="ST&gt;2",P32&gt;=100)),'2-man'!P$38&lt;=IF('2-man'!$BF$27="",999,'2-man'!$BF$27)),100,P40)))))</f>
        <v/>
      </c>
      <c r="Q41">
        <f>IF('2-man'!Q$40="R",MIN(100,Q40+10),IF('2-man'!Q$40="P",MIN(100,Q40+25),IF(AND('2-man'!Q$40="D",Q40&gt;=35,'2-man'!Q$38&lt;=IF('2-man'!$BF$27="",999,'2-man'!$BF$27)),Q40-35,IF(AND(LEFT('2-man'!Q$40,3)="ST&gt;",Q40&gt;=100,'2-man'!Q$38&lt;=IF('2-man'!$BF$27="",999,'2-man'!$BF$27)),0,IF(AND(OR(AND('2-man'!Q$39="ST&gt;2",Q32&gt;=100)),'2-man'!Q$38&lt;=IF('2-man'!$BF$27="",999,'2-man'!$BF$27)),100,Q40)))))</f>
        <v/>
      </c>
      <c r="R41">
        <f>IF('2-man'!R$40="R",MIN(100,R40+10),IF('2-man'!R$40="P",MIN(100,R40+25),IF(AND('2-man'!R$40="D",R40&gt;=35,'2-man'!R$38&lt;=IF('2-man'!$BF$27="",999,'2-man'!$BF$27)),R40-35,IF(AND(LEFT('2-man'!R$40,3)="ST&gt;",R40&gt;=100,'2-man'!R$38&lt;=IF('2-man'!$BF$27="",999,'2-man'!$BF$27)),0,IF(AND(OR(AND('2-man'!R$39="ST&gt;2",R32&gt;=100)),'2-man'!R$38&lt;=IF('2-man'!$BF$27="",999,'2-man'!$BF$27)),100,R40)))))</f>
        <v/>
      </c>
      <c r="S41">
        <f>IF('2-man'!S$40="R",MIN(100,S40+10),IF('2-man'!S$40="P",MIN(100,S40+25),IF(AND('2-man'!S$40="D",S40&gt;=35,'2-man'!S$38&lt;=IF('2-man'!$BF$27="",999,'2-man'!$BF$27)),S40-35,IF(AND(LEFT('2-man'!S$40,3)="ST&gt;",S40&gt;=100,'2-man'!S$38&lt;=IF('2-man'!$BF$27="",999,'2-man'!$BF$27)),0,IF(AND(OR(AND('2-man'!S$39="ST&gt;2",S32&gt;=100)),'2-man'!S$38&lt;=IF('2-man'!$BF$27="",999,'2-man'!$BF$27)),100,S40)))))</f>
        <v/>
      </c>
      <c r="T41">
        <f>IF('2-man'!T$40="R",MIN(100,T40+10),IF('2-man'!T$40="P",MIN(100,T40+25),IF(AND('2-man'!T$40="D",T40&gt;=35,'2-man'!T$38&lt;=IF('2-man'!$BF$27="",999,'2-man'!$BF$27)),T40-35,IF(AND(LEFT('2-man'!T$40,3)="ST&gt;",T40&gt;=100,'2-man'!T$38&lt;=IF('2-man'!$BF$27="",999,'2-man'!$BF$27)),0,IF(AND(OR(AND('2-man'!T$39="ST&gt;2",T32&gt;=100)),'2-man'!T$38&lt;=IF('2-man'!$BF$27="",999,'2-man'!$BF$27)),100,T40)))))</f>
        <v/>
      </c>
      <c r="U41">
        <f>IF('2-man'!U$40="R",MIN(100,U40+10),IF('2-man'!U$40="P",MIN(100,U40+25),IF(AND('2-man'!U$40="D",U40&gt;=35,'2-man'!U$38&lt;=IF('2-man'!$BF$27="",999,'2-man'!$BF$27)),U40-35,IF(AND(LEFT('2-man'!U$40,3)="ST&gt;",U40&gt;=100,'2-man'!U$38&lt;=IF('2-man'!$BF$27="",999,'2-man'!$BF$27)),0,IF(AND(OR(AND('2-man'!U$39="ST&gt;2",U32&gt;=100)),'2-man'!U$38&lt;=IF('2-man'!$BF$27="",999,'2-man'!$BF$27)),100,U40)))))</f>
        <v/>
      </c>
      <c r="V41">
        <f>IF('2-man'!V$40="R",MIN(100,V40+10),IF('2-man'!V$40="P",MIN(100,V40+25),IF(AND('2-man'!V$40="D",V40&gt;=35,'2-man'!V$38&lt;=IF('2-man'!$BF$27="",999,'2-man'!$BF$27)),V40-35,IF(AND(LEFT('2-man'!V$40,3)="ST&gt;",V40&gt;=100,'2-man'!V$38&lt;=IF('2-man'!$BF$27="",999,'2-man'!$BF$27)),0,IF(AND(OR(AND('2-man'!V$39="ST&gt;2",V32&gt;=100)),'2-man'!V$38&lt;=IF('2-man'!$BF$27="",999,'2-man'!$BF$27)),100,V40)))))</f>
        <v/>
      </c>
      <c r="W41">
        <f>IF('2-man'!W$40="R",MIN(100,W40+10),IF('2-man'!W$40="P",MIN(100,W40+25),IF(AND('2-man'!W$40="D",W40&gt;=35,'2-man'!W$38&lt;=IF('2-man'!$BF$27="",999,'2-man'!$BF$27)),W40-35,IF(AND(LEFT('2-man'!W$40,3)="ST&gt;",W40&gt;=100,'2-man'!W$38&lt;=IF('2-man'!$BF$27="",999,'2-man'!$BF$27)),0,IF(AND(OR(AND('2-man'!W$39="ST&gt;2",W32&gt;=100)),'2-man'!W$38&lt;=IF('2-man'!$BF$27="",999,'2-man'!$BF$27)),100,W40)))))</f>
        <v/>
      </c>
      <c r="X41">
        <f>IF('2-man'!X$40="R",MIN(100,X40+10),IF('2-man'!X$40="P",MIN(100,X40+25),IF(AND('2-man'!X$40="D",X40&gt;=35,'2-man'!X$38&lt;=IF('2-man'!$BF$27="",999,'2-man'!$BF$27)),X40-35,IF(AND(LEFT('2-man'!X$40,3)="ST&gt;",X40&gt;=100,'2-man'!X$38&lt;=IF('2-man'!$BF$27="",999,'2-man'!$BF$27)),0,IF(AND(OR(AND('2-man'!X$39="ST&gt;2",X32&gt;=100)),'2-man'!X$38&lt;=IF('2-man'!$BF$27="",999,'2-man'!$BF$27)),100,X40)))))</f>
        <v/>
      </c>
      <c r="Y41">
        <f>IF('2-man'!Y$40="R",MIN(100,Y40+10),IF('2-man'!Y$40="P",MIN(100,Y40+25),IF(AND('2-man'!Y$40="D",Y40&gt;=35,'2-man'!Y$38&lt;=IF('2-man'!$BF$27="",999,'2-man'!$BF$27)),Y40-35,IF(AND(LEFT('2-man'!Y$40,3)="ST&gt;",Y40&gt;=100,'2-man'!Y$38&lt;=IF('2-man'!$BF$27="",999,'2-man'!$BF$27)),0,IF(AND(OR(AND('2-man'!Y$39="ST&gt;2",Y32&gt;=100)),'2-man'!Y$38&lt;=IF('2-man'!$BF$27="",999,'2-man'!$BF$27)),100,Y40)))))</f>
        <v/>
      </c>
      <c r="Z41">
        <f>IF('2-man'!Z$40="R",MIN(100,Z40+10),IF('2-man'!Z$40="P",MIN(100,Z40+25),IF(AND('2-man'!Z$40="D",Z40&gt;=35,'2-man'!Z$38&lt;=IF('2-man'!$BF$27="",999,'2-man'!$BF$27)),Z40-35,IF(AND(LEFT('2-man'!Z$40,3)="ST&gt;",Z40&gt;=100,'2-man'!Z$38&lt;=IF('2-man'!$BF$27="",999,'2-man'!$BF$27)),0,IF(AND(OR(AND('2-man'!Z$39="ST&gt;2",Z32&gt;=100)),'2-man'!Z$38&lt;=IF('2-man'!$BF$27="",999,'2-man'!$BF$27)),100,Z40)))))</f>
        <v/>
      </c>
      <c r="AA41">
        <f>IF('2-man'!AA$40="R",MIN(100,AA40+10),IF('2-man'!AA$40="P",MIN(100,AA40+25),IF(AND('2-man'!AA$40="D",AA40&gt;=35,'2-man'!AA$38&lt;=IF('2-man'!$BF$27="",999,'2-man'!$BF$27)),AA40-35,IF(AND(LEFT('2-man'!AA$40,3)="ST&gt;",AA40&gt;=100,'2-man'!AA$38&lt;=IF('2-man'!$BF$27="",999,'2-man'!$BF$27)),0,IF(AND(OR(AND('2-man'!AA$39="ST&gt;2",AA32&gt;=100)),'2-man'!AA$38&lt;=IF('2-man'!$BF$27="",999,'2-man'!$BF$27)),100,AA40)))))</f>
        <v/>
      </c>
      <c r="AB41">
        <f>IF('2-man'!AB$40="R",MIN(100,AB40+10),IF('2-man'!AB$40="P",MIN(100,AB40+25),IF(AND('2-man'!AB$40="D",AB40&gt;=35,'2-man'!AB$38&lt;=IF('2-man'!$BF$27="",999,'2-man'!$BF$27)),AB40-35,IF(AND(LEFT('2-man'!AB$40,3)="ST&gt;",AB40&gt;=100,'2-man'!AB$38&lt;=IF('2-man'!$BF$27="",999,'2-man'!$BF$27)),0,IF(AND(OR(AND('2-man'!AB$39="ST&gt;2",AB32&gt;=100)),'2-man'!AB$38&lt;=IF('2-man'!$BF$27="",999,'2-man'!$BF$27)),100,AB40)))))</f>
        <v/>
      </c>
      <c r="AC41">
        <f>IF('2-man'!AC$40="R",MIN(100,AC40+10),IF('2-man'!AC$40="P",MIN(100,AC40+25),IF(AND('2-man'!AC$40="D",AC40&gt;=35,'2-man'!AC$38&lt;=IF('2-man'!$BF$27="",999,'2-man'!$BF$27)),AC40-35,IF(AND(LEFT('2-man'!AC$40,3)="ST&gt;",AC40&gt;=100,'2-man'!AC$38&lt;=IF('2-man'!$BF$27="",999,'2-man'!$BF$27)),0,IF(AND(OR(AND('2-man'!AC$39="ST&gt;2",AC32&gt;=100)),'2-man'!AC$38&lt;=IF('2-man'!$BF$27="",999,'2-man'!$BF$27)),100,AC40)))))</f>
        <v/>
      </c>
      <c r="AD41">
        <f>IF('2-man'!AD$40="R",MIN(100,AD40+10),IF('2-man'!AD$40="P",MIN(100,AD40+25),IF(AND('2-man'!AD$40="D",AD40&gt;=35,'2-man'!AD$38&lt;=IF('2-man'!$BF$27="",999,'2-man'!$BF$27)),AD40-35,IF(AND(LEFT('2-man'!AD$40,3)="ST&gt;",AD40&gt;=100,'2-man'!AD$38&lt;=IF('2-man'!$BF$27="",999,'2-man'!$BF$27)),0,IF(AND(OR(AND('2-man'!AD$39="ST&gt;2",AD32&gt;=100)),'2-man'!AD$38&lt;=IF('2-man'!$BF$27="",999,'2-man'!$BF$27)),100,AD40)))))</f>
        <v/>
      </c>
      <c r="AE41">
        <f>IF('2-man'!AE$40="R",MIN(100,AE40+10),IF('2-man'!AE$40="P",MIN(100,AE40+25),IF(AND('2-man'!AE$40="D",AE40&gt;=35,'2-man'!AE$38&lt;=IF('2-man'!$BF$27="",999,'2-man'!$BF$27)),AE40-35,IF(AND(LEFT('2-man'!AE$40,3)="ST&gt;",AE40&gt;=100,'2-man'!AE$38&lt;=IF('2-man'!$BF$27="",999,'2-man'!$BF$27)),0,IF(AND(OR(AND('2-man'!AE$39="ST&gt;2",AE32&gt;=100)),'2-man'!AE$38&lt;=IF('2-man'!$BF$27="",999,'2-man'!$BF$27)),100,AE40)))))</f>
        <v/>
      </c>
      <c r="AF41">
        <f>IF('2-man'!AF$40="R",MIN(100,AF40+10),IF('2-man'!AF$40="P",MIN(100,AF40+25),IF(AND('2-man'!AF$40="D",AF40&gt;=35,'2-man'!AF$38&lt;=IF('2-man'!$BF$27="",999,'2-man'!$BF$27)),AF40-35,IF(AND(LEFT('2-man'!AF$40,3)="ST&gt;",AF40&gt;=100,'2-man'!AF$38&lt;=IF('2-man'!$BF$27="",999,'2-man'!$BF$27)),0,IF(AND(OR(AND('2-man'!AF$39="ST&gt;2",AF32&gt;=100)),'2-man'!AF$38&lt;=IF('2-man'!$BF$27="",999,'2-man'!$BF$27)),100,AF40)))))</f>
        <v/>
      </c>
      <c r="AG41">
        <f>IF('2-man'!AG$40="R",MIN(100,AG40+10),IF('2-man'!AG$40="P",MIN(100,AG40+25),IF(AND('2-man'!AG$40="D",AG40&gt;=35,'2-man'!AG$38&lt;=IF('2-man'!$BF$27="",999,'2-man'!$BF$27)),AG40-35,IF(AND(LEFT('2-man'!AG$40,3)="ST&gt;",AG40&gt;=100,'2-man'!AG$38&lt;=IF('2-man'!$BF$27="",999,'2-man'!$BF$27)),0,IF(AND(OR(AND('2-man'!AG$39="ST&gt;2",AG32&gt;=100)),'2-man'!AG$38&lt;=IF('2-man'!$BF$27="",999,'2-man'!$BF$27)),100,AG40)))))</f>
        <v/>
      </c>
      <c r="AH41">
        <f>IF('2-man'!AH$40="R",MIN(100,AH40+10),IF('2-man'!AH$40="P",MIN(100,AH40+25),IF(AND('2-man'!AH$40="D",AH40&gt;=35,'2-man'!AH$38&lt;=IF('2-man'!$BF$27="",999,'2-man'!$BF$27)),AH40-35,IF(AND(LEFT('2-man'!AH$40,3)="ST&gt;",AH40&gt;=100,'2-man'!AH$38&lt;=IF('2-man'!$BF$27="",999,'2-man'!$BF$27)),0,IF(AND(OR(AND('2-man'!AH$39="ST&gt;2",AH32&gt;=100)),'2-man'!AH$38&lt;=IF('2-man'!$BF$27="",999,'2-man'!$BF$27)),100,AH40)))))</f>
        <v/>
      </c>
      <c r="AI41">
        <f>IF('2-man'!AI$40="R",MIN(100,AI40+10),IF('2-man'!AI$40="P",MIN(100,AI40+25),IF(AND('2-man'!AI$40="D",AI40&gt;=35,'2-man'!AI$38&lt;=IF('2-man'!$BF$27="",999,'2-man'!$BF$27)),AI40-35,IF(AND(LEFT('2-man'!AI$40,3)="ST&gt;",AI40&gt;=100,'2-man'!AI$38&lt;=IF('2-man'!$BF$27="",999,'2-man'!$BF$27)),0,IF(AND(OR(AND('2-man'!AI$39="ST&gt;2",AI32&gt;=100)),'2-man'!AI$38&lt;=IF('2-man'!$BF$27="",999,'2-man'!$BF$27)),100,AI40)))))</f>
        <v/>
      </c>
      <c r="AJ41">
        <f>IF('2-man'!AJ$40="R",MIN(100,AJ40+10),IF('2-man'!AJ$40="P",MIN(100,AJ40+25),IF(AND('2-man'!AJ$40="D",AJ40&gt;=35,'2-man'!AJ$38&lt;=IF('2-man'!$BF$27="",999,'2-man'!$BF$27)),AJ40-35,IF(AND(LEFT('2-man'!AJ$40,3)="ST&gt;",AJ40&gt;=100,'2-man'!AJ$38&lt;=IF('2-man'!$BF$27="",999,'2-man'!$BF$27)),0,IF(AND(OR(AND('2-man'!AJ$39="ST&gt;2",AJ32&gt;=100)),'2-man'!AJ$38&lt;=IF('2-man'!$BF$27="",999,'2-man'!$BF$27)),100,AJ40)))))</f>
        <v/>
      </c>
      <c r="AK41">
        <f>IF('2-man'!AK$40="R",MIN(100,AK40+10),IF('2-man'!AK$40="P",MIN(100,AK40+25),IF(AND('2-man'!AK$40="D",AK40&gt;=35,'2-man'!AK$38&lt;=IF('2-man'!$BF$27="",999,'2-man'!$BF$27)),AK40-35,IF(AND(LEFT('2-man'!AK$40,3)="ST&gt;",AK40&gt;=100,'2-man'!AK$38&lt;=IF('2-man'!$BF$27="",999,'2-man'!$BF$27)),0,IF(AND(OR(AND('2-man'!AK$39="ST&gt;2",AK32&gt;=100)),'2-man'!AK$38&lt;=IF('2-man'!$BF$27="",999,'2-man'!$BF$27)),100,AK40)))))</f>
        <v/>
      </c>
      <c r="AL41">
        <f>IF('2-man'!AL$40="R",MIN(100,AL40+10),IF('2-man'!AL$40="P",MIN(100,AL40+25),IF(AND('2-man'!AL$40="D",AL40&gt;=35,'2-man'!AL$38&lt;=IF('2-man'!$BF$27="",999,'2-man'!$BF$27)),AL40-35,IF(AND(LEFT('2-man'!AL$40,3)="ST&gt;",AL40&gt;=100,'2-man'!AL$38&lt;=IF('2-man'!$BF$27="",999,'2-man'!$BF$27)),0,IF(AND(OR(AND('2-man'!AL$39="ST&gt;2",AL32&gt;=100)),'2-man'!AL$38&lt;=IF('2-man'!$BF$27="",999,'2-man'!$BF$27)),100,AL40)))))</f>
        <v/>
      </c>
      <c r="AM41">
        <f>IF('2-man'!AM$40="R",MIN(100,AM40+10),IF('2-man'!AM$40="P",MIN(100,AM40+25),IF(AND('2-man'!AM$40="D",AM40&gt;=35,'2-man'!AM$38&lt;=IF('2-man'!$BF$27="",999,'2-man'!$BF$27)),AM40-35,IF(AND(LEFT('2-man'!AM$40,3)="ST&gt;",AM40&gt;=100,'2-man'!AM$38&lt;=IF('2-man'!$BF$27="",999,'2-man'!$BF$27)),0,IF(AND(OR(AND('2-man'!AM$39="ST&gt;2",AM32&gt;=100)),'2-man'!AM$38&lt;=IF('2-man'!$BF$27="",999,'2-man'!$BF$27)),100,AM40)))))</f>
        <v/>
      </c>
      <c r="AN41">
        <f>IF('2-man'!AN$40="R",MIN(100,AN40+10),IF('2-man'!AN$40="P",MIN(100,AN40+25),IF(AND('2-man'!AN$40="D",AN40&gt;=35,'2-man'!AN$38&lt;=IF('2-man'!$BF$27="",999,'2-man'!$BF$27)),AN40-35,IF(AND(LEFT('2-man'!AN$40,3)="ST&gt;",AN40&gt;=100,'2-man'!AN$38&lt;=IF('2-man'!$BF$27="",999,'2-man'!$BF$27)),0,IF(AND(OR(AND('2-man'!AN$39="ST&gt;2",AN32&gt;=100)),'2-man'!AN$38&lt;=IF('2-man'!$BF$27="",999,'2-man'!$BF$27)),100,AN40)))))</f>
        <v/>
      </c>
      <c r="AO41">
        <f>IF('2-man'!AO$40="R",MIN(100,AO40+10),IF('2-man'!AO$40="P",MIN(100,AO40+25),IF(AND('2-man'!AO$40="D",AO40&gt;=35,'2-man'!AO$38&lt;=IF('2-man'!$BF$27="",999,'2-man'!$BF$27)),AO40-35,IF(AND(LEFT('2-man'!AO$40,3)="ST&gt;",AO40&gt;=100,'2-man'!AO$38&lt;=IF('2-man'!$BF$27="",999,'2-man'!$BF$27)),0,IF(AND(OR(AND('2-man'!AO$39="ST&gt;2",AO32&gt;=100)),'2-man'!AO$38&lt;=IF('2-man'!$BF$27="",999,'2-man'!$BF$27)),100,AO40)))))</f>
        <v/>
      </c>
      <c r="AP41">
        <f>IF('2-man'!AP$40="R",MIN(100,AP40+10),IF('2-man'!AP$40="P",MIN(100,AP40+25),IF(AND('2-man'!AP$40="D",AP40&gt;=35,'2-man'!AP$38&lt;=IF('2-man'!$BF$27="",999,'2-man'!$BF$27)),AP40-35,IF(AND(LEFT('2-man'!AP$40,3)="ST&gt;",AP40&gt;=100,'2-man'!AP$38&lt;=IF('2-man'!$BF$27="",999,'2-man'!$BF$27)),0,IF(AND(OR(AND('2-man'!AP$39="ST&gt;2",AP32&gt;=100)),'2-man'!AP$38&lt;=IF('2-man'!$BF$27="",999,'2-man'!$BF$27)),100,AP40)))))</f>
        <v/>
      </c>
      <c r="AQ41">
        <f>IF('2-man'!AQ$40="R",MIN(100,AQ40+10),IF('2-man'!AQ$40="P",MIN(100,AQ40+25),IF(AND('2-man'!AQ$40="D",AQ40&gt;=35,'2-man'!AQ$38&lt;=IF('2-man'!$BF$27="",999,'2-man'!$BF$27)),AQ40-35,IF(AND(LEFT('2-man'!AQ$40,3)="ST&gt;",AQ40&gt;=100,'2-man'!AQ$38&lt;=IF('2-man'!$BF$27="",999,'2-man'!$BF$27)),0,IF(AND(OR(AND('2-man'!AQ$39="ST&gt;2",AQ32&gt;=100)),'2-man'!AQ$38&lt;=IF('2-man'!$BF$27="",999,'2-man'!$BF$27)),100,AQ40)))))</f>
        <v/>
      </c>
      <c r="AR41">
        <f>IF('2-man'!AR$40="R",MIN(100,AR40+10),IF('2-man'!AR$40="P",MIN(100,AR40+25),IF(AND('2-man'!AR$40="D",AR40&gt;=35,'2-man'!AR$38&lt;=IF('2-man'!$BF$27="",999,'2-man'!$BF$27)),AR40-35,IF(AND(LEFT('2-man'!AR$40,3)="ST&gt;",AR40&gt;=100,'2-man'!AR$38&lt;=IF('2-man'!$BF$27="",999,'2-man'!$BF$27)),0,IF(AND(OR(AND('2-man'!AR$39="ST&gt;2",AR32&gt;=100)),'2-man'!AR$38&lt;=IF('2-man'!$BF$27="",999,'2-man'!$BF$27)),100,AR40)))))</f>
        <v/>
      </c>
      <c r="AS41">
        <f>IF('2-man'!AS$40="R",MIN(100,AS40+10),IF('2-man'!AS$40="P",MIN(100,AS40+25),IF(AND('2-man'!AS$40="D",AS40&gt;=35,'2-man'!AS$38&lt;=IF('2-man'!$BF$27="",999,'2-man'!$BF$27)),AS40-35,IF(AND(LEFT('2-man'!AS$40,3)="ST&gt;",AS40&gt;=100,'2-man'!AS$38&lt;=IF('2-man'!$BF$27="",999,'2-man'!$BF$27)),0,IF(AND(OR(AND('2-man'!AS$39="ST&gt;2",AS32&gt;=100)),'2-man'!AS$38&lt;=IF('2-man'!$BF$27="",999,'2-man'!$BF$27)),100,AS40)))))</f>
        <v/>
      </c>
      <c r="AT41">
        <f>IF('2-man'!AT$40="R",MIN(100,AT40+10),IF('2-man'!AT$40="P",MIN(100,AT40+25),IF(AND('2-man'!AT$40="D",AT40&gt;=35,'2-man'!AT$38&lt;=IF('2-man'!$BF$27="",999,'2-man'!$BF$27)),AT40-35,IF(AND(LEFT('2-man'!AT$40,3)="ST&gt;",AT40&gt;=100,'2-man'!AT$38&lt;=IF('2-man'!$BF$27="",999,'2-man'!$BF$27)),0,IF(AND(OR(AND('2-man'!AT$39="ST&gt;2",AT32&gt;=100)),'2-man'!AT$38&lt;=IF('2-man'!$BF$27="",999,'2-man'!$BF$27)),100,AT40)))))</f>
        <v/>
      </c>
      <c r="AU41">
        <f>IF('2-man'!AU$40="R",MIN(100,AU40+10),IF('2-man'!AU$40="P",MIN(100,AU40+25),IF(AND('2-man'!AU$40="D",AU40&gt;=35,'2-man'!AU$38&lt;=IF('2-man'!$BF$27="",999,'2-man'!$BF$27)),AU40-35,IF(AND(LEFT('2-man'!AU$40,3)="ST&gt;",AU40&gt;=100,'2-man'!AU$38&lt;=IF('2-man'!$BF$27="",999,'2-man'!$BF$27)),0,IF(AND(OR(AND('2-man'!AU$39="ST&gt;2",AU32&gt;=100)),'2-man'!AU$38&lt;=IF('2-man'!$BF$27="",999,'2-man'!$BF$27)),100,AU40)))))</f>
        <v/>
      </c>
      <c r="AV41">
        <f>IF('2-man'!AV$40="R",MIN(100,AV40+10),IF('2-man'!AV$40="P",MIN(100,AV40+25),IF(AND('2-man'!AV$40="D",AV40&gt;=35,'2-man'!AV$38&lt;=IF('2-man'!$BF$27="",999,'2-man'!$BF$27)),AV40-35,IF(AND(LEFT('2-man'!AV$40,3)="ST&gt;",AV40&gt;=100,'2-man'!AV$38&lt;=IF('2-man'!$BF$27="",999,'2-man'!$BF$27)),0,IF(AND(OR(AND('2-man'!AV$39="ST&gt;2",AV32&gt;=100)),'2-man'!AV$38&lt;=IF('2-man'!$BF$27="",999,'2-man'!$BF$27)),100,AV40)))))</f>
        <v/>
      </c>
      <c r="AW41">
        <f>IF('2-man'!AW$40="R",MIN(100,AW40+10),IF('2-man'!AW$40="P",MIN(100,AW40+25),IF(AND('2-man'!AW$40="D",AW40&gt;=35,'2-man'!AW$38&lt;=IF('2-man'!$BF$27="",999,'2-man'!$BF$27)),AW40-35,IF(AND(LEFT('2-man'!AW$40,3)="ST&gt;",AW40&gt;=100,'2-man'!AW$38&lt;=IF('2-man'!$BF$27="",999,'2-man'!$BF$27)),0,IF(AND(OR(AND('2-man'!AW$39="ST&gt;2",AW32&gt;=100)),'2-man'!AW$38&lt;=IF('2-man'!$BF$27="",999,'2-man'!$BF$27)),100,AW40)))))</f>
        <v/>
      </c>
      <c r="AX41">
        <f>IF('2-man'!AX$40="R",MIN(100,AX40+10),IF('2-man'!AX$40="P",MIN(100,AX40+25),IF(AND('2-man'!AX$40="D",AX40&gt;=35,'2-man'!AX$38&lt;=IF('2-man'!$BF$27="",999,'2-man'!$BF$27)),AX40-35,IF(AND(LEFT('2-man'!AX$40,3)="ST&gt;",AX40&gt;=100,'2-man'!AX$38&lt;=IF('2-man'!$BF$27="",999,'2-man'!$BF$27)),0,IF(AND(OR(AND('2-man'!AX$39="ST&gt;2",AX32&gt;=100)),'2-man'!AX$38&lt;=IF('2-man'!$BF$27="",999,'2-man'!$BF$27)),100,AX40)))))</f>
        <v/>
      </c>
      <c r="AY41">
        <f>IF('2-man'!AY$40="R",MIN(100,AY40+10),IF('2-man'!AY$40="P",MIN(100,AY40+25),IF(AND('2-man'!AY$40="D",AY40&gt;=35,'2-man'!AY$38&lt;=IF('2-man'!$BF$27="",999,'2-man'!$BF$27)),AY40-35,IF(AND(LEFT('2-man'!AY$40,3)="ST&gt;",AY40&gt;=100,'2-man'!AY$38&lt;=IF('2-man'!$BF$27="",999,'2-man'!$BF$27)),0,IF(AND(OR(AND('2-man'!AY$39="ST&gt;2",AY32&gt;=100)),'2-man'!AY$38&lt;=IF('2-man'!$BF$27="",999,'2-man'!$BF$27)),100,AY40)))))</f>
        <v/>
      </c>
      <c r="AZ41">
        <f>IF('2-man'!AZ$40="R",MIN(100,AZ40+10),IF('2-man'!AZ$40="P",MIN(100,AZ40+25),IF(AND('2-man'!AZ$40="D",AZ40&gt;=35,'2-man'!AZ$38&lt;=IF('2-man'!$BF$27="",999,'2-man'!$BF$27)),AZ40-35,IF(AND(LEFT('2-man'!AZ$40,3)="ST&gt;",AZ40&gt;=100,'2-man'!AZ$38&lt;=IF('2-man'!$BF$27="",999,'2-man'!$BF$27)),0,IF(AND(OR(AND('2-man'!AZ$39="ST&gt;2",AZ32&gt;=100)),'2-man'!AZ$38&lt;=IF('2-man'!$BF$27="",999,'2-man'!$BF$27)),100,AZ40)))))</f>
        <v/>
      </c>
      <c r="BA41">
        <f>IF('2-man'!BA$40="R",MIN(100,BA40+10),IF('2-man'!BA$40="P",MIN(100,BA40+25),IF(AND('2-man'!BA$40="D",BA40&gt;=35,'2-man'!BA$38&lt;=IF('2-man'!$BF$27="",999,'2-man'!$BF$27)),BA40-35,IF(AND(LEFT('2-man'!BA$40,3)="ST&gt;",BA40&gt;=100,'2-man'!BA$38&lt;=IF('2-man'!$BF$27="",999,'2-man'!$BF$27)),0,IF(AND(OR(AND('2-man'!BA$39="ST&gt;2",BA32&gt;=100)),'2-man'!BA$38&lt;=IF('2-man'!$BF$27="",999,'2-man'!$BF$27)),100,BA40)))))</f>
        <v/>
      </c>
      <c r="BB41">
        <f>IF('2-man'!BB$40="R",MIN(100,BB40+10),IF('2-man'!BB$40="P",MIN(100,BB40+25),IF(AND('2-man'!BB$40="D",BB40&gt;=35,'2-man'!BB$38&lt;=IF('2-man'!$BF$27="",999,'2-man'!$BF$27)),BB40-35,IF(AND(LEFT('2-man'!BB$40,3)="ST&gt;",BB40&gt;=100,'2-man'!BB$38&lt;=IF('2-man'!$BF$27="",999,'2-man'!$BF$27)),0,IF(AND(OR(AND('2-man'!BB$39="ST&gt;2",BB32&gt;=100)),'2-man'!BB$38&lt;=IF('2-man'!$BF$27="",999,'2-man'!$BF$27)),100,BB40)))))</f>
        <v/>
      </c>
      <c r="BC41">
        <f>IF('2-man'!BC$40="R",MIN(100,BC40+10),IF('2-man'!BC$40="P",MIN(100,BC40+25),IF(AND('2-man'!BC$40="D",BC40&gt;=35,'2-man'!BC$38&lt;=IF('2-man'!$BF$27="",999,'2-man'!$BF$27)),BC40-35,IF(AND(LEFT('2-man'!BC$40,3)="ST&gt;",BC40&gt;=100,'2-man'!BC$38&lt;=IF('2-man'!$BF$27="",999,'2-man'!$BF$27)),0,IF(AND(OR(AND('2-man'!BC$39="ST&gt;2",BC32&gt;=100)),'2-man'!BC$38&lt;=IF('2-man'!$BF$27="",999,'2-man'!$BF$27)),100,BC40)))))</f>
        <v/>
      </c>
      <c r="BD41">
        <f>IF('2-man'!BD$40="R",MIN(100,BD40+10),IF('2-man'!BD$40="P",MIN(100,BD40+25),IF(AND('2-man'!BD$40="D",BD40&gt;=35,'2-man'!BD$38&lt;=IF('2-man'!$BF$27="",999,'2-man'!$BF$27)),BD40-35,IF(AND(LEFT('2-man'!BD$40,3)="ST&gt;",BD40&gt;=100,'2-man'!BD$38&lt;=IF('2-man'!$BF$27="",999,'2-man'!$BF$27)),0,IF(AND(OR(AND('2-man'!BD$39="ST&gt;2",BD32&gt;=100)),'2-man'!BD$38&lt;=IF('2-man'!$BF$27="",999,'2-man'!$BF$27)),100,BD40)))))</f>
        <v/>
      </c>
      <c r="BE41">
        <f>IF('2-man'!BE$40="R",MIN(100,BE40+10),IF('2-man'!BE$40="P",MIN(100,BE40+25),IF(AND('2-man'!BE$40="D",BE40&gt;=35,'2-man'!BE$38&lt;=IF('2-man'!$BF$27="",999,'2-man'!$BF$27)),BE40-35,IF(AND(LEFT('2-man'!BE$40,3)="ST&gt;",BE40&gt;=100,'2-man'!BE$38&lt;=IF('2-man'!$BF$27="",999,'2-man'!$BF$27)),0,IF(AND(OR(AND('2-man'!BE$39="ST&gt;2",BE32&gt;=100)),'2-man'!BE$38&lt;=IF('2-man'!$BF$27="",999,'2-man'!$BF$27)),100,BE40)))))</f>
        <v/>
      </c>
      <c r="BF41">
        <f>IF('2-man'!BF$40="R",MIN(100,BF40+10),IF('2-man'!BF$40="P",MIN(100,BF40+25),IF(AND('2-man'!BF$40="D",BF40&gt;=35,'2-man'!BF$38&lt;=IF('2-man'!$BF$27="",999,'2-man'!$BF$27)),BF40-35,IF(AND(LEFT('2-man'!BF$40,3)="ST&gt;",BF40&gt;=100,'2-man'!BF$38&lt;=IF('2-man'!$BF$27="",999,'2-man'!$BF$27)),0,IF(AND(OR(AND('2-man'!BF$39="ST&gt;2",BF32&gt;=100)),'2-man'!BF$38&lt;=IF('2-man'!$BF$27="",999,'2-man'!$BF$27)),100,BF40)))))</f>
        <v/>
      </c>
      <c r="BG41">
        <f>IF('2-man'!BG$40="R",MIN(100,BG40+10),IF('2-man'!BG$40="P",MIN(100,BG40+25),IF(AND('2-man'!BG$40="D",BG40&gt;=35,'2-man'!BG$38&lt;=IF('2-man'!$BF$27="",999,'2-man'!$BF$27)),BG40-35,IF(AND(LEFT('2-man'!BG$40,3)="ST&gt;",BG40&gt;=100,'2-man'!BG$38&lt;=IF('2-man'!$BF$27="",999,'2-man'!$BF$27)),0,IF(AND(OR(AND('2-man'!BG$39="ST&gt;2",BG32&gt;=100)),'2-man'!BG$38&lt;=IF('2-man'!$BF$27="",999,'2-man'!$BF$27)),100,BG40)))))</f>
        <v/>
      </c>
      <c r="BH41">
        <f>IF('2-man'!BH$40="R",MIN(100,BH40+10),IF('2-man'!BH$40="P",MIN(100,BH40+25),IF(AND('2-man'!BH$40="D",BH40&gt;=35,'2-man'!BH$38&lt;=IF('2-man'!$BF$27="",999,'2-man'!$BF$27)),BH40-35,IF(AND(LEFT('2-man'!BH$40,3)="ST&gt;",BH40&gt;=100,'2-man'!BH$38&lt;=IF('2-man'!$BF$27="",999,'2-man'!$BF$27)),0,IF(AND(OR(AND('2-man'!BH$39="ST&gt;2",BH32&gt;=100)),'2-man'!BH$38&lt;=IF('2-man'!$BF$27="",999,'2-man'!$BF$27)),100,BH40)))))</f>
        <v/>
      </c>
      <c r="BI41">
        <f>IF('2-man'!BI$40="R",MIN(100,BI40+10),IF('2-man'!BI$40="P",MIN(100,BI40+25),IF(AND('2-man'!BI$40="D",BI40&gt;=35,'2-man'!BI$38&lt;=IF('2-man'!$BF$27="",999,'2-man'!$BF$27)),BI40-35,IF(AND(LEFT('2-man'!BI$40,3)="ST&gt;",BI40&gt;=100,'2-man'!BI$38&lt;=IF('2-man'!$BF$27="",999,'2-man'!$BF$27)),0,IF(AND(OR(AND('2-man'!BI$39="ST&gt;2",BI32&gt;=100)),'2-man'!BI$38&lt;=IF('2-man'!$BF$27="",999,'2-man'!$BF$27)),100,BI40)))))</f>
        <v/>
      </c>
      <c r="BJ41">
        <f>IF('2-man'!BJ$40="R",MIN(100,BJ40+10),IF('2-man'!BJ$40="P",MIN(100,BJ40+25),IF(AND('2-man'!BJ$40="D",BJ40&gt;=35,'2-man'!BJ$38&lt;=IF('2-man'!$BF$27="",999,'2-man'!$BF$27)),BJ40-35,IF(AND(LEFT('2-man'!BJ$40,3)="ST&gt;",BJ40&gt;=100,'2-man'!BJ$38&lt;=IF('2-man'!$BF$27="",999,'2-man'!$BF$27)),0,IF(AND(OR(AND('2-man'!BJ$39="ST&gt;2",BJ32&gt;=100)),'2-man'!BJ$38&lt;=IF('2-man'!$BF$27="",999,'2-man'!$BF$27)),100,BJ40)))))</f>
        <v/>
      </c>
      <c r="BK41">
        <f>IF('2-man'!BK$40="R",MIN(100,BK40+10),IF('2-man'!BK$40="P",MIN(100,BK40+25),IF(AND('2-man'!BK$40="D",BK40&gt;=35,'2-man'!BK$38&lt;=IF('2-man'!$BF$27="",999,'2-man'!$BF$27)),BK40-35,IF(AND(LEFT('2-man'!BK$40,3)="ST&gt;",BK40&gt;=100,'2-man'!BK$38&lt;=IF('2-man'!$BF$27="",999,'2-man'!$BF$27)),0,IF(AND(OR(AND('2-man'!BK$39="ST&gt;2",BK32&gt;=100)),'2-man'!BK$38&lt;=IF('2-man'!$BF$27="",999,'2-man'!$BF$27)),100,BK40)))))</f>
        <v/>
      </c>
      <c r="BL41">
        <f>IF('2-man'!BL$40="R",MIN(100,BL40+10),IF('2-man'!BL$40="P",MIN(100,BL40+25),IF(AND('2-man'!BL$40="D",BL40&gt;=35,'2-man'!BL$38&lt;=IF('2-man'!$BF$27="",999,'2-man'!$BF$27)),BL40-35,IF(AND(LEFT('2-man'!BL$40,3)="ST&gt;",BL40&gt;=100,'2-man'!BL$38&lt;=IF('2-man'!$BF$27="",999,'2-man'!$BF$27)),0,IF(AND(OR(AND('2-man'!BL$39="ST&gt;2",BL32&gt;=100)),'2-man'!BL$38&lt;=IF('2-man'!$BF$27="",999,'2-man'!$BF$27)),100,BL40)))))</f>
        <v/>
      </c>
      <c r="BM41">
        <f>IF('2-man'!BM$40="R",MIN(100,BM40+10),IF('2-man'!BM$40="P",MIN(100,BM40+25),IF(AND('2-man'!BM$40="D",BM40&gt;=35,'2-man'!BM$38&lt;=IF('2-man'!$BF$27="",999,'2-man'!$BF$27)),BM40-35,IF(AND(LEFT('2-man'!BM$40,3)="ST&gt;",BM40&gt;=100,'2-man'!BM$38&lt;=IF('2-man'!$BF$27="",999,'2-man'!$BF$27)),0,IF(AND(OR(AND('2-man'!BM$39="ST&gt;2",BM32&gt;=100)),'2-man'!BM$38&lt;=IF('2-man'!$BF$27="",999,'2-man'!$BF$27)),100,BM40)))))</f>
        <v/>
      </c>
      <c r="BN41">
        <f>IF('2-man'!BN$40="R",MIN(100,BN40+10),IF('2-man'!BN$40="P",MIN(100,BN40+25),IF(AND('2-man'!BN$40="D",BN40&gt;=35,'2-man'!BN$38&lt;=IF('2-man'!$BF$27="",999,'2-man'!$BF$27)),BN40-35,IF(AND(LEFT('2-man'!BN$40,3)="ST&gt;",BN40&gt;=100,'2-man'!BN$38&lt;=IF('2-man'!$BF$27="",999,'2-man'!$BF$27)),0,IF(AND(OR(AND('2-man'!BN$39="ST&gt;2",BN32&gt;=100)),'2-man'!BN$38&lt;=IF('2-man'!$BF$27="",999,'2-man'!$BF$27)),100,BN40)))))</f>
        <v/>
      </c>
      <c r="BO41">
        <f>IF('2-man'!BO$40="R",MIN(100,BO40+10),IF('2-man'!BO$40="P",MIN(100,BO40+25),IF(AND('2-man'!BO$40="D",BO40&gt;=35,'2-man'!BO$38&lt;=IF('2-man'!$BF$27="",999,'2-man'!$BF$27)),BO40-35,IF(AND(LEFT('2-man'!BO$40,3)="ST&gt;",BO40&gt;=100,'2-man'!BO$38&lt;=IF('2-man'!$BF$27="",999,'2-man'!$BF$27)),0,IF(AND(OR(AND('2-man'!BO$39="ST&gt;2",BO32&gt;=100)),'2-man'!BO$38&lt;=IF('2-man'!$BF$27="",999,'2-man'!$BF$27)),100,BO40)))))</f>
        <v/>
      </c>
      <c r="BP41">
        <f>IF('2-man'!BP$40="R",MIN(100,BP40+10),IF('2-man'!BP$40="P",MIN(100,BP40+25),IF(AND('2-man'!BP$40="D",BP40&gt;=35,'2-man'!BP$38&lt;=IF('2-man'!$BF$27="",999,'2-man'!$BF$27)),BP40-35,IF(AND(LEFT('2-man'!BP$40,3)="ST&gt;",BP40&gt;=100,'2-man'!BP$38&lt;=IF('2-man'!$BF$27="",999,'2-man'!$BF$27)),0,IF(AND(OR(AND('2-man'!BP$39="ST&gt;2",BP32&gt;=100)),'2-man'!BP$38&lt;=IF('2-man'!$BF$27="",999,'2-man'!$BF$27)),100,BP40)))))</f>
        <v/>
      </c>
      <c r="BQ41">
        <f>IF('2-man'!BQ$40="R",MIN(100,BQ40+10),IF('2-man'!BQ$40="P",MIN(100,BQ40+25),IF(AND('2-man'!BQ$40="D",BQ40&gt;=35,'2-man'!BQ$38&lt;=IF('2-man'!$BF$27="",999,'2-man'!$BF$27)),BQ40-35,IF(AND(LEFT('2-man'!BQ$40,3)="ST&gt;",BQ40&gt;=100,'2-man'!BQ$38&lt;=IF('2-man'!$BF$27="",999,'2-man'!$BF$27)),0,IF(AND(OR(AND('2-man'!BQ$39="ST&gt;2",BQ32&gt;=100)),'2-man'!BQ$38&lt;=IF('2-man'!$BF$27="",999,'2-man'!$BF$27)),100,BQ40)))))</f>
        <v/>
      </c>
      <c r="BR41">
        <f>IF('2-man'!BR$40="R",MIN(100,BR40+10),IF('2-man'!BR$40="P",MIN(100,BR40+25),IF(AND('2-man'!BR$40="D",BR40&gt;=35,'2-man'!BR$38&lt;=IF('2-man'!$BF$27="",999,'2-man'!$BF$27)),BR40-35,IF(AND(LEFT('2-man'!BR$40,3)="ST&gt;",BR40&gt;=100,'2-man'!BR$38&lt;=IF('2-man'!$BF$27="",999,'2-man'!$BF$27)),0,IF(AND(OR(AND('2-man'!BR$39="ST&gt;2",BR32&gt;=100)),'2-man'!BR$38&lt;=IF('2-man'!$BF$27="",999,'2-man'!$BF$27)),100,BR40)))))</f>
        <v/>
      </c>
      <c r="BS41">
        <f>IF('2-man'!BS$40="R",MIN(100,BS40+10),IF('2-man'!BS$40="P",MIN(100,BS40+25),IF(AND('2-man'!BS$40="D",BS40&gt;=35,'2-man'!BS$38&lt;=IF('2-man'!$BF$27="",999,'2-man'!$BF$27)),BS40-35,IF(AND(LEFT('2-man'!BS$40,3)="ST&gt;",BS40&gt;=100,'2-man'!BS$38&lt;=IF('2-man'!$BF$27="",999,'2-man'!$BF$27)),0,IF(AND(OR(AND('2-man'!BS$39="ST&gt;2",BS32&gt;=100)),'2-man'!BS$38&lt;=IF('2-man'!$BF$27="",999,'2-man'!$BF$27)),100,BS40)))))</f>
        <v/>
      </c>
      <c r="BT41">
        <f>IF('2-man'!BT$40="R",MIN(100,BT40+10),IF('2-man'!BT$40="P",MIN(100,BT40+25),IF(AND('2-man'!BT$40="D",BT40&gt;=35,'2-man'!BT$38&lt;=IF('2-man'!$BF$27="",999,'2-man'!$BF$27)),BT40-35,IF(AND(LEFT('2-man'!BT$40,3)="ST&gt;",BT40&gt;=100,'2-man'!BT$38&lt;=IF('2-man'!$BF$27="",999,'2-man'!$BF$27)),0,IF(AND(OR(AND('2-man'!BT$39="ST&gt;2",BT32&gt;=100)),'2-man'!BT$38&lt;=IF('2-man'!$BF$27="",999,'2-man'!$BF$27)),100,BT40)))))</f>
        <v/>
      </c>
      <c r="BU41">
        <f>IF('2-man'!BU$40="R",MIN(100,BU40+10),IF('2-man'!BU$40="P",MIN(100,BU40+25),IF(AND('2-man'!BU$40="D",BU40&gt;=35,'2-man'!BU$38&lt;=IF('2-man'!$BF$27="",999,'2-man'!$BF$27)),BU40-35,IF(AND(LEFT('2-man'!BU$40,3)="ST&gt;",BU40&gt;=100,'2-man'!BU$38&lt;=IF('2-man'!$BF$27="",999,'2-man'!$BF$27)),0,IF(AND(OR(AND('2-man'!BU$39="ST&gt;2",BU32&gt;=100)),'2-man'!BU$38&lt;=IF('2-man'!$BF$27="",999,'2-man'!$BF$27)),100,BU40)))))</f>
        <v/>
      </c>
      <c r="BV41">
        <f>IF('2-man'!BV$40="R",MIN(100,BV40+10),IF('2-man'!BV$40="P",MIN(100,BV40+25),IF(AND('2-man'!BV$40="D",BV40&gt;=35,'2-man'!BV$38&lt;=IF('2-man'!$BF$27="",999,'2-man'!$BF$27)),BV40-35,IF(AND(LEFT('2-man'!BV$40,3)="ST&gt;",BV40&gt;=100,'2-man'!BV$38&lt;=IF('2-man'!$BF$27="",999,'2-man'!$BF$27)),0,IF(AND(OR(AND('2-man'!BV$39="ST&gt;2",BV32&gt;=100)),'2-man'!BV$38&lt;=IF('2-man'!$BF$27="",999,'2-man'!$BF$27)),100,BV40)))))</f>
        <v/>
      </c>
      <c r="BW41">
        <f>IF('2-man'!BW$40="R",MIN(100,BW40+10),IF('2-man'!BW$40="P",MIN(100,BW40+25),IF(AND('2-man'!BW$40="D",BW40&gt;=35,'2-man'!BW$38&lt;=IF('2-man'!$BF$27="",999,'2-man'!$BF$27)),BW40-35,IF(AND(LEFT('2-man'!BW$40,3)="ST&gt;",BW40&gt;=100,'2-man'!BW$38&lt;=IF('2-man'!$BF$27="",999,'2-man'!$BF$27)),0,IF(AND(OR(AND('2-man'!BW$39="ST&gt;2",BW32&gt;=100)),'2-man'!BW$38&lt;=IF('2-man'!$BF$27="",999,'2-man'!$BF$27)),100,BW40)))))</f>
        <v/>
      </c>
      <c r="BX41">
        <f>IF('2-man'!BX$40="R",MIN(100,BX40+10),IF('2-man'!BX$40="P",MIN(100,BX40+25),IF(AND('2-man'!BX$40="D",BX40&gt;=35,'2-man'!BX$38&lt;=IF('2-man'!$BF$27="",999,'2-man'!$BF$27)),BX40-35,IF(AND(LEFT('2-man'!BX$40,3)="ST&gt;",BX40&gt;=100,'2-man'!BX$38&lt;=IF('2-man'!$BF$27="",999,'2-man'!$BF$27)),0,IF(AND(OR(AND('2-man'!BX$39="ST&gt;2",BX32&gt;=100)),'2-man'!BX$38&lt;=IF('2-man'!$BF$27="",999,'2-man'!$BF$27)),100,BX40)))))</f>
        <v/>
      </c>
      <c r="BY41">
        <f>IF('2-man'!BY$40="R",MIN(100,BY40+10),IF('2-man'!BY$40="P",MIN(100,BY40+25),IF(AND('2-man'!BY$40="D",BY40&gt;=35,'2-man'!BY$38&lt;=IF('2-man'!$BF$27="",999,'2-man'!$BF$27)),BY40-35,IF(AND(LEFT('2-man'!BY$40,3)="ST&gt;",BY40&gt;=100,'2-man'!BY$38&lt;=IF('2-man'!$BF$27="",999,'2-man'!$BF$27)),0,IF(AND(OR(AND('2-man'!BY$39="ST&gt;2",BY32&gt;=100)),'2-man'!BY$38&lt;=IF('2-man'!$BF$27="",999,'2-man'!$BF$27)),100,BY40)))))</f>
        <v/>
      </c>
      <c r="BZ41">
        <f>IF('2-man'!BZ$40="R",MIN(100,BZ40+10),IF('2-man'!BZ$40="P",MIN(100,BZ40+25),IF(AND('2-man'!BZ$40="D",BZ40&gt;=35,'2-man'!BZ$38&lt;=IF('2-man'!$BF$27="",999,'2-man'!$BF$27)),BZ40-35,IF(AND(LEFT('2-man'!BZ$40,3)="ST&gt;",BZ40&gt;=100,'2-man'!BZ$38&lt;=IF('2-man'!$BF$27="",999,'2-man'!$BF$27)),0,IF(AND(OR(AND('2-man'!BZ$39="ST&gt;2",BZ32&gt;=100)),'2-man'!BZ$38&lt;=IF('2-man'!$BF$27="",999,'2-man'!$BF$27)),100,BZ40)))))</f>
        <v/>
      </c>
      <c r="CA41">
        <f>IF('2-man'!CA$40="R",MIN(100,CA40+10),IF('2-man'!CA$40="P",MIN(100,CA40+25),IF(AND('2-man'!CA$40="D",CA40&gt;=35,'2-man'!CA$38&lt;=IF('2-man'!$BF$27="",999,'2-man'!$BF$27)),CA40-35,IF(AND(LEFT('2-man'!CA$40,3)="ST&gt;",CA40&gt;=100,'2-man'!CA$38&lt;=IF('2-man'!$BF$27="",999,'2-man'!$BF$27)),0,IF(AND(OR(AND('2-man'!CA$39="ST&gt;2",CA32&gt;=100)),'2-man'!CA$38&lt;=IF('2-man'!$BF$27="",999,'2-man'!$BF$27)),100,CA40)))))</f>
        <v/>
      </c>
      <c r="CB41">
        <f>IF('2-man'!CB$40="R",MIN(100,CB40+10),IF('2-man'!CB$40="P",MIN(100,CB40+25),IF(AND('2-man'!CB$40="D",CB40&gt;=35,'2-man'!CB$38&lt;=IF('2-man'!$BF$27="",999,'2-man'!$BF$27)),CB40-35,IF(AND(LEFT('2-man'!CB$40,3)="ST&gt;",CB40&gt;=100,'2-man'!CB$38&lt;=IF('2-man'!$BF$27="",999,'2-man'!$BF$27)),0,IF(AND(OR(AND('2-man'!CB$39="ST&gt;2",CB32&gt;=100)),'2-man'!CB$38&lt;=IF('2-man'!$BF$27="",999,'2-man'!$BF$27)),100,CB40)))))</f>
        <v/>
      </c>
      <c r="CC41">
        <f>IF('2-man'!CC$40="R",MIN(100,CC40+10),IF('2-man'!CC$40="P",MIN(100,CC40+25),IF(AND('2-man'!CC$40="D",CC40&gt;=35,'2-man'!CC$38&lt;=IF('2-man'!$BF$27="",999,'2-man'!$BF$27)),CC40-35,IF(AND(LEFT('2-man'!CC$40,3)="ST&gt;",CC40&gt;=100,'2-man'!CC$38&lt;=IF('2-man'!$BF$27="",999,'2-man'!$BF$27)),0,IF(AND(OR(AND('2-man'!CC$39="ST&gt;2",CC32&gt;=100)),'2-man'!CC$38&lt;=IF('2-man'!$BF$27="",999,'2-man'!$BF$27)),100,CC40)))))</f>
        <v/>
      </c>
      <c r="CD41">
        <f>IF('2-man'!CD$40="R",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IF('2-man'!C$40="R",0,IF(B41&gt;=100,0,IF(B42+1&gt;=IF(OR('2-man'!$F$28=TRUE,'2-man'!$F$28="TRUE",'2-man'!$F$28="Yes"),25,50),0,B42+1)))</f>
        <v/>
      </c>
      <c r="D42">
        <f>IF('2-man'!D$40="R",0,IF(C41&gt;=100,0,IF(C42+1&gt;=IF(OR('2-man'!$F$28=TRUE,'2-man'!$F$28="TRUE",'2-man'!$F$28="Yes"),25,50),0,C42+1)))</f>
        <v/>
      </c>
      <c r="E42">
        <f>IF('2-man'!E$40="R",0,IF(D41&gt;=100,0,IF(D42+1&gt;=IF(OR('2-man'!$F$28=TRUE,'2-man'!$F$28="TRUE",'2-man'!$F$28="Yes"),25,50),0,D42+1)))</f>
        <v/>
      </c>
      <c r="F42">
        <f>IF('2-man'!F$40="R",0,IF(E41&gt;=100,0,IF(E42+1&gt;=IF(OR('2-man'!$F$28=TRUE,'2-man'!$F$28="TRUE",'2-man'!$F$28="Yes"),25,50),0,E42+1)))</f>
        <v/>
      </c>
      <c r="G42">
        <f>IF('2-man'!G$40="R",0,IF(F41&gt;=100,0,IF(F42+1&gt;=IF(OR('2-man'!$F$28=TRUE,'2-man'!$F$28="TRUE",'2-man'!$F$28="Yes"),25,50),0,F42+1)))</f>
        <v/>
      </c>
      <c r="H42">
        <f>IF('2-man'!H$40="R",0,IF(G41&gt;=100,0,IF(G42+1&gt;=IF(OR('2-man'!$F$28=TRUE,'2-man'!$F$28="TRUE",'2-man'!$F$28="Yes"),25,50),0,G42+1)))</f>
        <v/>
      </c>
      <c r="I42">
        <f>IF('2-man'!I$40="R",0,IF(H41&gt;=100,0,IF(H42+1&gt;=IF(OR('2-man'!$F$28=TRUE,'2-man'!$F$28="TRUE",'2-man'!$F$28="Yes"),25,50),0,H42+1)))</f>
        <v/>
      </c>
      <c r="J42">
        <f>IF('2-man'!J$40="R",0,IF(I41&gt;=100,0,IF(I42+1&gt;=IF(OR('2-man'!$F$28=TRUE,'2-man'!$F$28="TRUE",'2-man'!$F$28="Yes"),25,50),0,I42+1)))</f>
        <v/>
      </c>
      <c r="K42">
        <f>IF('2-man'!K$40="R",0,IF(J41&gt;=100,0,IF(J42+1&gt;=IF(OR('2-man'!$F$28=TRUE,'2-man'!$F$28="TRUE",'2-man'!$F$28="Yes"),25,50),0,J42+1)))</f>
        <v/>
      </c>
      <c r="L42">
        <f>IF('2-man'!L$40="R",0,IF(K41&gt;=100,0,IF(K42+1&gt;=IF(OR('2-man'!$F$28=TRUE,'2-man'!$F$28="TRUE",'2-man'!$F$28="Yes"),25,50),0,K42+1)))</f>
        <v/>
      </c>
      <c r="M42">
        <f>IF('2-man'!M$40="R",0,IF(L41&gt;=100,0,IF(L42+1&gt;=IF(OR('2-man'!$F$28=TRUE,'2-man'!$F$28="TRUE",'2-man'!$F$28="Yes"),25,50),0,L42+1)))</f>
        <v/>
      </c>
      <c r="N42">
        <f>IF('2-man'!N$40="R",0,IF(M41&gt;=100,0,IF(M42+1&gt;=IF(OR('2-man'!$F$28=TRUE,'2-man'!$F$28="TRUE",'2-man'!$F$28="Yes"),25,50),0,M42+1)))</f>
        <v/>
      </c>
      <c r="O42">
        <f>IF('2-man'!O$40="R",0,IF(N41&gt;=100,0,IF(N42+1&gt;=IF(OR('2-man'!$F$28=TRUE,'2-man'!$F$28="TRUE",'2-man'!$F$28="Yes"),25,50),0,N42+1)))</f>
        <v/>
      </c>
      <c r="P42">
        <f>IF('2-man'!P$40="R",0,IF(O41&gt;=100,0,IF(O42+1&gt;=IF(OR('2-man'!$F$28=TRUE,'2-man'!$F$28="TRUE",'2-man'!$F$28="Yes"),25,50),0,O42+1)))</f>
        <v/>
      </c>
      <c r="Q42">
        <f>IF('2-man'!Q$40="R",0,IF(P41&gt;=100,0,IF(P42+1&gt;=IF(OR('2-man'!$F$28=TRUE,'2-man'!$F$28="TRUE",'2-man'!$F$28="Yes"),25,50),0,P42+1)))</f>
        <v/>
      </c>
      <c r="R42">
        <f>IF('2-man'!R$40="R",0,IF(Q41&gt;=100,0,IF(Q42+1&gt;=IF(OR('2-man'!$F$28=TRUE,'2-man'!$F$28="TRUE",'2-man'!$F$28="Yes"),25,50),0,Q42+1)))</f>
        <v/>
      </c>
      <c r="S42">
        <f>IF('2-man'!S$40="R",0,IF(R41&gt;=100,0,IF(R42+1&gt;=IF(OR('2-man'!$F$28=TRUE,'2-man'!$F$28="TRUE",'2-man'!$F$28="Yes"),25,50),0,R42+1)))</f>
        <v/>
      </c>
      <c r="T42">
        <f>IF('2-man'!T$40="R",0,IF(S41&gt;=100,0,IF(S42+1&gt;=IF(OR('2-man'!$F$28=TRUE,'2-man'!$F$28="TRUE",'2-man'!$F$28="Yes"),25,50),0,S42+1)))</f>
        <v/>
      </c>
      <c r="U42">
        <f>IF('2-man'!U$40="R",0,IF(T41&gt;=100,0,IF(T42+1&gt;=IF(OR('2-man'!$F$28=TRUE,'2-man'!$F$28="TRUE",'2-man'!$F$28="Yes"),25,50),0,T42+1)))</f>
        <v/>
      </c>
      <c r="V42">
        <f>IF('2-man'!V$40="R",0,IF(U41&gt;=100,0,IF(U42+1&gt;=IF(OR('2-man'!$F$28=TRUE,'2-man'!$F$28="TRUE",'2-man'!$F$28="Yes"),25,50),0,U42+1)))</f>
        <v/>
      </c>
      <c r="W42">
        <f>IF('2-man'!W$40="R",0,IF(V41&gt;=100,0,IF(V42+1&gt;=IF(OR('2-man'!$F$28=TRUE,'2-man'!$F$28="TRUE",'2-man'!$F$28="Yes"),25,50),0,V42+1)))</f>
        <v/>
      </c>
      <c r="X42">
        <f>IF('2-man'!X$40="R",0,IF(W41&gt;=100,0,IF(W42+1&gt;=IF(OR('2-man'!$F$28=TRUE,'2-man'!$F$28="TRUE",'2-man'!$F$28="Yes"),25,50),0,W42+1)))</f>
        <v/>
      </c>
      <c r="Y42">
        <f>IF('2-man'!Y$40="R",0,IF(X41&gt;=100,0,IF(X42+1&gt;=IF(OR('2-man'!$F$28=TRUE,'2-man'!$F$28="TRUE",'2-man'!$F$28="Yes"),25,50),0,X42+1)))</f>
        <v/>
      </c>
      <c r="Z42">
        <f>IF('2-man'!Z$40="R",0,IF(Y41&gt;=100,0,IF(Y42+1&gt;=IF(OR('2-man'!$F$28=TRUE,'2-man'!$F$28="TRUE",'2-man'!$F$28="Yes"),25,50),0,Y42+1)))</f>
        <v/>
      </c>
      <c r="AA42">
        <f>IF('2-man'!AA$40="R",0,IF(Z41&gt;=100,0,IF(Z42+1&gt;=IF(OR('2-man'!$F$28=TRUE,'2-man'!$F$28="TRUE",'2-man'!$F$28="Yes"),25,50),0,Z42+1)))</f>
        <v/>
      </c>
      <c r="AB42">
        <f>IF('2-man'!AB$40="R",0,IF(AA41&gt;=100,0,IF(AA42+1&gt;=IF(OR('2-man'!$F$28=TRUE,'2-man'!$F$28="TRUE",'2-man'!$F$28="Yes"),25,50),0,AA42+1)))</f>
        <v/>
      </c>
      <c r="AC42">
        <f>IF('2-man'!AC$40="R",0,IF(AB41&gt;=100,0,IF(AB42+1&gt;=IF(OR('2-man'!$F$28=TRUE,'2-man'!$F$28="TRUE",'2-man'!$F$28="Yes"),25,50),0,AB42+1)))</f>
        <v/>
      </c>
      <c r="AD42">
        <f>IF('2-man'!AD$40="R",0,IF(AC41&gt;=100,0,IF(AC42+1&gt;=IF(OR('2-man'!$F$28=TRUE,'2-man'!$F$28="TRUE",'2-man'!$F$28="Yes"),25,50),0,AC42+1)))</f>
        <v/>
      </c>
      <c r="AE42">
        <f>IF('2-man'!AE$40="R",0,IF(AD41&gt;=100,0,IF(AD42+1&gt;=IF(OR('2-man'!$F$28=TRUE,'2-man'!$F$28="TRUE",'2-man'!$F$28="Yes"),25,50),0,AD42+1)))</f>
        <v/>
      </c>
      <c r="AF42">
        <f>IF('2-man'!AF$40="R",0,IF(AE41&gt;=100,0,IF(AE42+1&gt;=IF(OR('2-man'!$F$28=TRUE,'2-man'!$F$28="TRUE",'2-man'!$F$28="Yes"),25,50),0,AE42+1)))</f>
        <v/>
      </c>
      <c r="AG42">
        <f>IF('2-man'!AG$40="R",0,IF(AF41&gt;=100,0,IF(AF42+1&gt;=IF(OR('2-man'!$F$28=TRUE,'2-man'!$F$28="TRUE",'2-man'!$F$28="Yes"),25,50),0,AF42+1)))</f>
        <v/>
      </c>
      <c r="AH42">
        <f>IF('2-man'!AH$40="R",0,IF(AG41&gt;=100,0,IF(AG42+1&gt;=IF(OR('2-man'!$F$28=TRUE,'2-man'!$F$28="TRUE",'2-man'!$F$28="Yes"),25,50),0,AG42+1)))</f>
        <v/>
      </c>
      <c r="AI42">
        <f>IF('2-man'!AI$40="R",0,IF(AH41&gt;=100,0,IF(AH42+1&gt;=IF(OR('2-man'!$F$28=TRUE,'2-man'!$F$28="TRUE",'2-man'!$F$28="Yes"),25,50),0,AH42+1)))</f>
        <v/>
      </c>
      <c r="AJ42">
        <f>IF('2-man'!AJ$40="R",0,IF(AI41&gt;=100,0,IF(AI42+1&gt;=IF(OR('2-man'!$F$28=TRUE,'2-man'!$F$28="TRUE",'2-man'!$F$28="Yes"),25,50),0,AI42+1)))</f>
        <v/>
      </c>
      <c r="AK42">
        <f>IF('2-man'!AK$40="R",0,IF(AJ41&gt;=100,0,IF(AJ42+1&gt;=IF(OR('2-man'!$F$28=TRUE,'2-man'!$F$28="TRUE",'2-man'!$F$28="Yes"),25,50),0,AJ42+1)))</f>
        <v/>
      </c>
      <c r="AL42">
        <f>IF('2-man'!AL$40="R",0,IF(AK41&gt;=100,0,IF(AK42+1&gt;=IF(OR('2-man'!$F$28=TRUE,'2-man'!$F$28="TRUE",'2-man'!$F$28="Yes"),25,50),0,AK42+1)))</f>
        <v/>
      </c>
      <c r="AM42">
        <f>IF('2-man'!AM$40="R",0,IF(AL41&gt;=100,0,IF(AL42+1&gt;=IF(OR('2-man'!$F$28=TRUE,'2-man'!$F$28="TRUE",'2-man'!$F$28="Yes"),25,50),0,AL42+1)))</f>
        <v/>
      </c>
      <c r="AN42">
        <f>IF('2-man'!AN$40="R",0,IF(AM41&gt;=100,0,IF(AM42+1&gt;=IF(OR('2-man'!$F$28=TRUE,'2-man'!$F$28="TRUE",'2-man'!$F$28="Yes"),25,50),0,AM42+1)))</f>
        <v/>
      </c>
      <c r="AO42">
        <f>IF('2-man'!AO$40="R",0,IF(AN41&gt;=100,0,IF(AN42+1&gt;=IF(OR('2-man'!$F$28=TRUE,'2-man'!$F$28="TRUE",'2-man'!$F$28="Yes"),25,50),0,AN42+1)))</f>
        <v/>
      </c>
      <c r="AP42">
        <f>IF('2-man'!AP$40="R",0,IF(AO41&gt;=100,0,IF(AO42+1&gt;=IF(OR('2-man'!$F$28=TRUE,'2-man'!$F$28="TRUE",'2-man'!$F$28="Yes"),25,50),0,AO42+1)))</f>
        <v/>
      </c>
      <c r="AQ42">
        <f>IF('2-man'!AQ$40="R",0,IF(AP41&gt;=100,0,IF(AP42+1&gt;=IF(OR('2-man'!$F$28=TRUE,'2-man'!$F$28="TRUE",'2-man'!$F$28="Yes"),25,50),0,AP42+1)))</f>
        <v/>
      </c>
      <c r="AR42">
        <f>IF('2-man'!AR$40="R",0,IF(AQ41&gt;=100,0,IF(AQ42+1&gt;=IF(OR('2-man'!$F$28=TRUE,'2-man'!$F$28="TRUE",'2-man'!$F$28="Yes"),25,50),0,AQ42+1)))</f>
        <v/>
      </c>
      <c r="AS42">
        <f>IF('2-man'!AS$40="R",0,IF(AR41&gt;=100,0,IF(AR42+1&gt;=IF(OR('2-man'!$F$28=TRUE,'2-man'!$F$28="TRUE",'2-man'!$F$28="Yes"),25,50),0,AR42+1)))</f>
        <v/>
      </c>
      <c r="AT42">
        <f>IF('2-man'!AT$40="R",0,IF(AS41&gt;=100,0,IF(AS42+1&gt;=IF(OR('2-man'!$F$28=TRUE,'2-man'!$F$28="TRUE",'2-man'!$F$28="Yes"),25,50),0,AS42+1)))</f>
        <v/>
      </c>
      <c r="AU42">
        <f>IF('2-man'!AU$40="R",0,IF(AT41&gt;=100,0,IF(AT42+1&gt;=IF(OR('2-man'!$F$28=TRUE,'2-man'!$F$28="TRUE",'2-man'!$F$28="Yes"),25,50),0,AT42+1)))</f>
        <v/>
      </c>
      <c r="AV42">
        <f>IF('2-man'!AV$40="R",0,IF(AU41&gt;=100,0,IF(AU42+1&gt;=IF(OR('2-man'!$F$28=TRUE,'2-man'!$F$28="TRUE",'2-man'!$F$28="Yes"),25,50),0,AU42+1)))</f>
        <v/>
      </c>
      <c r="AW42">
        <f>IF('2-man'!AW$40="R",0,IF(AV41&gt;=100,0,IF(AV42+1&gt;=IF(OR('2-man'!$F$28=TRUE,'2-man'!$F$28="TRUE",'2-man'!$F$28="Yes"),25,50),0,AV42+1)))</f>
        <v/>
      </c>
      <c r="AX42">
        <f>IF('2-man'!AX$40="R",0,IF(AW41&gt;=100,0,IF(AW42+1&gt;=IF(OR('2-man'!$F$28=TRUE,'2-man'!$F$28="TRUE",'2-man'!$F$28="Yes"),25,50),0,AW42+1)))</f>
        <v/>
      </c>
      <c r="AY42">
        <f>IF('2-man'!AY$40="R",0,IF(AX41&gt;=100,0,IF(AX42+1&gt;=IF(OR('2-man'!$F$28=TRUE,'2-man'!$F$28="TRUE",'2-man'!$F$28="Yes"),25,50),0,AX42+1)))</f>
        <v/>
      </c>
      <c r="AZ42">
        <f>IF('2-man'!AZ$40="R",0,IF(AY41&gt;=100,0,IF(AY42+1&gt;=IF(OR('2-man'!$F$28=TRUE,'2-man'!$F$28="TRUE",'2-man'!$F$28="Yes"),25,50),0,AY42+1)))</f>
        <v/>
      </c>
      <c r="BA42">
        <f>IF('2-man'!BA$40="R",0,IF(AZ41&gt;=100,0,IF(AZ42+1&gt;=IF(OR('2-man'!$F$28=TRUE,'2-man'!$F$28="TRUE",'2-man'!$F$28="Yes"),25,50),0,AZ42+1)))</f>
        <v/>
      </c>
      <c r="BB42">
        <f>IF('2-man'!BB$40="R",0,IF(BA41&gt;=100,0,IF(BA42+1&gt;=IF(OR('2-man'!$F$28=TRUE,'2-man'!$F$28="TRUE",'2-man'!$F$28="Yes"),25,50),0,BA42+1)))</f>
        <v/>
      </c>
      <c r="BC42">
        <f>IF('2-man'!BC$40="R",0,IF(BB41&gt;=100,0,IF(BB42+1&gt;=IF(OR('2-man'!$F$28=TRUE,'2-man'!$F$28="TRUE",'2-man'!$F$28="Yes"),25,50),0,BB42+1)))</f>
        <v/>
      </c>
      <c r="BD42">
        <f>IF('2-man'!BD$40="R",0,IF(BC41&gt;=100,0,IF(BC42+1&gt;=IF(OR('2-man'!$F$28=TRUE,'2-man'!$F$28="TRUE",'2-man'!$F$28="Yes"),25,50),0,BC42+1)))</f>
        <v/>
      </c>
      <c r="BE42">
        <f>IF('2-man'!BE$40="R",0,IF(BD41&gt;=100,0,IF(BD42+1&gt;=IF(OR('2-man'!$F$28=TRUE,'2-man'!$F$28="TRUE",'2-man'!$F$28="Yes"),25,50),0,BD42+1)))</f>
        <v/>
      </c>
      <c r="BF42">
        <f>IF('2-man'!BF$40="R",0,IF(BE41&gt;=100,0,IF(BE42+1&gt;=IF(OR('2-man'!$F$28=TRUE,'2-man'!$F$28="TRUE",'2-man'!$F$28="Yes"),25,50),0,BE42+1)))</f>
        <v/>
      </c>
      <c r="BG42">
        <f>IF('2-man'!BG$40="R",0,IF(BF41&gt;=100,0,IF(BF42+1&gt;=IF(OR('2-man'!$F$28=TRUE,'2-man'!$F$28="TRUE",'2-man'!$F$28="Yes"),25,50),0,BF42+1)))</f>
        <v/>
      </c>
      <c r="BH42">
        <f>IF('2-man'!BH$40="R",0,IF(BG41&gt;=100,0,IF(BG42+1&gt;=IF(OR('2-man'!$F$28=TRUE,'2-man'!$F$28="TRUE",'2-man'!$F$28="Yes"),25,50),0,BG42+1)))</f>
        <v/>
      </c>
      <c r="BI42">
        <f>IF('2-man'!BI$40="R",0,IF(BH41&gt;=100,0,IF(BH42+1&gt;=IF(OR('2-man'!$F$28=TRUE,'2-man'!$F$28="TRUE",'2-man'!$F$28="Yes"),25,50),0,BH42+1)))</f>
        <v/>
      </c>
      <c r="BJ42">
        <f>IF('2-man'!BJ$40="R",0,IF(BI41&gt;=100,0,IF(BI42+1&gt;=IF(OR('2-man'!$F$28=TRUE,'2-man'!$F$28="TRUE",'2-man'!$F$28="Yes"),25,50),0,BI42+1)))</f>
        <v/>
      </c>
      <c r="BK42">
        <f>IF('2-man'!BK$40="R",0,IF(BJ41&gt;=100,0,IF(BJ42+1&gt;=IF(OR('2-man'!$F$28=TRUE,'2-man'!$F$28="TRUE",'2-man'!$F$28="Yes"),25,50),0,BJ42+1)))</f>
        <v/>
      </c>
      <c r="BL42">
        <f>IF('2-man'!BL$40="R",0,IF(BK41&gt;=100,0,IF(BK42+1&gt;=IF(OR('2-man'!$F$28=TRUE,'2-man'!$F$28="TRUE",'2-man'!$F$28="Yes"),25,50),0,BK42+1)))</f>
        <v/>
      </c>
      <c r="BM42">
        <f>IF('2-man'!BM$40="R",0,IF(BL41&gt;=100,0,IF(BL42+1&gt;=IF(OR('2-man'!$F$28=TRUE,'2-man'!$F$28="TRUE",'2-man'!$F$28="Yes"),25,50),0,BL42+1)))</f>
        <v/>
      </c>
      <c r="BN42">
        <f>IF('2-man'!BN$40="R",0,IF(BM41&gt;=100,0,IF(BM42+1&gt;=IF(OR('2-man'!$F$28=TRUE,'2-man'!$F$28="TRUE",'2-man'!$F$28="Yes"),25,50),0,BM42+1)))</f>
        <v/>
      </c>
      <c r="BO42">
        <f>IF('2-man'!BO$40="R",0,IF(BN41&gt;=100,0,IF(BN42+1&gt;=IF(OR('2-man'!$F$28=TRUE,'2-man'!$F$28="TRUE",'2-man'!$F$28="Yes"),25,50),0,BN42+1)))</f>
        <v/>
      </c>
      <c r="BP42">
        <f>IF('2-man'!BP$40="R",0,IF(BO41&gt;=100,0,IF(BO42+1&gt;=IF(OR('2-man'!$F$28=TRUE,'2-man'!$F$28="TRUE",'2-man'!$F$28="Yes"),25,50),0,BO42+1)))</f>
        <v/>
      </c>
      <c r="BQ42">
        <f>IF('2-man'!BQ$40="R",0,IF(BP41&gt;=100,0,IF(BP42+1&gt;=IF(OR('2-man'!$F$28=TRUE,'2-man'!$F$28="TRUE",'2-man'!$F$28="Yes"),25,50),0,BP42+1)))</f>
        <v/>
      </c>
      <c r="BR42">
        <f>IF('2-man'!BR$40="R",0,IF(BQ41&gt;=100,0,IF(BQ42+1&gt;=IF(OR('2-man'!$F$28=TRUE,'2-man'!$F$28="TRUE",'2-man'!$F$28="Yes"),25,50),0,BQ42+1)))</f>
        <v/>
      </c>
      <c r="BS42">
        <f>IF('2-man'!BS$40="R",0,IF(BR41&gt;=100,0,IF(BR42+1&gt;=IF(OR('2-man'!$F$28=TRUE,'2-man'!$F$28="TRUE",'2-man'!$F$28="Yes"),25,50),0,BR42+1)))</f>
        <v/>
      </c>
      <c r="BT42">
        <f>IF('2-man'!BT$40="R",0,IF(BS41&gt;=100,0,IF(BS42+1&gt;=IF(OR('2-man'!$F$28=TRUE,'2-man'!$F$28="TRUE",'2-man'!$F$28="Yes"),25,50),0,BS42+1)))</f>
        <v/>
      </c>
      <c r="BU42">
        <f>IF('2-man'!BU$40="R",0,IF(BT41&gt;=100,0,IF(BT42+1&gt;=IF(OR('2-man'!$F$28=TRUE,'2-man'!$F$28="TRUE",'2-man'!$F$28="Yes"),25,50),0,BT42+1)))</f>
        <v/>
      </c>
      <c r="BV42">
        <f>IF('2-man'!BV$40="R",0,IF(BU41&gt;=100,0,IF(BU42+1&gt;=IF(OR('2-man'!$F$28=TRUE,'2-man'!$F$28="TRUE",'2-man'!$F$28="Yes"),25,50),0,BU42+1)))</f>
        <v/>
      </c>
      <c r="BW42">
        <f>IF('2-man'!BW$40="R",0,IF(BV41&gt;=100,0,IF(BV42+1&gt;=IF(OR('2-man'!$F$28=TRUE,'2-man'!$F$28="TRUE",'2-man'!$F$28="Yes"),25,50),0,BV42+1)))</f>
        <v/>
      </c>
      <c r="BX42">
        <f>IF('2-man'!BX$40="R",0,IF(BW41&gt;=100,0,IF(BW42+1&gt;=IF(OR('2-man'!$F$28=TRUE,'2-man'!$F$28="TRUE",'2-man'!$F$28="Yes"),25,50),0,BW42+1)))</f>
        <v/>
      </c>
      <c r="BY42">
        <f>IF('2-man'!BY$40="R",0,IF(BX41&gt;=100,0,IF(BX42+1&gt;=IF(OR('2-man'!$F$28=TRUE,'2-man'!$F$28="TRUE",'2-man'!$F$28="Yes"),25,50),0,BX42+1)))</f>
        <v/>
      </c>
      <c r="BZ42">
        <f>IF('2-man'!BZ$40="R",0,IF(BY41&gt;=100,0,IF(BY42+1&gt;=IF(OR('2-man'!$F$28=TRUE,'2-man'!$F$28="TRUE",'2-man'!$F$28="Yes"),25,50),0,BY42+1)))</f>
        <v/>
      </c>
      <c r="CA42">
        <f>IF('2-man'!CA$40="R",0,IF(BZ41&gt;=100,0,IF(BZ42+1&gt;=IF(OR('2-man'!$F$28=TRUE,'2-man'!$F$28="TRUE",'2-man'!$F$28="Yes"),25,50),0,BZ42+1)))</f>
        <v/>
      </c>
      <c r="CB42">
        <f>IF('2-man'!CB$40="R",0,IF(CA41&gt;=100,0,IF(CA42+1&gt;=IF(OR('2-man'!$F$28=TRUE,'2-man'!$F$28="TRUE",'2-man'!$F$28="Yes"),25,50),0,CA42+1)))</f>
        <v/>
      </c>
      <c r="CC42">
        <f>IF('2-man'!CC$40="R",0,IF(CB41&gt;=100,0,IF(CB42+1&gt;=IF(OR('2-man'!$F$28=TRUE,'2-man'!$F$28="TRUE",'2-man'!$F$28="Yes"),25,50),0,CB42+1)))</f>
        <v/>
      </c>
      <c r="CD42">
        <f>IF('2-man'!CD$40="R",0,IF(CC41&gt;=100,0,IF(CC42+1&gt;=IF(OR('2-man'!$F$28=TRUE,'2-man'!$F$28="TRUE",'2-man'!$F$28="Yes"),25,50),0,CC42+1)))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row>
    <row r="47">
      <c r="A47" t="inlineStr">
        <is>
          <t>P2 act</t>
        </is>
      </c>
      <c r="C47">
        <f>IF(OR('2-man'!C$40="P",'2-man'!C$40="R",AND('2-man'!C$38&lt;=IF('2-man'!$BF$27="",999,'2-man'!$BF$27),OR('2-man'!C$40="D",LEFT('2-man'!C$40,3)="ST&gt;",OR(AND('2-man'!C$39="ST&gt;2",C32&gt;=100))))),'2-man'!C$38,0)</f>
        <v/>
      </c>
      <c r="D47">
        <f>IF(OR('2-man'!D$40="P",'2-man'!D$40="R",AND('2-man'!D$38&lt;=IF('2-man'!$BF$27="",999,'2-man'!$BF$27),OR('2-man'!D$40="D",LEFT('2-man'!D$40,3)="ST&gt;",OR(AND('2-man'!D$39="ST&gt;2",D32&gt;=100))))),'2-man'!D$38,0)</f>
        <v/>
      </c>
      <c r="E47">
        <f>IF(OR('2-man'!E$40="P",'2-man'!E$40="R",AND('2-man'!E$38&lt;=IF('2-man'!$BF$27="",999,'2-man'!$BF$27),OR('2-man'!E$40="D",LEFT('2-man'!E$40,3)="ST&gt;",OR(AND('2-man'!E$39="ST&gt;2",E32&gt;=100))))),'2-man'!E$38,0)</f>
        <v/>
      </c>
      <c r="F47">
        <f>IF(OR('2-man'!F$40="P",'2-man'!F$40="R",AND('2-man'!F$38&lt;=IF('2-man'!$BF$27="",999,'2-man'!$BF$27),OR('2-man'!F$40="D",LEFT('2-man'!F$40,3)="ST&gt;",OR(AND('2-man'!F$39="ST&gt;2",F32&gt;=100))))),'2-man'!F$38,0)</f>
        <v/>
      </c>
      <c r="G47">
        <f>IF(OR('2-man'!G$40="P",'2-man'!G$40="R",AND('2-man'!G$38&lt;=IF('2-man'!$BF$27="",999,'2-man'!$BF$27),OR('2-man'!G$40="D",LEFT('2-man'!G$40,3)="ST&gt;",OR(AND('2-man'!G$39="ST&gt;2",G32&gt;=100))))),'2-man'!G$38,0)</f>
        <v/>
      </c>
      <c r="H47">
        <f>IF(OR('2-man'!H$40="P",'2-man'!H$40="R",AND('2-man'!H$38&lt;=IF('2-man'!$BF$27="",999,'2-man'!$BF$27),OR('2-man'!H$40="D",LEFT('2-man'!H$40,3)="ST&gt;",OR(AND('2-man'!H$39="ST&gt;2",H32&gt;=100))))),'2-man'!H$38,0)</f>
        <v/>
      </c>
      <c r="I47">
        <f>IF(OR('2-man'!I$40="P",'2-man'!I$40="R",AND('2-man'!I$38&lt;=IF('2-man'!$BF$27="",999,'2-man'!$BF$27),OR('2-man'!I$40="D",LEFT('2-man'!I$40,3)="ST&gt;",OR(AND('2-man'!I$39="ST&gt;2",I32&gt;=100))))),'2-man'!I$38,0)</f>
        <v/>
      </c>
      <c r="J47">
        <f>IF(OR('2-man'!J$40="P",'2-man'!J$40="R",AND('2-man'!J$38&lt;=IF('2-man'!$BF$27="",999,'2-man'!$BF$27),OR('2-man'!J$40="D",LEFT('2-man'!J$40,3)="ST&gt;",OR(AND('2-man'!J$39="ST&gt;2",J32&gt;=100))))),'2-man'!J$38,0)</f>
        <v/>
      </c>
      <c r="K47">
        <f>IF(OR('2-man'!K$40="P",'2-man'!K$40="R",AND('2-man'!K$38&lt;=IF('2-man'!$BF$27="",999,'2-man'!$BF$27),OR('2-man'!K$40="D",LEFT('2-man'!K$40,3)="ST&gt;",OR(AND('2-man'!K$39="ST&gt;2",K32&gt;=100))))),'2-man'!K$38,0)</f>
        <v/>
      </c>
      <c r="L47">
        <f>IF(OR('2-man'!L$40="P",'2-man'!L$40="R",AND('2-man'!L$38&lt;=IF('2-man'!$BF$27="",999,'2-man'!$BF$27),OR('2-man'!L$40="D",LEFT('2-man'!L$40,3)="ST&gt;",OR(AND('2-man'!L$39="ST&gt;2",L32&gt;=100))))),'2-man'!L$38,0)</f>
        <v/>
      </c>
      <c r="M47">
        <f>IF(OR('2-man'!M$40="P",'2-man'!M$40="R",AND('2-man'!M$38&lt;=IF('2-man'!$BF$27="",999,'2-man'!$BF$27),OR('2-man'!M$40="D",LEFT('2-man'!M$40,3)="ST&gt;",OR(AND('2-man'!M$39="ST&gt;2",M32&gt;=100))))),'2-man'!M$38,0)</f>
        <v/>
      </c>
      <c r="N47">
        <f>IF(OR('2-man'!N$40="P",'2-man'!N$40="R",AND('2-man'!N$38&lt;=IF('2-man'!$BF$27="",999,'2-man'!$BF$27),OR('2-man'!N$40="D",LEFT('2-man'!N$40,3)="ST&gt;",OR(AND('2-man'!N$39="ST&gt;2",N32&gt;=100))))),'2-man'!N$38,0)</f>
        <v/>
      </c>
      <c r="O47">
        <f>IF(OR('2-man'!O$40="P",'2-man'!O$40="R",AND('2-man'!O$38&lt;=IF('2-man'!$BF$27="",999,'2-man'!$BF$27),OR('2-man'!O$40="D",LEFT('2-man'!O$40,3)="ST&gt;",OR(AND('2-man'!O$39="ST&gt;2",O32&gt;=100))))),'2-man'!O$38,0)</f>
        <v/>
      </c>
      <c r="P47">
        <f>IF(OR('2-man'!P$40="P",'2-man'!P$40="R",AND('2-man'!P$38&lt;=IF('2-man'!$BF$27="",999,'2-man'!$BF$27),OR('2-man'!P$40="D",LEFT('2-man'!P$40,3)="ST&gt;",OR(AND('2-man'!P$39="ST&gt;2",P32&gt;=100))))),'2-man'!P$38,0)</f>
        <v/>
      </c>
      <c r="Q47">
        <f>IF(OR('2-man'!Q$40="P",'2-man'!Q$40="R",AND('2-man'!Q$38&lt;=IF('2-man'!$BF$27="",999,'2-man'!$BF$27),OR('2-man'!Q$40="D",LEFT('2-man'!Q$40,3)="ST&gt;",OR(AND('2-man'!Q$39="ST&gt;2",Q32&gt;=100))))),'2-man'!Q$38,0)</f>
        <v/>
      </c>
      <c r="R47">
        <f>IF(OR('2-man'!R$40="P",'2-man'!R$40="R",AND('2-man'!R$38&lt;=IF('2-man'!$BF$27="",999,'2-man'!$BF$27),OR('2-man'!R$40="D",LEFT('2-man'!R$40,3)="ST&gt;",OR(AND('2-man'!R$39="ST&gt;2",R32&gt;=100))))),'2-man'!R$38,0)</f>
        <v/>
      </c>
      <c r="S47">
        <f>IF(OR('2-man'!S$40="P",'2-man'!S$40="R",AND('2-man'!S$38&lt;=IF('2-man'!$BF$27="",999,'2-man'!$BF$27),OR('2-man'!S$40="D",LEFT('2-man'!S$40,3)="ST&gt;",OR(AND('2-man'!S$39="ST&gt;2",S32&gt;=100))))),'2-man'!S$38,0)</f>
        <v/>
      </c>
      <c r="T47">
        <f>IF(OR('2-man'!T$40="P",'2-man'!T$40="R",AND('2-man'!T$38&lt;=IF('2-man'!$BF$27="",999,'2-man'!$BF$27),OR('2-man'!T$40="D",LEFT('2-man'!T$40,3)="ST&gt;",OR(AND('2-man'!T$39="ST&gt;2",T32&gt;=100))))),'2-man'!T$38,0)</f>
        <v/>
      </c>
      <c r="U47">
        <f>IF(OR('2-man'!U$40="P",'2-man'!U$40="R",AND('2-man'!U$38&lt;=IF('2-man'!$BF$27="",999,'2-man'!$BF$27),OR('2-man'!U$40="D",LEFT('2-man'!U$40,3)="ST&gt;",OR(AND('2-man'!U$39="ST&gt;2",U32&gt;=100))))),'2-man'!U$38,0)</f>
        <v/>
      </c>
      <c r="V47">
        <f>IF(OR('2-man'!V$40="P",'2-man'!V$40="R",AND('2-man'!V$38&lt;=IF('2-man'!$BF$27="",999,'2-man'!$BF$27),OR('2-man'!V$40="D",LEFT('2-man'!V$40,3)="ST&gt;",OR(AND('2-man'!V$39="ST&gt;2",V32&gt;=100))))),'2-man'!V$38,0)</f>
        <v/>
      </c>
      <c r="W47">
        <f>IF(OR('2-man'!W$40="P",'2-man'!W$40="R",AND('2-man'!W$38&lt;=IF('2-man'!$BF$27="",999,'2-man'!$BF$27),OR('2-man'!W$40="D",LEFT('2-man'!W$40,3)="ST&gt;",OR(AND('2-man'!W$39="ST&gt;2",W32&gt;=100))))),'2-man'!W$38,0)</f>
        <v/>
      </c>
      <c r="X47">
        <f>IF(OR('2-man'!X$40="P",'2-man'!X$40="R",AND('2-man'!X$38&lt;=IF('2-man'!$BF$27="",999,'2-man'!$BF$27),OR('2-man'!X$40="D",LEFT('2-man'!X$40,3)="ST&gt;",OR(AND('2-man'!X$39="ST&gt;2",X32&gt;=100))))),'2-man'!X$38,0)</f>
        <v/>
      </c>
      <c r="Y47">
        <f>IF(OR('2-man'!Y$40="P",'2-man'!Y$40="R",AND('2-man'!Y$38&lt;=IF('2-man'!$BF$27="",999,'2-man'!$BF$27),OR('2-man'!Y$40="D",LEFT('2-man'!Y$40,3)="ST&gt;",OR(AND('2-man'!Y$39="ST&gt;2",Y32&gt;=100))))),'2-man'!Y$38,0)</f>
        <v/>
      </c>
      <c r="Z47">
        <f>IF(OR('2-man'!Z$40="P",'2-man'!Z$40="R",AND('2-man'!Z$38&lt;=IF('2-man'!$BF$27="",999,'2-man'!$BF$27),OR('2-man'!Z$40="D",LEFT('2-man'!Z$40,3)="ST&gt;",OR(AND('2-man'!Z$39="ST&gt;2",Z32&gt;=100))))),'2-man'!Z$38,0)</f>
        <v/>
      </c>
      <c r="AA47">
        <f>IF(OR('2-man'!AA$40="P",'2-man'!AA$40="R",AND('2-man'!AA$38&lt;=IF('2-man'!$BF$27="",999,'2-man'!$BF$27),OR('2-man'!AA$40="D",LEFT('2-man'!AA$40,3)="ST&gt;",OR(AND('2-man'!AA$39="ST&gt;2",AA32&gt;=100))))),'2-man'!AA$38,0)</f>
        <v/>
      </c>
      <c r="AB47">
        <f>IF(OR('2-man'!AB$40="P",'2-man'!AB$40="R",AND('2-man'!AB$38&lt;=IF('2-man'!$BF$27="",999,'2-man'!$BF$27),OR('2-man'!AB$40="D",LEFT('2-man'!AB$40,3)="ST&gt;",OR(AND('2-man'!AB$39="ST&gt;2",AB32&gt;=100))))),'2-man'!AB$38,0)</f>
        <v/>
      </c>
      <c r="AC47">
        <f>IF(OR('2-man'!AC$40="P",'2-man'!AC$40="R",AND('2-man'!AC$38&lt;=IF('2-man'!$BF$27="",999,'2-man'!$BF$27),OR('2-man'!AC$40="D",LEFT('2-man'!AC$40,3)="ST&gt;",OR(AND('2-man'!AC$39="ST&gt;2",AC32&gt;=100))))),'2-man'!AC$38,0)</f>
        <v/>
      </c>
      <c r="AD47">
        <f>IF(OR('2-man'!AD$40="P",'2-man'!AD$40="R",AND('2-man'!AD$38&lt;=IF('2-man'!$BF$27="",999,'2-man'!$BF$27),OR('2-man'!AD$40="D",LEFT('2-man'!AD$40,3)="ST&gt;",OR(AND('2-man'!AD$39="ST&gt;2",AD32&gt;=100))))),'2-man'!AD$38,0)</f>
        <v/>
      </c>
      <c r="AE47">
        <f>IF(OR('2-man'!AE$40="P",'2-man'!AE$40="R",AND('2-man'!AE$38&lt;=IF('2-man'!$BF$27="",999,'2-man'!$BF$27),OR('2-man'!AE$40="D",LEFT('2-man'!AE$40,3)="ST&gt;",OR(AND('2-man'!AE$39="ST&gt;2",AE32&gt;=100))))),'2-man'!AE$38,0)</f>
        <v/>
      </c>
      <c r="AF47">
        <f>IF(OR('2-man'!AF$40="P",'2-man'!AF$40="R",AND('2-man'!AF$38&lt;=IF('2-man'!$BF$27="",999,'2-man'!$BF$27),OR('2-man'!AF$40="D",LEFT('2-man'!AF$40,3)="ST&gt;",OR(AND('2-man'!AF$39="ST&gt;2",AF32&gt;=100))))),'2-man'!AF$38,0)</f>
        <v/>
      </c>
      <c r="AG47">
        <f>IF(OR('2-man'!AG$40="P",'2-man'!AG$40="R",AND('2-man'!AG$38&lt;=IF('2-man'!$BF$27="",999,'2-man'!$BF$27),OR('2-man'!AG$40="D",LEFT('2-man'!AG$40,3)="ST&gt;",OR(AND('2-man'!AG$39="ST&gt;2",AG32&gt;=100))))),'2-man'!AG$38,0)</f>
        <v/>
      </c>
      <c r="AH47">
        <f>IF(OR('2-man'!AH$40="P",'2-man'!AH$40="R",AND('2-man'!AH$38&lt;=IF('2-man'!$BF$27="",999,'2-man'!$BF$27),OR('2-man'!AH$40="D",LEFT('2-man'!AH$40,3)="ST&gt;",OR(AND('2-man'!AH$39="ST&gt;2",AH32&gt;=100))))),'2-man'!AH$38,0)</f>
        <v/>
      </c>
      <c r="AI47">
        <f>IF(OR('2-man'!AI$40="P",'2-man'!AI$40="R",AND('2-man'!AI$38&lt;=IF('2-man'!$BF$27="",999,'2-man'!$BF$27),OR('2-man'!AI$40="D",LEFT('2-man'!AI$40,3)="ST&gt;",OR(AND('2-man'!AI$39="ST&gt;2",AI32&gt;=100))))),'2-man'!AI$38,0)</f>
        <v/>
      </c>
      <c r="AJ47">
        <f>IF(OR('2-man'!AJ$40="P",'2-man'!AJ$40="R",AND('2-man'!AJ$38&lt;=IF('2-man'!$BF$27="",999,'2-man'!$BF$27),OR('2-man'!AJ$40="D",LEFT('2-man'!AJ$40,3)="ST&gt;",OR(AND('2-man'!AJ$39="ST&gt;2",AJ32&gt;=100))))),'2-man'!AJ$38,0)</f>
        <v/>
      </c>
      <c r="AK47">
        <f>IF(OR('2-man'!AK$40="P",'2-man'!AK$40="R",AND('2-man'!AK$38&lt;=IF('2-man'!$BF$27="",999,'2-man'!$BF$27),OR('2-man'!AK$40="D",LEFT('2-man'!AK$40,3)="ST&gt;",OR(AND('2-man'!AK$39="ST&gt;2",AK32&gt;=100))))),'2-man'!AK$38,0)</f>
        <v/>
      </c>
      <c r="AL47">
        <f>IF(OR('2-man'!AL$40="P",'2-man'!AL$40="R",AND('2-man'!AL$38&lt;=IF('2-man'!$BF$27="",999,'2-man'!$BF$27),OR('2-man'!AL$40="D",LEFT('2-man'!AL$40,3)="ST&gt;",OR(AND('2-man'!AL$39="ST&gt;2",AL32&gt;=100))))),'2-man'!AL$38,0)</f>
        <v/>
      </c>
      <c r="AM47">
        <f>IF(OR('2-man'!AM$40="P",'2-man'!AM$40="R",AND('2-man'!AM$38&lt;=IF('2-man'!$BF$27="",999,'2-man'!$BF$27),OR('2-man'!AM$40="D",LEFT('2-man'!AM$40,3)="ST&gt;",OR(AND('2-man'!AM$39="ST&gt;2",AM32&gt;=100))))),'2-man'!AM$38,0)</f>
        <v/>
      </c>
      <c r="AN47">
        <f>IF(OR('2-man'!AN$40="P",'2-man'!AN$40="R",AND('2-man'!AN$38&lt;=IF('2-man'!$BF$27="",999,'2-man'!$BF$27),OR('2-man'!AN$40="D",LEFT('2-man'!AN$40,3)="ST&gt;",OR(AND('2-man'!AN$39="ST&gt;2",AN32&gt;=100))))),'2-man'!AN$38,0)</f>
        <v/>
      </c>
      <c r="AO47">
        <f>IF(OR('2-man'!AO$40="P",'2-man'!AO$40="R",AND('2-man'!AO$38&lt;=IF('2-man'!$BF$27="",999,'2-man'!$BF$27),OR('2-man'!AO$40="D",LEFT('2-man'!AO$40,3)="ST&gt;",OR(AND('2-man'!AO$39="ST&gt;2",AO32&gt;=100))))),'2-man'!AO$38,0)</f>
        <v/>
      </c>
      <c r="AP47">
        <f>IF(OR('2-man'!AP$40="P",'2-man'!AP$40="R",AND('2-man'!AP$38&lt;=IF('2-man'!$BF$27="",999,'2-man'!$BF$27),OR('2-man'!AP$40="D",LEFT('2-man'!AP$40,3)="ST&gt;",OR(AND('2-man'!AP$39="ST&gt;2",AP32&gt;=100))))),'2-man'!AP$38,0)</f>
        <v/>
      </c>
      <c r="AQ47">
        <f>IF(OR('2-man'!AQ$40="P",'2-man'!AQ$40="R",AND('2-man'!AQ$38&lt;=IF('2-man'!$BF$27="",999,'2-man'!$BF$27),OR('2-man'!AQ$40="D",LEFT('2-man'!AQ$40,3)="ST&gt;",OR(AND('2-man'!AQ$39="ST&gt;2",AQ32&gt;=100))))),'2-man'!AQ$38,0)</f>
        <v/>
      </c>
      <c r="AR47">
        <f>IF(OR('2-man'!AR$40="P",'2-man'!AR$40="R",AND('2-man'!AR$38&lt;=IF('2-man'!$BF$27="",999,'2-man'!$BF$27),OR('2-man'!AR$40="D",LEFT('2-man'!AR$40,3)="ST&gt;",OR(AND('2-man'!AR$39="ST&gt;2",AR32&gt;=100))))),'2-man'!AR$38,0)</f>
        <v/>
      </c>
      <c r="AS47">
        <f>IF(OR('2-man'!AS$40="P",'2-man'!AS$40="R",AND('2-man'!AS$38&lt;=IF('2-man'!$BF$27="",999,'2-man'!$BF$27),OR('2-man'!AS$40="D",LEFT('2-man'!AS$40,3)="ST&gt;",OR(AND('2-man'!AS$39="ST&gt;2",AS32&gt;=100))))),'2-man'!AS$38,0)</f>
        <v/>
      </c>
      <c r="AT47">
        <f>IF(OR('2-man'!AT$40="P",'2-man'!AT$40="R",AND('2-man'!AT$38&lt;=IF('2-man'!$BF$27="",999,'2-man'!$BF$27),OR('2-man'!AT$40="D",LEFT('2-man'!AT$40,3)="ST&gt;",OR(AND('2-man'!AT$39="ST&gt;2",AT32&gt;=100))))),'2-man'!AT$38,0)</f>
        <v/>
      </c>
      <c r="AU47">
        <f>IF(OR('2-man'!AU$40="P",'2-man'!AU$40="R",AND('2-man'!AU$38&lt;=IF('2-man'!$BF$27="",999,'2-man'!$BF$27),OR('2-man'!AU$40="D",LEFT('2-man'!AU$40,3)="ST&gt;",OR(AND('2-man'!AU$39="ST&gt;2",AU32&gt;=100))))),'2-man'!AU$38,0)</f>
        <v/>
      </c>
      <c r="AV47">
        <f>IF(OR('2-man'!AV$40="P",'2-man'!AV$40="R",AND('2-man'!AV$38&lt;=IF('2-man'!$BF$27="",999,'2-man'!$BF$27),OR('2-man'!AV$40="D",LEFT('2-man'!AV$40,3)="ST&gt;",OR(AND('2-man'!AV$39="ST&gt;2",AV32&gt;=100))))),'2-man'!AV$38,0)</f>
        <v/>
      </c>
      <c r="AW47">
        <f>IF(OR('2-man'!AW$40="P",'2-man'!AW$40="R",AND('2-man'!AW$38&lt;=IF('2-man'!$BF$27="",999,'2-man'!$BF$27),OR('2-man'!AW$40="D",LEFT('2-man'!AW$40,3)="ST&gt;",OR(AND('2-man'!AW$39="ST&gt;2",AW32&gt;=100))))),'2-man'!AW$38,0)</f>
        <v/>
      </c>
      <c r="AX47">
        <f>IF(OR('2-man'!AX$40="P",'2-man'!AX$40="R",AND('2-man'!AX$38&lt;=IF('2-man'!$BF$27="",999,'2-man'!$BF$27),OR('2-man'!AX$40="D",LEFT('2-man'!AX$40,3)="ST&gt;",OR(AND('2-man'!AX$39="ST&gt;2",AX32&gt;=100))))),'2-man'!AX$38,0)</f>
        <v/>
      </c>
      <c r="AY47">
        <f>IF(OR('2-man'!AY$40="P",'2-man'!AY$40="R",AND('2-man'!AY$38&lt;=IF('2-man'!$BF$27="",999,'2-man'!$BF$27),OR('2-man'!AY$40="D",LEFT('2-man'!AY$40,3)="ST&gt;",OR(AND('2-man'!AY$39="ST&gt;2",AY32&gt;=100))))),'2-man'!AY$38,0)</f>
        <v/>
      </c>
      <c r="AZ47">
        <f>IF(OR('2-man'!AZ$40="P",'2-man'!AZ$40="R",AND('2-man'!AZ$38&lt;=IF('2-man'!$BF$27="",999,'2-man'!$BF$27),OR('2-man'!AZ$40="D",LEFT('2-man'!AZ$40,3)="ST&gt;",OR(AND('2-man'!AZ$39="ST&gt;2",AZ32&gt;=100))))),'2-man'!AZ$38,0)</f>
        <v/>
      </c>
      <c r="BA47">
        <f>IF(OR('2-man'!BA$40="P",'2-man'!BA$40="R",AND('2-man'!BA$38&lt;=IF('2-man'!$BF$27="",999,'2-man'!$BF$27),OR('2-man'!BA$40="D",LEFT('2-man'!BA$40,3)="ST&gt;",OR(AND('2-man'!BA$39="ST&gt;2",BA32&gt;=100))))),'2-man'!BA$38,0)</f>
        <v/>
      </c>
      <c r="BB47">
        <f>IF(OR('2-man'!BB$40="P",'2-man'!BB$40="R",AND('2-man'!BB$38&lt;=IF('2-man'!$BF$27="",999,'2-man'!$BF$27),OR('2-man'!BB$40="D",LEFT('2-man'!BB$40,3)="ST&gt;",OR(AND('2-man'!BB$39="ST&gt;2",BB32&gt;=100))))),'2-man'!BB$38,0)</f>
        <v/>
      </c>
      <c r="BC47">
        <f>IF(OR('2-man'!BC$40="P",'2-man'!BC$40="R",AND('2-man'!BC$38&lt;=IF('2-man'!$BF$27="",999,'2-man'!$BF$27),OR('2-man'!BC$40="D",LEFT('2-man'!BC$40,3)="ST&gt;",OR(AND('2-man'!BC$39="ST&gt;2",BC32&gt;=100))))),'2-man'!BC$38,0)</f>
        <v/>
      </c>
      <c r="BD47">
        <f>IF(OR('2-man'!BD$40="P",'2-man'!BD$40="R",AND('2-man'!BD$38&lt;=IF('2-man'!$BF$27="",999,'2-man'!$BF$27),OR('2-man'!BD$40="D",LEFT('2-man'!BD$40,3)="ST&gt;",OR(AND('2-man'!BD$39="ST&gt;2",BD32&gt;=100))))),'2-man'!BD$38,0)</f>
        <v/>
      </c>
      <c r="BE47">
        <f>IF(OR('2-man'!BE$40="P",'2-man'!BE$40="R",AND('2-man'!BE$38&lt;=IF('2-man'!$BF$27="",999,'2-man'!$BF$27),OR('2-man'!BE$40="D",LEFT('2-man'!BE$40,3)="ST&gt;",OR(AND('2-man'!BE$39="ST&gt;2",BE32&gt;=100))))),'2-man'!BE$38,0)</f>
        <v/>
      </c>
      <c r="BF47">
        <f>IF(OR('2-man'!BF$40="P",'2-man'!BF$40="R",AND('2-man'!BF$38&lt;=IF('2-man'!$BF$27="",999,'2-man'!$BF$27),OR('2-man'!BF$40="D",LEFT('2-man'!BF$40,3)="ST&gt;",OR(AND('2-man'!BF$39="ST&gt;2",BF32&gt;=100))))),'2-man'!BF$38,0)</f>
        <v/>
      </c>
      <c r="BG47">
        <f>IF(OR('2-man'!BG$40="P",'2-man'!BG$40="R",AND('2-man'!BG$38&lt;=IF('2-man'!$BF$27="",999,'2-man'!$BF$27),OR('2-man'!BG$40="D",LEFT('2-man'!BG$40,3)="ST&gt;",OR(AND('2-man'!BG$39="ST&gt;2",BG32&gt;=100))))),'2-man'!BG$38,0)</f>
        <v/>
      </c>
      <c r="BH47">
        <f>IF(OR('2-man'!BH$40="P",'2-man'!BH$40="R",AND('2-man'!BH$38&lt;=IF('2-man'!$BF$27="",999,'2-man'!$BF$27),OR('2-man'!BH$40="D",LEFT('2-man'!BH$40,3)="ST&gt;",OR(AND('2-man'!BH$39="ST&gt;2",BH32&gt;=100))))),'2-man'!BH$38,0)</f>
        <v/>
      </c>
      <c r="BI47">
        <f>IF(OR('2-man'!BI$40="P",'2-man'!BI$40="R",AND('2-man'!BI$38&lt;=IF('2-man'!$BF$27="",999,'2-man'!$BF$27),OR('2-man'!BI$40="D",LEFT('2-man'!BI$40,3)="ST&gt;",OR(AND('2-man'!BI$39="ST&gt;2",BI32&gt;=100))))),'2-man'!BI$38,0)</f>
        <v/>
      </c>
      <c r="BJ47">
        <f>IF(OR('2-man'!BJ$40="P",'2-man'!BJ$40="R",AND('2-man'!BJ$38&lt;=IF('2-man'!$BF$27="",999,'2-man'!$BF$27),OR('2-man'!BJ$40="D",LEFT('2-man'!BJ$40,3)="ST&gt;",OR(AND('2-man'!BJ$39="ST&gt;2",BJ32&gt;=100))))),'2-man'!BJ$38,0)</f>
        <v/>
      </c>
      <c r="BK47">
        <f>IF(OR('2-man'!BK$40="P",'2-man'!BK$40="R",AND('2-man'!BK$38&lt;=IF('2-man'!$BF$27="",999,'2-man'!$BF$27),OR('2-man'!BK$40="D",LEFT('2-man'!BK$40,3)="ST&gt;",OR(AND('2-man'!BK$39="ST&gt;2",BK32&gt;=100))))),'2-man'!BK$38,0)</f>
        <v/>
      </c>
      <c r="BL47">
        <f>IF(OR('2-man'!BL$40="P",'2-man'!BL$40="R",AND('2-man'!BL$38&lt;=IF('2-man'!$BF$27="",999,'2-man'!$BF$27),OR('2-man'!BL$40="D",LEFT('2-man'!BL$40,3)="ST&gt;",OR(AND('2-man'!BL$39="ST&gt;2",BL32&gt;=100))))),'2-man'!BL$38,0)</f>
        <v/>
      </c>
      <c r="BM47">
        <f>IF(OR('2-man'!BM$40="P",'2-man'!BM$40="R",AND('2-man'!BM$38&lt;=IF('2-man'!$BF$27="",999,'2-man'!$BF$27),OR('2-man'!BM$40="D",LEFT('2-man'!BM$40,3)="ST&gt;",OR(AND('2-man'!BM$39="ST&gt;2",BM32&gt;=100))))),'2-man'!BM$38,0)</f>
        <v/>
      </c>
      <c r="BN47">
        <f>IF(OR('2-man'!BN$40="P",'2-man'!BN$40="R",AND('2-man'!BN$38&lt;=IF('2-man'!$BF$27="",999,'2-man'!$BF$27),OR('2-man'!BN$40="D",LEFT('2-man'!BN$40,3)="ST&gt;",OR(AND('2-man'!BN$39="ST&gt;2",BN32&gt;=100))))),'2-man'!BN$38,0)</f>
        <v/>
      </c>
      <c r="BO47">
        <f>IF(OR('2-man'!BO$40="P",'2-man'!BO$40="R",AND('2-man'!BO$38&lt;=IF('2-man'!$BF$27="",999,'2-man'!$BF$27),OR('2-man'!BO$40="D",LEFT('2-man'!BO$40,3)="ST&gt;",OR(AND('2-man'!BO$39="ST&gt;2",BO32&gt;=100))))),'2-man'!BO$38,0)</f>
        <v/>
      </c>
      <c r="BP47">
        <f>IF(OR('2-man'!BP$40="P",'2-man'!BP$40="R",AND('2-man'!BP$38&lt;=IF('2-man'!$BF$27="",999,'2-man'!$BF$27),OR('2-man'!BP$40="D",LEFT('2-man'!BP$40,3)="ST&gt;",OR(AND('2-man'!BP$39="ST&gt;2",BP32&gt;=100))))),'2-man'!BP$38,0)</f>
        <v/>
      </c>
      <c r="BQ47">
        <f>IF(OR('2-man'!BQ$40="P",'2-man'!BQ$40="R",AND('2-man'!BQ$38&lt;=IF('2-man'!$BF$27="",999,'2-man'!$BF$27),OR('2-man'!BQ$40="D",LEFT('2-man'!BQ$40,3)="ST&gt;",OR(AND('2-man'!BQ$39="ST&gt;2",BQ32&gt;=100))))),'2-man'!BQ$38,0)</f>
        <v/>
      </c>
      <c r="BR47">
        <f>IF(OR('2-man'!BR$40="P",'2-man'!BR$40="R",AND('2-man'!BR$38&lt;=IF('2-man'!$BF$27="",999,'2-man'!$BF$27),OR('2-man'!BR$40="D",LEFT('2-man'!BR$40,3)="ST&gt;",OR(AND('2-man'!BR$39="ST&gt;2",BR32&gt;=100))))),'2-man'!BR$38,0)</f>
        <v/>
      </c>
      <c r="BS47">
        <f>IF(OR('2-man'!BS$40="P",'2-man'!BS$40="R",AND('2-man'!BS$38&lt;=IF('2-man'!$BF$27="",999,'2-man'!$BF$27),OR('2-man'!BS$40="D",LEFT('2-man'!BS$40,3)="ST&gt;",OR(AND('2-man'!BS$39="ST&gt;2",BS32&gt;=100))))),'2-man'!BS$38,0)</f>
        <v/>
      </c>
      <c r="BT47">
        <f>IF(OR('2-man'!BT$40="P",'2-man'!BT$40="R",AND('2-man'!BT$38&lt;=IF('2-man'!$BF$27="",999,'2-man'!$BF$27),OR('2-man'!BT$40="D",LEFT('2-man'!BT$40,3)="ST&gt;",OR(AND('2-man'!BT$39="ST&gt;2",BT32&gt;=100))))),'2-man'!BT$38,0)</f>
        <v/>
      </c>
      <c r="BU47">
        <f>IF(OR('2-man'!BU$40="P",'2-man'!BU$40="R",AND('2-man'!BU$38&lt;=IF('2-man'!$BF$27="",999,'2-man'!$BF$27),OR('2-man'!BU$40="D",LEFT('2-man'!BU$40,3)="ST&gt;",OR(AND('2-man'!BU$39="ST&gt;2",BU32&gt;=100))))),'2-man'!BU$38,0)</f>
        <v/>
      </c>
      <c r="BV47">
        <f>IF(OR('2-man'!BV$40="P",'2-man'!BV$40="R",AND('2-man'!BV$38&lt;=IF('2-man'!$BF$27="",999,'2-man'!$BF$27),OR('2-man'!BV$40="D",LEFT('2-man'!BV$40,3)="ST&gt;",OR(AND('2-man'!BV$39="ST&gt;2",BV32&gt;=100))))),'2-man'!BV$38,0)</f>
        <v/>
      </c>
      <c r="BW47">
        <f>IF(OR('2-man'!BW$40="P",'2-man'!BW$40="R",AND('2-man'!BW$38&lt;=IF('2-man'!$BF$27="",999,'2-man'!$BF$27),OR('2-man'!BW$40="D",LEFT('2-man'!BW$40,3)="ST&gt;",OR(AND('2-man'!BW$39="ST&gt;2",BW32&gt;=100))))),'2-man'!BW$38,0)</f>
        <v/>
      </c>
      <c r="BX47">
        <f>IF(OR('2-man'!BX$40="P",'2-man'!BX$40="R",AND('2-man'!BX$38&lt;=IF('2-man'!$BF$27="",999,'2-man'!$BF$27),OR('2-man'!BX$40="D",LEFT('2-man'!BX$40,3)="ST&gt;",OR(AND('2-man'!BX$39="ST&gt;2",BX32&gt;=100))))),'2-man'!BX$38,0)</f>
        <v/>
      </c>
      <c r="BY47">
        <f>IF(OR('2-man'!BY$40="P",'2-man'!BY$40="R",AND('2-man'!BY$38&lt;=IF('2-man'!$BF$27="",999,'2-man'!$BF$27),OR('2-man'!BY$40="D",LEFT('2-man'!BY$40,3)="ST&gt;",OR(AND('2-man'!BY$39="ST&gt;2",BY32&gt;=100))))),'2-man'!BY$38,0)</f>
        <v/>
      </c>
      <c r="BZ47">
        <f>IF(OR('2-man'!BZ$40="P",'2-man'!BZ$40="R",AND('2-man'!BZ$38&lt;=IF('2-man'!$BF$27="",999,'2-man'!$BF$27),OR('2-man'!BZ$40="D",LEFT('2-man'!BZ$40,3)="ST&gt;",OR(AND('2-man'!BZ$39="ST&gt;2",BZ32&gt;=100))))),'2-man'!BZ$38,0)</f>
        <v/>
      </c>
      <c r="CA47">
        <f>IF(OR('2-man'!CA$40="P",'2-man'!CA$40="R",AND('2-man'!CA$38&lt;=IF('2-man'!$BF$27="",999,'2-man'!$BF$27),OR('2-man'!CA$40="D",LEFT('2-man'!CA$40,3)="ST&gt;",OR(AND('2-man'!CA$39="ST&gt;2",CA32&gt;=100))))),'2-man'!CA$38,0)</f>
        <v/>
      </c>
      <c r="CB47">
        <f>IF(OR('2-man'!CB$40="P",'2-man'!CB$40="R",AND('2-man'!CB$38&lt;=IF('2-man'!$BF$27="",999,'2-man'!$BF$27),OR('2-man'!CB$40="D",LEFT('2-man'!CB$40,3)="ST&gt;",OR(AND('2-man'!CB$39="ST&gt;2",CB32&gt;=100))))),'2-man'!CB$38,0)</f>
        <v/>
      </c>
      <c r="CC47">
        <f>IF(OR('2-man'!CC$40="P",'2-man'!CC$40="R",AND('2-man'!CC$38&lt;=IF('2-man'!$BF$27="",999,'2-man'!$BF$27),OR('2-man'!CC$40="D",LEFT('2-man'!CC$40,3)="ST&gt;",OR(AND('2-man'!CC$39="ST&gt;2",CC32&gt;=100))))),'2-man'!CC$38,0)</f>
        <v/>
      </c>
      <c r="CD47">
        <f>IF(OR('2-man'!CD$40="P",'2-man'!CD$40="R",AND('2-man'!CD$38&lt;=IF('2-man'!$BF$27="",999,'2-man'!$BF$27),OR('2-man'!CD$40="D",LEFT('2-man'!CD$40,3)="ST&gt;",OR(AND('2-man'!CD$39="ST&gt;2",CD32&gt;=100))))),'2-man'!CD$38,0)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MIN(100,B63+IF(AND(B63&lt;100,B64+1&gt;=IF(OR('3-man'!$F$4=TRUE,'3-man'!$F$4="TRUE",'3-man'!$F$4="Yes"),25,50)),10,0)+IF('3-man'!C$18=$Q$68,25,0))</f>
        <v/>
      </c>
      <c r="D62">
        <f>MIN(100,C63+IF(AND(C63&lt;100,C64+1&gt;=IF(OR('3-man'!$F$4=TRUE,'3-man'!$F$4="TRUE",'3-man'!$F$4="Yes"),25,50)),10,0)+IF('3-man'!D$18=$Q$68,25,0))</f>
        <v/>
      </c>
      <c r="E62">
        <f>MIN(100,D63+IF(AND(D63&lt;100,D64+1&gt;=IF(OR('3-man'!$F$4=TRUE,'3-man'!$F$4="TRUE",'3-man'!$F$4="Yes"),25,50)),10,0)+IF('3-man'!E$18=$Q$68,25,0))</f>
        <v/>
      </c>
      <c r="F62">
        <f>MIN(100,E63+IF(AND(E63&lt;100,E64+1&gt;=IF(OR('3-man'!$F$4=TRUE,'3-man'!$F$4="TRUE",'3-man'!$F$4="Yes"),25,50)),10,0)+IF('3-man'!F$18=$Q$68,25,0))</f>
        <v/>
      </c>
      <c r="G62">
        <f>MIN(100,F63+IF(AND(F63&lt;100,F64+1&gt;=IF(OR('3-man'!$F$4=TRUE,'3-man'!$F$4="TRUE",'3-man'!$F$4="Yes"),25,50)),10,0)+IF('3-man'!G$18=$Q$68,25,0))</f>
        <v/>
      </c>
      <c r="H62">
        <f>MIN(100,G63+IF(AND(G63&lt;100,G64+1&gt;=IF(OR('3-man'!$F$4=TRUE,'3-man'!$F$4="TRUE",'3-man'!$F$4="Yes"),25,50)),10,0)+IF('3-man'!H$18=$Q$68,25,0))</f>
        <v/>
      </c>
      <c r="I62">
        <f>MIN(100,H63+IF(AND(H63&lt;100,H64+1&gt;=IF(OR('3-man'!$F$4=TRUE,'3-man'!$F$4="TRUE",'3-man'!$F$4="Yes"),25,50)),10,0)+IF('3-man'!I$18=$Q$68,25,0))</f>
        <v/>
      </c>
      <c r="J62">
        <f>MIN(100,I63+IF(AND(I63&lt;100,I64+1&gt;=IF(OR('3-man'!$F$4=TRUE,'3-man'!$F$4="TRUE",'3-man'!$F$4="Yes"),25,50)),10,0)+IF('3-man'!J$18=$Q$68,25,0))</f>
        <v/>
      </c>
      <c r="K62">
        <f>MIN(100,J63+IF(AND(J63&lt;100,J64+1&gt;=IF(OR('3-man'!$F$4=TRUE,'3-man'!$F$4="TRUE",'3-man'!$F$4="Yes"),25,50)),10,0)+IF('3-man'!K$18=$Q$68,25,0))</f>
        <v/>
      </c>
      <c r="L62">
        <f>MIN(100,K63+IF(AND(K63&lt;100,K64+1&gt;=IF(OR('3-man'!$F$4=TRUE,'3-man'!$F$4="TRUE",'3-man'!$F$4="Yes"),25,50)),10,0)+IF('3-man'!L$18=$Q$68,25,0))</f>
        <v/>
      </c>
      <c r="M62">
        <f>MIN(100,L63+IF(AND(L63&lt;100,L64+1&gt;=IF(OR('3-man'!$F$4=TRUE,'3-man'!$F$4="TRUE",'3-man'!$F$4="Yes"),25,50)),10,0)+IF('3-man'!M$18=$Q$68,25,0))</f>
        <v/>
      </c>
      <c r="N62">
        <f>MIN(100,M63+IF(AND(M63&lt;100,M64+1&gt;=IF(OR('3-man'!$F$4=TRUE,'3-man'!$F$4="TRUE",'3-man'!$F$4="Yes"),25,50)),10,0)+IF('3-man'!N$18=$Q$68,25,0))</f>
        <v/>
      </c>
      <c r="O62">
        <f>MIN(100,N63+IF(AND(N63&lt;100,N64+1&gt;=IF(OR('3-man'!$F$4=TRUE,'3-man'!$F$4="TRUE",'3-man'!$F$4="Yes"),25,50)),10,0)+IF('3-man'!O$18=$Q$68,25,0))</f>
        <v/>
      </c>
      <c r="P62">
        <f>MIN(100,O63+IF(AND(O63&lt;100,O64+1&gt;=IF(OR('3-man'!$F$4=TRUE,'3-man'!$F$4="TRUE",'3-man'!$F$4="Yes"),25,50)),10,0)+IF('3-man'!P$18=$Q$68,25,0))</f>
        <v/>
      </c>
      <c r="Q62">
        <f>MIN(100,P63+IF(AND(P63&lt;100,P64+1&gt;=IF(OR('3-man'!$F$4=TRUE,'3-man'!$F$4="TRUE",'3-man'!$F$4="Yes"),25,50)),10,0)+IF('3-man'!Q$18=$Q$68,25,0))</f>
        <v/>
      </c>
      <c r="R62">
        <f>MIN(100,Q63+IF(AND(Q63&lt;100,Q64+1&gt;=IF(OR('3-man'!$F$4=TRUE,'3-man'!$F$4="TRUE",'3-man'!$F$4="Yes"),25,50)),10,0)+IF('3-man'!R$18=$Q$68,25,0))</f>
        <v/>
      </c>
      <c r="S62">
        <f>MIN(100,R63+IF(AND(R63&lt;100,R64+1&gt;=IF(OR('3-man'!$F$4=TRUE,'3-man'!$F$4="TRUE",'3-man'!$F$4="Yes"),25,50)),10,0)+IF('3-man'!S$18=$Q$68,25,0))</f>
        <v/>
      </c>
      <c r="T62">
        <f>MIN(100,S63+IF(AND(S63&lt;100,S64+1&gt;=IF(OR('3-man'!$F$4=TRUE,'3-man'!$F$4="TRUE",'3-man'!$F$4="Yes"),25,50)),10,0)+IF('3-man'!T$18=$Q$68,25,0))</f>
        <v/>
      </c>
      <c r="U62">
        <f>MIN(100,T63+IF(AND(T63&lt;100,T64+1&gt;=IF(OR('3-man'!$F$4=TRUE,'3-man'!$F$4="TRUE",'3-man'!$F$4="Yes"),25,50)),10,0)+IF('3-man'!U$18=$Q$68,25,0))</f>
        <v/>
      </c>
      <c r="V62">
        <f>MIN(100,U63+IF(AND(U63&lt;100,U64+1&gt;=IF(OR('3-man'!$F$4=TRUE,'3-man'!$F$4="TRUE",'3-man'!$F$4="Yes"),25,50)),10,0)+IF('3-man'!V$18=$Q$68,25,0))</f>
        <v/>
      </c>
      <c r="W62">
        <f>MIN(100,V63+IF(AND(V63&lt;100,V64+1&gt;=IF(OR('3-man'!$F$4=TRUE,'3-man'!$F$4="TRUE",'3-man'!$F$4="Yes"),25,50)),10,0)+IF('3-man'!W$18=$Q$68,25,0))</f>
        <v/>
      </c>
      <c r="X62">
        <f>MIN(100,W63+IF(AND(W63&lt;100,W64+1&gt;=IF(OR('3-man'!$F$4=TRUE,'3-man'!$F$4="TRUE",'3-man'!$F$4="Yes"),25,50)),10,0)+IF('3-man'!X$18=$Q$68,25,0))</f>
        <v/>
      </c>
      <c r="Y62">
        <f>MIN(100,X63+IF(AND(X63&lt;100,X64+1&gt;=IF(OR('3-man'!$F$4=TRUE,'3-man'!$F$4="TRUE",'3-man'!$F$4="Yes"),25,50)),10,0)+IF('3-man'!Y$18=$Q$68,25,0))</f>
        <v/>
      </c>
      <c r="Z62">
        <f>MIN(100,Y63+IF(AND(Y63&lt;100,Y64+1&gt;=IF(OR('3-man'!$F$4=TRUE,'3-man'!$F$4="TRUE",'3-man'!$F$4="Yes"),25,50)),10,0)+IF('3-man'!Z$18=$Q$68,25,0))</f>
        <v/>
      </c>
      <c r="AA62">
        <f>MIN(100,Z63+IF(AND(Z63&lt;100,Z64+1&gt;=IF(OR('3-man'!$F$4=TRUE,'3-man'!$F$4="TRUE",'3-man'!$F$4="Yes"),25,50)),10,0)+IF('3-man'!AA$18=$Q$68,25,0))</f>
        <v/>
      </c>
      <c r="AB62">
        <f>MIN(100,AA63+IF(AND(AA63&lt;100,AA64+1&gt;=IF(OR('3-man'!$F$4=TRUE,'3-man'!$F$4="TRUE",'3-man'!$F$4="Yes"),25,50)),10,0)+IF('3-man'!AB$18=$Q$68,25,0))</f>
        <v/>
      </c>
      <c r="AC62">
        <f>MIN(100,AB63+IF(AND(AB63&lt;100,AB64+1&gt;=IF(OR('3-man'!$F$4=TRUE,'3-man'!$F$4="TRUE",'3-man'!$F$4="Yes"),25,50)),10,0)+IF('3-man'!AC$18=$Q$68,25,0))</f>
        <v/>
      </c>
      <c r="AD62">
        <f>MIN(100,AC63+IF(AND(AC63&lt;100,AC64+1&gt;=IF(OR('3-man'!$F$4=TRUE,'3-man'!$F$4="TRUE",'3-man'!$F$4="Yes"),25,50)),10,0)+IF('3-man'!AD$18=$Q$68,25,0))</f>
        <v/>
      </c>
      <c r="AE62">
        <f>MIN(100,AD63+IF(AND(AD63&lt;100,AD64+1&gt;=IF(OR('3-man'!$F$4=TRUE,'3-man'!$F$4="TRUE",'3-man'!$F$4="Yes"),25,50)),10,0)+IF('3-man'!AE$18=$Q$68,25,0))</f>
        <v/>
      </c>
      <c r="AF62">
        <f>MIN(100,AE63+IF(AND(AE63&lt;100,AE64+1&gt;=IF(OR('3-man'!$F$4=TRUE,'3-man'!$F$4="TRUE",'3-man'!$F$4="Yes"),25,50)),10,0)+IF('3-man'!AF$18=$Q$68,25,0))</f>
        <v/>
      </c>
      <c r="AG62">
        <f>MIN(100,AF63+IF(AND(AF63&lt;100,AF64+1&gt;=IF(OR('3-man'!$F$4=TRUE,'3-man'!$F$4="TRUE",'3-man'!$F$4="Yes"),25,50)),10,0)+IF('3-man'!AG$18=$Q$68,25,0))</f>
        <v/>
      </c>
      <c r="AH62">
        <f>MIN(100,AG63+IF(AND(AG63&lt;100,AG64+1&gt;=IF(OR('3-man'!$F$4=TRUE,'3-man'!$F$4="TRUE",'3-man'!$F$4="Yes"),25,50)),10,0)+IF('3-man'!AH$18=$Q$68,25,0))</f>
        <v/>
      </c>
      <c r="AI62">
        <f>MIN(100,AH63+IF(AND(AH63&lt;100,AH64+1&gt;=IF(OR('3-man'!$F$4=TRUE,'3-man'!$F$4="TRUE",'3-man'!$F$4="Yes"),25,50)),10,0)+IF('3-man'!AI$18=$Q$68,25,0))</f>
        <v/>
      </c>
      <c r="AJ62">
        <f>MIN(100,AI63+IF(AND(AI63&lt;100,AI64+1&gt;=IF(OR('3-man'!$F$4=TRUE,'3-man'!$F$4="TRUE",'3-man'!$F$4="Yes"),25,50)),10,0)+IF('3-man'!AJ$18=$Q$68,25,0))</f>
        <v/>
      </c>
      <c r="AK62">
        <f>MIN(100,AJ63+IF(AND(AJ63&lt;100,AJ64+1&gt;=IF(OR('3-man'!$F$4=TRUE,'3-man'!$F$4="TRUE",'3-man'!$F$4="Yes"),25,50)),10,0)+IF('3-man'!AK$18=$Q$68,25,0))</f>
        <v/>
      </c>
      <c r="AL62">
        <f>MIN(100,AK63+IF(AND(AK63&lt;100,AK64+1&gt;=IF(OR('3-man'!$F$4=TRUE,'3-man'!$F$4="TRUE",'3-man'!$F$4="Yes"),25,50)),10,0)+IF('3-man'!AL$18=$Q$68,25,0))</f>
        <v/>
      </c>
      <c r="AM62">
        <f>MIN(100,AL63+IF(AND(AL63&lt;100,AL64+1&gt;=IF(OR('3-man'!$F$4=TRUE,'3-man'!$F$4="TRUE",'3-man'!$F$4="Yes"),25,50)),10,0)+IF('3-man'!AM$18=$Q$68,25,0))</f>
        <v/>
      </c>
      <c r="AN62">
        <f>MIN(100,AM63+IF(AND(AM63&lt;100,AM64+1&gt;=IF(OR('3-man'!$F$4=TRUE,'3-man'!$F$4="TRUE",'3-man'!$F$4="Yes"),25,50)),10,0)+IF('3-man'!AN$18=$Q$68,25,0))</f>
        <v/>
      </c>
      <c r="AO62">
        <f>MIN(100,AN63+IF(AND(AN63&lt;100,AN64+1&gt;=IF(OR('3-man'!$F$4=TRUE,'3-man'!$F$4="TRUE",'3-man'!$F$4="Yes"),25,50)),10,0)+IF('3-man'!AO$18=$Q$68,25,0))</f>
        <v/>
      </c>
      <c r="AP62">
        <f>MIN(100,AO63+IF(AND(AO63&lt;100,AO64+1&gt;=IF(OR('3-man'!$F$4=TRUE,'3-man'!$F$4="TRUE",'3-man'!$F$4="Yes"),25,50)),10,0)+IF('3-man'!AP$18=$Q$68,25,0))</f>
        <v/>
      </c>
      <c r="AQ62">
        <f>MIN(100,AP63+IF(AND(AP63&lt;100,AP64+1&gt;=IF(OR('3-man'!$F$4=TRUE,'3-man'!$F$4="TRUE",'3-man'!$F$4="Yes"),25,50)),10,0)+IF('3-man'!AQ$18=$Q$68,25,0))</f>
        <v/>
      </c>
      <c r="AR62">
        <f>MIN(100,AQ63+IF(AND(AQ63&lt;100,AQ64+1&gt;=IF(OR('3-man'!$F$4=TRUE,'3-man'!$F$4="TRUE",'3-man'!$F$4="Yes"),25,50)),10,0)+IF('3-man'!AR$18=$Q$68,25,0))</f>
        <v/>
      </c>
      <c r="AS62">
        <f>MIN(100,AR63+IF(AND(AR63&lt;100,AR64+1&gt;=IF(OR('3-man'!$F$4=TRUE,'3-man'!$F$4="TRUE",'3-man'!$F$4="Yes"),25,50)),10,0)+IF('3-man'!AS$18=$Q$68,25,0))</f>
        <v/>
      </c>
      <c r="AT62">
        <f>MIN(100,AS63+IF(AND(AS63&lt;100,AS64+1&gt;=IF(OR('3-man'!$F$4=TRUE,'3-man'!$F$4="TRUE",'3-man'!$F$4="Yes"),25,50)),10,0)+IF('3-man'!AT$18=$Q$68,25,0))</f>
        <v/>
      </c>
      <c r="AU62">
        <f>MIN(100,AT63+IF(AND(AT63&lt;100,AT64+1&gt;=IF(OR('3-man'!$F$4=TRUE,'3-man'!$F$4="TRUE",'3-man'!$F$4="Yes"),25,50)),10,0)+IF('3-man'!AU$18=$Q$68,25,0))</f>
        <v/>
      </c>
      <c r="AV62">
        <f>MIN(100,AU63+IF(AND(AU63&lt;100,AU64+1&gt;=IF(OR('3-man'!$F$4=TRUE,'3-man'!$F$4="TRUE",'3-man'!$F$4="Yes"),25,50)),10,0)+IF('3-man'!AV$18=$Q$68,25,0))</f>
        <v/>
      </c>
      <c r="AW62">
        <f>MIN(100,AV63+IF(AND(AV63&lt;100,AV64+1&gt;=IF(OR('3-man'!$F$4=TRUE,'3-man'!$F$4="TRUE",'3-man'!$F$4="Yes"),25,50)),10,0)+IF('3-man'!AW$18=$Q$68,25,0))</f>
        <v/>
      </c>
      <c r="AX62">
        <f>MIN(100,AW63+IF(AND(AW63&lt;100,AW64+1&gt;=IF(OR('3-man'!$F$4=TRUE,'3-man'!$F$4="TRUE",'3-man'!$F$4="Yes"),25,50)),10,0)+IF('3-man'!AX$18=$Q$68,25,0))</f>
        <v/>
      </c>
      <c r="AY62">
        <f>MIN(100,AX63+IF(AND(AX63&lt;100,AX64+1&gt;=IF(OR('3-man'!$F$4=TRUE,'3-man'!$F$4="TRUE",'3-man'!$F$4="Yes"),25,50)),10,0)+IF('3-man'!AY$18=$Q$68,25,0))</f>
        <v/>
      </c>
      <c r="AZ62">
        <f>MIN(100,AY63+IF(AND(AY63&lt;100,AY64+1&gt;=IF(OR('3-man'!$F$4=TRUE,'3-man'!$F$4="TRUE",'3-man'!$F$4="Yes"),25,50)),10,0)+IF('3-man'!AZ$18=$Q$68,25,0))</f>
        <v/>
      </c>
      <c r="BA62">
        <f>MIN(100,AZ63+IF(AND(AZ63&lt;100,AZ64+1&gt;=IF(OR('3-man'!$F$4=TRUE,'3-man'!$F$4="TRUE",'3-man'!$F$4="Yes"),25,50)),10,0)+IF('3-man'!BA$18=$Q$68,25,0))</f>
        <v/>
      </c>
      <c r="BB62">
        <f>MIN(100,BA63+IF(AND(BA63&lt;100,BA64+1&gt;=IF(OR('3-man'!$F$4=TRUE,'3-man'!$F$4="TRUE",'3-man'!$F$4="Yes"),25,50)),10,0)+IF('3-man'!BB$18=$Q$68,25,0))</f>
        <v/>
      </c>
      <c r="BC62">
        <f>MIN(100,BB63+IF(AND(BB63&lt;100,BB64+1&gt;=IF(OR('3-man'!$F$4=TRUE,'3-man'!$F$4="TRUE",'3-man'!$F$4="Yes"),25,50)),10,0)+IF('3-man'!BC$18=$Q$68,25,0))</f>
        <v/>
      </c>
      <c r="BD62">
        <f>MIN(100,BC63+IF(AND(BC63&lt;100,BC64+1&gt;=IF(OR('3-man'!$F$4=TRUE,'3-man'!$F$4="TRUE",'3-man'!$F$4="Yes"),25,50)),10,0)+IF('3-man'!BD$18=$Q$68,25,0))</f>
        <v/>
      </c>
      <c r="BE62">
        <f>MIN(100,BD63+IF(AND(BD63&lt;100,BD64+1&gt;=IF(OR('3-man'!$F$4=TRUE,'3-man'!$F$4="TRUE",'3-man'!$F$4="Yes"),25,50)),10,0)+IF('3-man'!BE$18=$Q$68,25,0))</f>
        <v/>
      </c>
      <c r="BF62">
        <f>MIN(100,BE63+IF(AND(BE63&lt;100,BE64+1&gt;=IF(OR('3-man'!$F$4=TRUE,'3-man'!$F$4="TRUE",'3-man'!$F$4="Yes"),25,50)),10,0)+IF('3-man'!BF$18=$Q$68,25,0))</f>
        <v/>
      </c>
      <c r="BG62">
        <f>MIN(100,BF63+IF(AND(BF63&lt;100,BF64+1&gt;=IF(OR('3-man'!$F$4=TRUE,'3-man'!$F$4="TRUE",'3-man'!$F$4="Yes"),25,50)),10,0)+IF('3-man'!BG$18=$Q$68,25,0))</f>
        <v/>
      </c>
      <c r="BH62">
        <f>MIN(100,BG63+IF(AND(BG63&lt;100,BG64+1&gt;=IF(OR('3-man'!$F$4=TRUE,'3-man'!$F$4="TRUE",'3-man'!$F$4="Yes"),25,50)),10,0)+IF('3-man'!BH$18=$Q$68,25,0))</f>
        <v/>
      </c>
      <c r="BI62">
        <f>MIN(100,BH63+IF(AND(BH63&lt;100,BH64+1&gt;=IF(OR('3-man'!$F$4=TRUE,'3-man'!$F$4="TRUE",'3-man'!$F$4="Yes"),25,50)),10,0)+IF('3-man'!BI$18=$Q$68,25,0))</f>
        <v/>
      </c>
      <c r="BJ62">
        <f>MIN(100,BI63+IF(AND(BI63&lt;100,BI64+1&gt;=IF(OR('3-man'!$F$4=TRUE,'3-man'!$F$4="TRUE",'3-man'!$F$4="Yes"),25,50)),10,0)+IF('3-man'!BJ$18=$Q$68,25,0))</f>
        <v/>
      </c>
      <c r="BK62">
        <f>MIN(100,BJ63+IF(AND(BJ63&lt;100,BJ64+1&gt;=IF(OR('3-man'!$F$4=TRUE,'3-man'!$F$4="TRUE",'3-man'!$F$4="Yes"),25,50)),10,0)+IF('3-man'!BK$18=$Q$68,25,0))</f>
        <v/>
      </c>
      <c r="BL62">
        <f>MIN(100,BK63+IF(AND(BK63&lt;100,BK64+1&gt;=IF(OR('3-man'!$F$4=TRUE,'3-man'!$F$4="TRUE",'3-man'!$F$4="Yes"),25,50)),10,0)+IF('3-man'!BL$18=$Q$68,25,0))</f>
        <v/>
      </c>
      <c r="BM62">
        <f>MIN(100,BL63+IF(AND(BL63&lt;100,BL64+1&gt;=IF(OR('3-man'!$F$4=TRUE,'3-man'!$F$4="TRUE",'3-man'!$F$4="Yes"),25,50)),10,0)+IF('3-man'!BM$18=$Q$68,25,0))</f>
        <v/>
      </c>
      <c r="BN62">
        <f>MIN(100,BM63+IF(AND(BM63&lt;100,BM64+1&gt;=IF(OR('3-man'!$F$4=TRUE,'3-man'!$F$4="TRUE",'3-man'!$F$4="Yes"),25,50)),10,0)+IF('3-man'!BN$18=$Q$68,25,0))</f>
        <v/>
      </c>
      <c r="BO62">
        <f>MIN(100,BN63+IF(AND(BN63&lt;100,BN64+1&gt;=IF(OR('3-man'!$F$4=TRUE,'3-man'!$F$4="TRUE",'3-man'!$F$4="Yes"),25,50)),10,0)+IF('3-man'!BO$18=$Q$68,25,0))</f>
        <v/>
      </c>
      <c r="BP62">
        <f>MIN(100,BO63+IF(AND(BO63&lt;100,BO64+1&gt;=IF(OR('3-man'!$F$4=TRUE,'3-man'!$F$4="TRUE",'3-man'!$F$4="Yes"),25,50)),10,0)+IF('3-man'!BP$18=$Q$68,25,0))</f>
        <v/>
      </c>
      <c r="BQ62">
        <f>MIN(100,BP63+IF(AND(BP63&lt;100,BP64+1&gt;=IF(OR('3-man'!$F$4=TRUE,'3-man'!$F$4="TRUE",'3-man'!$F$4="Yes"),25,50)),10,0)+IF('3-man'!BQ$18=$Q$68,25,0))</f>
        <v/>
      </c>
      <c r="BR62">
        <f>MIN(100,BQ63+IF(AND(BQ63&lt;100,BQ64+1&gt;=IF(OR('3-man'!$F$4=TRUE,'3-man'!$F$4="TRUE",'3-man'!$F$4="Yes"),25,50)),10,0)+IF('3-man'!BR$18=$Q$68,25,0))</f>
        <v/>
      </c>
      <c r="BS62">
        <f>MIN(100,BR63+IF(AND(BR63&lt;100,BR64+1&gt;=IF(OR('3-man'!$F$4=TRUE,'3-man'!$F$4="TRUE",'3-man'!$F$4="Yes"),25,50)),10,0)+IF('3-man'!BS$18=$Q$68,25,0))</f>
        <v/>
      </c>
      <c r="BT62">
        <f>MIN(100,BS63+IF(AND(BS63&lt;100,BS64+1&gt;=IF(OR('3-man'!$F$4=TRUE,'3-man'!$F$4="TRUE",'3-man'!$F$4="Yes"),25,50)),10,0)+IF('3-man'!BT$18=$Q$68,25,0))</f>
        <v/>
      </c>
      <c r="BU62">
        <f>MIN(100,BT63+IF(AND(BT63&lt;100,BT64+1&gt;=IF(OR('3-man'!$F$4=TRUE,'3-man'!$F$4="TRUE",'3-man'!$F$4="Yes"),25,50)),10,0)+IF('3-man'!BU$18=$Q$68,25,0))</f>
        <v/>
      </c>
      <c r="BV62">
        <f>MIN(100,BU63+IF(AND(BU63&lt;100,BU64+1&gt;=IF(OR('3-man'!$F$4=TRUE,'3-man'!$F$4="TRUE",'3-man'!$F$4="Yes"),25,50)),10,0)+IF('3-man'!BV$18=$Q$68,25,0))</f>
        <v/>
      </c>
      <c r="BW62">
        <f>MIN(100,BV63+IF(AND(BV63&lt;100,BV64+1&gt;=IF(OR('3-man'!$F$4=TRUE,'3-man'!$F$4="TRUE",'3-man'!$F$4="Yes"),25,50)),10,0)+IF('3-man'!BW$18=$Q$68,25,0))</f>
        <v/>
      </c>
      <c r="BX62">
        <f>MIN(100,BW63+IF(AND(BW63&lt;100,BW64+1&gt;=IF(OR('3-man'!$F$4=TRUE,'3-man'!$F$4="TRUE",'3-man'!$F$4="Yes"),25,50)),10,0)+IF('3-man'!BX$18=$Q$68,25,0))</f>
        <v/>
      </c>
      <c r="BY62">
        <f>MIN(100,BX63+IF(AND(BX63&lt;100,BX64+1&gt;=IF(OR('3-man'!$F$4=TRUE,'3-man'!$F$4="TRUE",'3-man'!$F$4="Yes"),25,50)),10,0)+IF('3-man'!BY$18=$Q$68,25,0))</f>
        <v/>
      </c>
      <c r="BZ62">
        <f>MIN(100,BY63+IF(AND(BY63&lt;100,BY64+1&gt;=IF(OR('3-man'!$F$4=TRUE,'3-man'!$F$4="TRUE",'3-man'!$F$4="Yes"),25,50)),10,0)+IF('3-man'!BZ$18=$Q$68,25,0))</f>
        <v/>
      </c>
      <c r="CA62">
        <f>MIN(100,BZ63+IF(AND(BZ63&lt;100,BZ64+1&gt;=IF(OR('3-man'!$F$4=TRUE,'3-man'!$F$4="TRUE",'3-man'!$F$4="Yes"),25,50)),10,0)+IF('3-man'!CA$18=$Q$68,25,0))</f>
        <v/>
      </c>
      <c r="CB62">
        <f>MIN(100,CA63+IF(AND(CA63&lt;100,CA64+1&gt;=IF(OR('3-man'!$F$4=TRUE,'3-man'!$F$4="TRUE",'3-man'!$F$4="Yes"),25,50)),10,0)+IF('3-man'!CB$18=$Q$68,25,0))</f>
        <v/>
      </c>
      <c r="CC62">
        <f>MIN(100,CB63+IF(AND(CB63&lt;100,CB64+1&gt;=IF(OR('3-man'!$F$4=TRUE,'3-man'!$F$4="TRUE",'3-man'!$F$4="Yes"),25,50)),10,0)+IF('3-man'!CC$18=$Q$68,25,0))</f>
        <v/>
      </c>
      <c r="CD62">
        <f>MIN(100,CC63+IF(AND(CC63&lt;100,CC64+1&gt;=IF(OR('3-man'!$F$4=TRUE,'3-man'!$F$4="TRUE",'3-man'!$F$4="Yes"),25,50)),10,0)+IF('3-man'!CD$18=$Q$68,25,0))</f>
        <v/>
      </c>
    </row>
    <row r="63">
      <c r="A63" t="inlineStr">
        <is>
          <t>P1 spec</t>
        </is>
      </c>
      <c r="B63">
        <f>IF('3-man'!$C$4="",100,'3-man'!$C$4)</f>
        <v/>
      </c>
      <c r="C63">
        <f>IF('3-man'!C$19="R",MIN(100,C62+10),IF('3-man'!C$19="P",MIN(100,C62+25),IF(AND('3-man'!C$19="D",C62&gt;=35,'3-man'!C$18&lt;=IF('3-man'!$BF$4="",999,'3-man'!$BF$4)),C62-35,IF(AND(LEFT('3-man'!C$19,3)="ST&gt;",C62&gt;=100,'3-man'!C$18&lt;=IF('3-man'!$BF$4="",999,'3-man'!$BF$4)),0,IF(AND(OR(AND('3-man'!C$20="ST&gt;1",C70&gt;=100),AND('3-man'!C$21="ST&gt;1",C78&gt;=100)),'3-man'!C$18&lt;=IF('3-man'!$BF$4="",999,'3-man'!$BF$4)),100,C62)))))</f>
        <v/>
      </c>
      <c r="D63">
        <f>IF('3-man'!D$19="R",MIN(100,D62+10),IF('3-man'!D$19="P",MIN(100,D62+25),IF(AND('3-man'!D$19="D",D62&gt;=35,'3-man'!D$18&lt;=IF('3-man'!$BF$4="",999,'3-man'!$BF$4)),D62-35,IF(AND(LEFT('3-man'!D$19,3)="ST&gt;",D62&gt;=100,'3-man'!D$18&lt;=IF('3-man'!$BF$4="",999,'3-man'!$BF$4)),0,IF(AND(OR(AND('3-man'!D$20="ST&gt;1",D70&gt;=100),AND('3-man'!D$21="ST&gt;1",D78&gt;=100)),'3-man'!D$18&lt;=IF('3-man'!$BF$4="",999,'3-man'!$BF$4)),100,D62)))))</f>
        <v/>
      </c>
      <c r="E63">
        <f>IF('3-man'!E$19="R",MIN(100,E62+10),IF('3-man'!E$19="P",MIN(100,E62+25),IF(AND('3-man'!E$19="D",E62&gt;=35,'3-man'!E$18&lt;=IF('3-man'!$BF$4="",999,'3-man'!$BF$4)),E62-35,IF(AND(LEFT('3-man'!E$19,3)="ST&gt;",E62&gt;=100,'3-man'!E$18&lt;=IF('3-man'!$BF$4="",999,'3-man'!$BF$4)),0,IF(AND(OR(AND('3-man'!E$20="ST&gt;1",E70&gt;=100),AND('3-man'!E$21="ST&gt;1",E78&gt;=100)),'3-man'!E$18&lt;=IF('3-man'!$BF$4="",999,'3-man'!$BF$4)),100,E62)))))</f>
        <v/>
      </c>
      <c r="F63">
        <f>IF('3-man'!F$19="R",MIN(100,F62+10),IF('3-man'!F$19="P",MIN(100,F62+25),IF(AND('3-man'!F$19="D",F62&gt;=35,'3-man'!F$18&lt;=IF('3-man'!$BF$4="",999,'3-man'!$BF$4)),F62-35,IF(AND(LEFT('3-man'!F$19,3)="ST&gt;",F62&gt;=100,'3-man'!F$18&lt;=IF('3-man'!$BF$4="",999,'3-man'!$BF$4)),0,IF(AND(OR(AND('3-man'!F$20="ST&gt;1",F70&gt;=100),AND('3-man'!F$21="ST&gt;1",F78&gt;=100)),'3-man'!F$18&lt;=IF('3-man'!$BF$4="",999,'3-man'!$BF$4)),100,F62)))))</f>
        <v/>
      </c>
      <c r="G63">
        <f>IF('3-man'!G$19="R",MIN(100,G62+10),IF('3-man'!G$19="P",MIN(100,G62+25),IF(AND('3-man'!G$19="D",G62&gt;=35,'3-man'!G$18&lt;=IF('3-man'!$BF$4="",999,'3-man'!$BF$4)),G62-35,IF(AND(LEFT('3-man'!G$19,3)="ST&gt;",G62&gt;=100,'3-man'!G$18&lt;=IF('3-man'!$BF$4="",999,'3-man'!$BF$4)),0,IF(AND(OR(AND('3-man'!G$20="ST&gt;1",G70&gt;=100),AND('3-man'!G$21="ST&gt;1",G78&gt;=100)),'3-man'!G$18&lt;=IF('3-man'!$BF$4="",999,'3-man'!$BF$4)),100,G62)))))</f>
        <v/>
      </c>
      <c r="H63">
        <f>IF('3-man'!H$19="R",MIN(100,H62+10),IF('3-man'!H$19="P",MIN(100,H62+25),IF(AND('3-man'!H$19="D",H62&gt;=35,'3-man'!H$18&lt;=IF('3-man'!$BF$4="",999,'3-man'!$BF$4)),H62-35,IF(AND(LEFT('3-man'!H$19,3)="ST&gt;",H62&gt;=100,'3-man'!H$18&lt;=IF('3-man'!$BF$4="",999,'3-man'!$BF$4)),0,IF(AND(OR(AND('3-man'!H$20="ST&gt;1",H70&gt;=100),AND('3-man'!H$21="ST&gt;1",H78&gt;=100)),'3-man'!H$18&lt;=IF('3-man'!$BF$4="",999,'3-man'!$BF$4)),100,H62)))))</f>
        <v/>
      </c>
      <c r="I63">
        <f>IF('3-man'!I$19="R",MIN(100,I62+10),IF('3-man'!I$19="P",MIN(100,I62+25),IF(AND('3-man'!I$19="D",I62&gt;=35,'3-man'!I$18&lt;=IF('3-man'!$BF$4="",999,'3-man'!$BF$4)),I62-35,IF(AND(LEFT('3-man'!I$19,3)="ST&gt;",I62&gt;=100,'3-man'!I$18&lt;=IF('3-man'!$BF$4="",999,'3-man'!$BF$4)),0,IF(AND(OR(AND('3-man'!I$20="ST&gt;1",I70&gt;=100),AND('3-man'!I$21="ST&gt;1",I78&gt;=100)),'3-man'!I$18&lt;=IF('3-man'!$BF$4="",999,'3-man'!$BF$4)),100,I62)))))</f>
        <v/>
      </c>
      <c r="J63">
        <f>IF('3-man'!J$19="R",MIN(100,J62+10),IF('3-man'!J$19="P",MIN(100,J62+25),IF(AND('3-man'!J$19="D",J62&gt;=35,'3-man'!J$18&lt;=IF('3-man'!$BF$4="",999,'3-man'!$BF$4)),J62-35,IF(AND(LEFT('3-man'!J$19,3)="ST&gt;",J62&gt;=100,'3-man'!J$18&lt;=IF('3-man'!$BF$4="",999,'3-man'!$BF$4)),0,IF(AND(OR(AND('3-man'!J$20="ST&gt;1",J70&gt;=100),AND('3-man'!J$21="ST&gt;1",J78&gt;=100)),'3-man'!J$18&lt;=IF('3-man'!$BF$4="",999,'3-man'!$BF$4)),100,J62)))))</f>
        <v/>
      </c>
      <c r="K63">
        <f>IF('3-man'!K$19="R",MIN(100,K62+10),IF('3-man'!K$19="P",MIN(100,K62+25),IF(AND('3-man'!K$19="D",K62&gt;=35,'3-man'!K$18&lt;=IF('3-man'!$BF$4="",999,'3-man'!$BF$4)),K62-35,IF(AND(LEFT('3-man'!K$19,3)="ST&gt;",K62&gt;=100,'3-man'!K$18&lt;=IF('3-man'!$BF$4="",999,'3-man'!$BF$4)),0,IF(AND(OR(AND('3-man'!K$20="ST&gt;1",K70&gt;=100),AND('3-man'!K$21="ST&gt;1",K78&gt;=100)),'3-man'!K$18&lt;=IF('3-man'!$BF$4="",999,'3-man'!$BF$4)),100,K62)))))</f>
        <v/>
      </c>
      <c r="L63">
        <f>IF('3-man'!L$19="R",MIN(100,L62+10),IF('3-man'!L$19="P",MIN(100,L62+25),IF(AND('3-man'!L$19="D",L62&gt;=35,'3-man'!L$18&lt;=IF('3-man'!$BF$4="",999,'3-man'!$BF$4)),L62-35,IF(AND(LEFT('3-man'!L$19,3)="ST&gt;",L62&gt;=100,'3-man'!L$18&lt;=IF('3-man'!$BF$4="",999,'3-man'!$BF$4)),0,IF(AND(OR(AND('3-man'!L$20="ST&gt;1",L70&gt;=100),AND('3-man'!L$21="ST&gt;1",L78&gt;=100)),'3-man'!L$18&lt;=IF('3-man'!$BF$4="",999,'3-man'!$BF$4)),100,L62)))))</f>
        <v/>
      </c>
      <c r="M63">
        <f>IF('3-man'!M$19="R",MIN(100,M62+10),IF('3-man'!M$19="P",MIN(100,M62+25),IF(AND('3-man'!M$19="D",M62&gt;=35,'3-man'!M$18&lt;=IF('3-man'!$BF$4="",999,'3-man'!$BF$4)),M62-35,IF(AND(LEFT('3-man'!M$19,3)="ST&gt;",M62&gt;=100,'3-man'!M$18&lt;=IF('3-man'!$BF$4="",999,'3-man'!$BF$4)),0,IF(AND(OR(AND('3-man'!M$20="ST&gt;1",M70&gt;=100),AND('3-man'!M$21="ST&gt;1",M78&gt;=100)),'3-man'!M$18&lt;=IF('3-man'!$BF$4="",999,'3-man'!$BF$4)),100,M62)))))</f>
        <v/>
      </c>
      <c r="N63">
        <f>IF('3-man'!N$19="R",MIN(100,N62+10),IF('3-man'!N$19="P",MIN(100,N62+25),IF(AND('3-man'!N$19="D",N62&gt;=35,'3-man'!N$18&lt;=IF('3-man'!$BF$4="",999,'3-man'!$BF$4)),N62-35,IF(AND(LEFT('3-man'!N$19,3)="ST&gt;",N62&gt;=100,'3-man'!N$18&lt;=IF('3-man'!$BF$4="",999,'3-man'!$BF$4)),0,IF(AND(OR(AND('3-man'!N$20="ST&gt;1",N70&gt;=100),AND('3-man'!N$21="ST&gt;1",N78&gt;=100)),'3-man'!N$18&lt;=IF('3-man'!$BF$4="",999,'3-man'!$BF$4)),100,N62)))))</f>
        <v/>
      </c>
      <c r="O63">
        <f>IF('3-man'!O$19="R",MIN(100,O62+10),IF('3-man'!O$19="P",MIN(100,O62+25),IF(AND('3-man'!O$19="D",O62&gt;=35,'3-man'!O$18&lt;=IF('3-man'!$BF$4="",999,'3-man'!$BF$4)),O62-35,IF(AND(LEFT('3-man'!O$19,3)="ST&gt;",O62&gt;=100,'3-man'!O$18&lt;=IF('3-man'!$BF$4="",999,'3-man'!$BF$4)),0,IF(AND(OR(AND('3-man'!O$20="ST&gt;1",O70&gt;=100),AND('3-man'!O$21="ST&gt;1",O78&gt;=100)),'3-man'!O$18&lt;=IF('3-man'!$BF$4="",999,'3-man'!$BF$4)),100,O62)))))</f>
        <v/>
      </c>
      <c r="P63">
        <f>IF('3-man'!P$19="R",MIN(100,P62+10),IF('3-man'!P$19="P",MIN(100,P62+25),IF(AND('3-man'!P$19="D",P62&gt;=35,'3-man'!P$18&lt;=IF('3-man'!$BF$4="",999,'3-man'!$BF$4)),P62-35,IF(AND(LEFT('3-man'!P$19,3)="ST&gt;",P62&gt;=100,'3-man'!P$18&lt;=IF('3-man'!$BF$4="",999,'3-man'!$BF$4)),0,IF(AND(OR(AND('3-man'!P$20="ST&gt;1",P70&gt;=100),AND('3-man'!P$21="ST&gt;1",P78&gt;=100)),'3-man'!P$18&lt;=IF('3-man'!$BF$4="",999,'3-man'!$BF$4)),100,P62)))))</f>
        <v/>
      </c>
      <c r="Q63">
        <f>IF('3-man'!Q$19="R",MIN(100,Q62+10),IF('3-man'!Q$19="P",MIN(100,Q62+25),IF(AND('3-man'!Q$19="D",Q62&gt;=35,'3-man'!Q$18&lt;=IF('3-man'!$BF$4="",999,'3-man'!$BF$4)),Q62-35,IF(AND(LEFT('3-man'!Q$19,3)="ST&gt;",Q62&gt;=100,'3-man'!Q$18&lt;=IF('3-man'!$BF$4="",999,'3-man'!$BF$4)),0,IF(AND(OR(AND('3-man'!Q$20="ST&gt;1",Q70&gt;=100),AND('3-man'!Q$21="ST&gt;1",Q78&gt;=100)),'3-man'!Q$18&lt;=IF('3-man'!$BF$4="",999,'3-man'!$BF$4)),100,Q62)))))</f>
        <v/>
      </c>
      <c r="R63">
        <f>IF('3-man'!R$19="R",MIN(100,R62+10),IF('3-man'!R$19="P",MIN(100,R62+25),IF(AND('3-man'!R$19="D",R62&gt;=35,'3-man'!R$18&lt;=IF('3-man'!$BF$4="",999,'3-man'!$BF$4)),R62-35,IF(AND(LEFT('3-man'!R$19,3)="ST&gt;",R62&gt;=100,'3-man'!R$18&lt;=IF('3-man'!$BF$4="",999,'3-man'!$BF$4)),0,IF(AND(OR(AND('3-man'!R$20="ST&gt;1",R70&gt;=100),AND('3-man'!R$21="ST&gt;1",R78&gt;=100)),'3-man'!R$18&lt;=IF('3-man'!$BF$4="",999,'3-man'!$BF$4)),100,R62)))))</f>
        <v/>
      </c>
      <c r="S63">
        <f>IF('3-man'!S$19="R",MIN(100,S62+10),IF('3-man'!S$19="P",MIN(100,S62+25),IF(AND('3-man'!S$19="D",S62&gt;=35,'3-man'!S$18&lt;=IF('3-man'!$BF$4="",999,'3-man'!$BF$4)),S62-35,IF(AND(LEFT('3-man'!S$19,3)="ST&gt;",S62&gt;=100,'3-man'!S$18&lt;=IF('3-man'!$BF$4="",999,'3-man'!$BF$4)),0,IF(AND(OR(AND('3-man'!S$20="ST&gt;1",S70&gt;=100),AND('3-man'!S$21="ST&gt;1",S78&gt;=100)),'3-man'!S$18&lt;=IF('3-man'!$BF$4="",999,'3-man'!$BF$4)),100,S62)))))</f>
        <v/>
      </c>
      <c r="T63">
        <f>IF('3-man'!T$19="R",MIN(100,T62+10),IF('3-man'!T$19="P",MIN(100,T62+25),IF(AND('3-man'!T$19="D",T62&gt;=35,'3-man'!T$18&lt;=IF('3-man'!$BF$4="",999,'3-man'!$BF$4)),T62-35,IF(AND(LEFT('3-man'!T$19,3)="ST&gt;",T62&gt;=100,'3-man'!T$18&lt;=IF('3-man'!$BF$4="",999,'3-man'!$BF$4)),0,IF(AND(OR(AND('3-man'!T$20="ST&gt;1",T70&gt;=100),AND('3-man'!T$21="ST&gt;1",T78&gt;=100)),'3-man'!T$18&lt;=IF('3-man'!$BF$4="",999,'3-man'!$BF$4)),100,T62)))))</f>
        <v/>
      </c>
      <c r="U63">
        <f>IF('3-man'!U$19="R",MIN(100,U62+10),IF('3-man'!U$19="P",MIN(100,U62+25),IF(AND('3-man'!U$19="D",U62&gt;=35,'3-man'!U$18&lt;=IF('3-man'!$BF$4="",999,'3-man'!$BF$4)),U62-35,IF(AND(LEFT('3-man'!U$19,3)="ST&gt;",U62&gt;=100,'3-man'!U$18&lt;=IF('3-man'!$BF$4="",999,'3-man'!$BF$4)),0,IF(AND(OR(AND('3-man'!U$20="ST&gt;1",U70&gt;=100),AND('3-man'!U$21="ST&gt;1",U78&gt;=100)),'3-man'!U$18&lt;=IF('3-man'!$BF$4="",999,'3-man'!$BF$4)),100,U62)))))</f>
        <v/>
      </c>
      <c r="V63">
        <f>IF('3-man'!V$19="R",MIN(100,V62+10),IF('3-man'!V$19="P",MIN(100,V62+25),IF(AND('3-man'!V$19="D",V62&gt;=35,'3-man'!V$18&lt;=IF('3-man'!$BF$4="",999,'3-man'!$BF$4)),V62-35,IF(AND(LEFT('3-man'!V$19,3)="ST&gt;",V62&gt;=100,'3-man'!V$18&lt;=IF('3-man'!$BF$4="",999,'3-man'!$BF$4)),0,IF(AND(OR(AND('3-man'!V$20="ST&gt;1",V70&gt;=100),AND('3-man'!V$21="ST&gt;1",V78&gt;=100)),'3-man'!V$18&lt;=IF('3-man'!$BF$4="",999,'3-man'!$BF$4)),100,V62)))))</f>
        <v/>
      </c>
      <c r="W63">
        <f>IF('3-man'!W$19="R",MIN(100,W62+10),IF('3-man'!W$19="P",MIN(100,W62+25),IF(AND('3-man'!W$19="D",W62&gt;=35,'3-man'!W$18&lt;=IF('3-man'!$BF$4="",999,'3-man'!$BF$4)),W62-35,IF(AND(LEFT('3-man'!W$19,3)="ST&gt;",W62&gt;=100,'3-man'!W$18&lt;=IF('3-man'!$BF$4="",999,'3-man'!$BF$4)),0,IF(AND(OR(AND('3-man'!W$20="ST&gt;1",W70&gt;=100),AND('3-man'!W$21="ST&gt;1",W78&gt;=100)),'3-man'!W$18&lt;=IF('3-man'!$BF$4="",999,'3-man'!$BF$4)),100,W62)))))</f>
        <v/>
      </c>
      <c r="X63">
        <f>IF('3-man'!X$19="R",MIN(100,X62+10),IF('3-man'!X$19="P",MIN(100,X62+25),IF(AND('3-man'!X$19="D",X62&gt;=35,'3-man'!X$18&lt;=IF('3-man'!$BF$4="",999,'3-man'!$BF$4)),X62-35,IF(AND(LEFT('3-man'!X$19,3)="ST&gt;",X62&gt;=100,'3-man'!X$18&lt;=IF('3-man'!$BF$4="",999,'3-man'!$BF$4)),0,IF(AND(OR(AND('3-man'!X$20="ST&gt;1",X70&gt;=100),AND('3-man'!X$21="ST&gt;1",X78&gt;=100)),'3-man'!X$18&lt;=IF('3-man'!$BF$4="",999,'3-man'!$BF$4)),100,X62)))))</f>
        <v/>
      </c>
      <c r="Y63">
        <f>IF('3-man'!Y$19="R",MIN(100,Y62+10),IF('3-man'!Y$19="P",MIN(100,Y62+25),IF(AND('3-man'!Y$19="D",Y62&gt;=35,'3-man'!Y$18&lt;=IF('3-man'!$BF$4="",999,'3-man'!$BF$4)),Y62-35,IF(AND(LEFT('3-man'!Y$19,3)="ST&gt;",Y62&gt;=100,'3-man'!Y$18&lt;=IF('3-man'!$BF$4="",999,'3-man'!$BF$4)),0,IF(AND(OR(AND('3-man'!Y$20="ST&gt;1",Y70&gt;=100),AND('3-man'!Y$21="ST&gt;1",Y78&gt;=100)),'3-man'!Y$18&lt;=IF('3-man'!$BF$4="",999,'3-man'!$BF$4)),100,Y62)))))</f>
        <v/>
      </c>
      <c r="Z63">
        <f>IF('3-man'!Z$19="R",MIN(100,Z62+10),IF('3-man'!Z$19="P",MIN(100,Z62+25),IF(AND('3-man'!Z$19="D",Z62&gt;=35,'3-man'!Z$18&lt;=IF('3-man'!$BF$4="",999,'3-man'!$BF$4)),Z62-35,IF(AND(LEFT('3-man'!Z$19,3)="ST&gt;",Z62&gt;=100,'3-man'!Z$18&lt;=IF('3-man'!$BF$4="",999,'3-man'!$BF$4)),0,IF(AND(OR(AND('3-man'!Z$20="ST&gt;1",Z70&gt;=100),AND('3-man'!Z$21="ST&gt;1",Z78&gt;=100)),'3-man'!Z$18&lt;=IF('3-man'!$BF$4="",999,'3-man'!$BF$4)),100,Z62)))))</f>
        <v/>
      </c>
      <c r="AA63">
        <f>IF('3-man'!AA$19="R",MIN(100,AA62+10),IF('3-man'!AA$19="P",MIN(100,AA62+25),IF(AND('3-man'!AA$19="D",AA62&gt;=35,'3-man'!AA$18&lt;=IF('3-man'!$BF$4="",999,'3-man'!$BF$4)),AA62-35,IF(AND(LEFT('3-man'!AA$19,3)="ST&gt;",AA62&gt;=100,'3-man'!AA$18&lt;=IF('3-man'!$BF$4="",999,'3-man'!$BF$4)),0,IF(AND(OR(AND('3-man'!AA$20="ST&gt;1",AA70&gt;=100),AND('3-man'!AA$21="ST&gt;1",AA78&gt;=100)),'3-man'!AA$18&lt;=IF('3-man'!$BF$4="",999,'3-man'!$BF$4)),100,AA62)))))</f>
        <v/>
      </c>
      <c r="AB63">
        <f>IF('3-man'!AB$19="R",MIN(100,AB62+10),IF('3-man'!AB$19="P",MIN(100,AB62+25),IF(AND('3-man'!AB$19="D",AB62&gt;=35,'3-man'!AB$18&lt;=IF('3-man'!$BF$4="",999,'3-man'!$BF$4)),AB62-35,IF(AND(LEFT('3-man'!AB$19,3)="ST&gt;",AB62&gt;=100,'3-man'!AB$18&lt;=IF('3-man'!$BF$4="",999,'3-man'!$BF$4)),0,IF(AND(OR(AND('3-man'!AB$20="ST&gt;1",AB70&gt;=100),AND('3-man'!AB$21="ST&gt;1",AB78&gt;=100)),'3-man'!AB$18&lt;=IF('3-man'!$BF$4="",999,'3-man'!$BF$4)),100,AB62)))))</f>
        <v/>
      </c>
      <c r="AC63">
        <f>IF('3-man'!AC$19="R",MIN(100,AC62+10),IF('3-man'!AC$19="P",MIN(100,AC62+25),IF(AND('3-man'!AC$19="D",AC62&gt;=35,'3-man'!AC$18&lt;=IF('3-man'!$BF$4="",999,'3-man'!$BF$4)),AC62-35,IF(AND(LEFT('3-man'!AC$19,3)="ST&gt;",AC62&gt;=100,'3-man'!AC$18&lt;=IF('3-man'!$BF$4="",999,'3-man'!$BF$4)),0,IF(AND(OR(AND('3-man'!AC$20="ST&gt;1",AC70&gt;=100),AND('3-man'!AC$21="ST&gt;1",AC78&gt;=100)),'3-man'!AC$18&lt;=IF('3-man'!$BF$4="",999,'3-man'!$BF$4)),100,AC62)))))</f>
        <v/>
      </c>
      <c r="AD63">
        <f>IF('3-man'!AD$19="R",MIN(100,AD62+10),IF('3-man'!AD$19="P",MIN(100,AD62+25),IF(AND('3-man'!AD$19="D",AD62&gt;=35,'3-man'!AD$18&lt;=IF('3-man'!$BF$4="",999,'3-man'!$BF$4)),AD62-35,IF(AND(LEFT('3-man'!AD$19,3)="ST&gt;",AD62&gt;=100,'3-man'!AD$18&lt;=IF('3-man'!$BF$4="",999,'3-man'!$BF$4)),0,IF(AND(OR(AND('3-man'!AD$20="ST&gt;1",AD70&gt;=100),AND('3-man'!AD$21="ST&gt;1",AD78&gt;=100)),'3-man'!AD$18&lt;=IF('3-man'!$BF$4="",999,'3-man'!$BF$4)),100,AD62)))))</f>
        <v/>
      </c>
      <c r="AE63">
        <f>IF('3-man'!AE$19="R",MIN(100,AE62+10),IF('3-man'!AE$19="P",MIN(100,AE62+25),IF(AND('3-man'!AE$19="D",AE62&gt;=35,'3-man'!AE$18&lt;=IF('3-man'!$BF$4="",999,'3-man'!$BF$4)),AE62-35,IF(AND(LEFT('3-man'!AE$19,3)="ST&gt;",AE62&gt;=100,'3-man'!AE$18&lt;=IF('3-man'!$BF$4="",999,'3-man'!$BF$4)),0,IF(AND(OR(AND('3-man'!AE$20="ST&gt;1",AE70&gt;=100),AND('3-man'!AE$21="ST&gt;1",AE78&gt;=100)),'3-man'!AE$18&lt;=IF('3-man'!$BF$4="",999,'3-man'!$BF$4)),100,AE62)))))</f>
        <v/>
      </c>
      <c r="AF63">
        <f>IF('3-man'!AF$19="R",MIN(100,AF62+10),IF('3-man'!AF$19="P",MIN(100,AF62+25),IF(AND('3-man'!AF$19="D",AF62&gt;=35,'3-man'!AF$18&lt;=IF('3-man'!$BF$4="",999,'3-man'!$BF$4)),AF62-35,IF(AND(LEFT('3-man'!AF$19,3)="ST&gt;",AF62&gt;=100,'3-man'!AF$18&lt;=IF('3-man'!$BF$4="",999,'3-man'!$BF$4)),0,IF(AND(OR(AND('3-man'!AF$20="ST&gt;1",AF70&gt;=100),AND('3-man'!AF$21="ST&gt;1",AF78&gt;=100)),'3-man'!AF$18&lt;=IF('3-man'!$BF$4="",999,'3-man'!$BF$4)),100,AF62)))))</f>
        <v/>
      </c>
      <c r="AG63">
        <f>IF('3-man'!AG$19="R",MIN(100,AG62+10),IF('3-man'!AG$19="P",MIN(100,AG62+25),IF(AND('3-man'!AG$19="D",AG62&gt;=35,'3-man'!AG$18&lt;=IF('3-man'!$BF$4="",999,'3-man'!$BF$4)),AG62-35,IF(AND(LEFT('3-man'!AG$19,3)="ST&gt;",AG62&gt;=100,'3-man'!AG$18&lt;=IF('3-man'!$BF$4="",999,'3-man'!$BF$4)),0,IF(AND(OR(AND('3-man'!AG$20="ST&gt;1",AG70&gt;=100),AND('3-man'!AG$21="ST&gt;1",AG78&gt;=100)),'3-man'!AG$18&lt;=IF('3-man'!$BF$4="",999,'3-man'!$BF$4)),100,AG62)))))</f>
        <v/>
      </c>
      <c r="AH63">
        <f>IF('3-man'!AH$19="R",MIN(100,AH62+10),IF('3-man'!AH$19="P",MIN(100,AH62+25),IF(AND('3-man'!AH$19="D",AH62&gt;=35,'3-man'!AH$18&lt;=IF('3-man'!$BF$4="",999,'3-man'!$BF$4)),AH62-35,IF(AND(LEFT('3-man'!AH$19,3)="ST&gt;",AH62&gt;=100,'3-man'!AH$18&lt;=IF('3-man'!$BF$4="",999,'3-man'!$BF$4)),0,IF(AND(OR(AND('3-man'!AH$20="ST&gt;1",AH70&gt;=100),AND('3-man'!AH$21="ST&gt;1",AH78&gt;=100)),'3-man'!AH$18&lt;=IF('3-man'!$BF$4="",999,'3-man'!$BF$4)),100,AH62)))))</f>
        <v/>
      </c>
      <c r="AI63">
        <f>IF('3-man'!AI$19="R",MIN(100,AI62+10),IF('3-man'!AI$19="P",MIN(100,AI62+25),IF(AND('3-man'!AI$19="D",AI62&gt;=35,'3-man'!AI$18&lt;=IF('3-man'!$BF$4="",999,'3-man'!$BF$4)),AI62-35,IF(AND(LEFT('3-man'!AI$19,3)="ST&gt;",AI62&gt;=100,'3-man'!AI$18&lt;=IF('3-man'!$BF$4="",999,'3-man'!$BF$4)),0,IF(AND(OR(AND('3-man'!AI$20="ST&gt;1",AI70&gt;=100),AND('3-man'!AI$21="ST&gt;1",AI78&gt;=100)),'3-man'!AI$18&lt;=IF('3-man'!$BF$4="",999,'3-man'!$BF$4)),100,AI62)))))</f>
        <v/>
      </c>
      <c r="AJ63">
        <f>IF('3-man'!AJ$19="R",MIN(100,AJ62+10),IF('3-man'!AJ$19="P",MIN(100,AJ62+25),IF(AND('3-man'!AJ$19="D",AJ62&gt;=35,'3-man'!AJ$18&lt;=IF('3-man'!$BF$4="",999,'3-man'!$BF$4)),AJ62-35,IF(AND(LEFT('3-man'!AJ$19,3)="ST&gt;",AJ62&gt;=100,'3-man'!AJ$18&lt;=IF('3-man'!$BF$4="",999,'3-man'!$BF$4)),0,IF(AND(OR(AND('3-man'!AJ$20="ST&gt;1",AJ70&gt;=100),AND('3-man'!AJ$21="ST&gt;1",AJ78&gt;=100)),'3-man'!AJ$18&lt;=IF('3-man'!$BF$4="",999,'3-man'!$BF$4)),100,AJ62)))))</f>
        <v/>
      </c>
      <c r="AK63">
        <f>IF('3-man'!AK$19="R",MIN(100,AK62+10),IF('3-man'!AK$19="P",MIN(100,AK62+25),IF(AND('3-man'!AK$19="D",AK62&gt;=35,'3-man'!AK$18&lt;=IF('3-man'!$BF$4="",999,'3-man'!$BF$4)),AK62-35,IF(AND(LEFT('3-man'!AK$19,3)="ST&gt;",AK62&gt;=100,'3-man'!AK$18&lt;=IF('3-man'!$BF$4="",999,'3-man'!$BF$4)),0,IF(AND(OR(AND('3-man'!AK$20="ST&gt;1",AK70&gt;=100),AND('3-man'!AK$21="ST&gt;1",AK78&gt;=100)),'3-man'!AK$18&lt;=IF('3-man'!$BF$4="",999,'3-man'!$BF$4)),100,AK62)))))</f>
        <v/>
      </c>
      <c r="AL63">
        <f>IF('3-man'!AL$19="R",MIN(100,AL62+10),IF('3-man'!AL$19="P",MIN(100,AL62+25),IF(AND('3-man'!AL$19="D",AL62&gt;=35,'3-man'!AL$18&lt;=IF('3-man'!$BF$4="",999,'3-man'!$BF$4)),AL62-35,IF(AND(LEFT('3-man'!AL$19,3)="ST&gt;",AL62&gt;=100,'3-man'!AL$18&lt;=IF('3-man'!$BF$4="",999,'3-man'!$BF$4)),0,IF(AND(OR(AND('3-man'!AL$20="ST&gt;1",AL70&gt;=100),AND('3-man'!AL$21="ST&gt;1",AL78&gt;=100)),'3-man'!AL$18&lt;=IF('3-man'!$BF$4="",999,'3-man'!$BF$4)),100,AL62)))))</f>
        <v/>
      </c>
      <c r="AM63">
        <f>IF('3-man'!AM$19="R",MIN(100,AM62+10),IF('3-man'!AM$19="P",MIN(100,AM62+25),IF(AND('3-man'!AM$19="D",AM62&gt;=35,'3-man'!AM$18&lt;=IF('3-man'!$BF$4="",999,'3-man'!$BF$4)),AM62-35,IF(AND(LEFT('3-man'!AM$19,3)="ST&gt;",AM62&gt;=100,'3-man'!AM$18&lt;=IF('3-man'!$BF$4="",999,'3-man'!$BF$4)),0,IF(AND(OR(AND('3-man'!AM$20="ST&gt;1",AM70&gt;=100),AND('3-man'!AM$21="ST&gt;1",AM78&gt;=100)),'3-man'!AM$18&lt;=IF('3-man'!$BF$4="",999,'3-man'!$BF$4)),100,AM62)))))</f>
        <v/>
      </c>
      <c r="AN63">
        <f>IF('3-man'!AN$19="R",MIN(100,AN62+10),IF('3-man'!AN$19="P",MIN(100,AN62+25),IF(AND('3-man'!AN$19="D",AN62&gt;=35,'3-man'!AN$18&lt;=IF('3-man'!$BF$4="",999,'3-man'!$BF$4)),AN62-35,IF(AND(LEFT('3-man'!AN$19,3)="ST&gt;",AN62&gt;=100,'3-man'!AN$18&lt;=IF('3-man'!$BF$4="",999,'3-man'!$BF$4)),0,IF(AND(OR(AND('3-man'!AN$20="ST&gt;1",AN70&gt;=100),AND('3-man'!AN$21="ST&gt;1",AN78&gt;=100)),'3-man'!AN$18&lt;=IF('3-man'!$BF$4="",999,'3-man'!$BF$4)),100,AN62)))))</f>
        <v/>
      </c>
      <c r="AO63">
        <f>IF('3-man'!AO$19="R",MIN(100,AO62+10),IF('3-man'!AO$19="P",MIN(100,AO62+25),IF(AND('3-man'!AO$19="D",AO62&gt;=35,'3-man'!AO$18&lt;=IF('3-man'!$BF$4="",999,'3-man'!$BF$4)),AO62-35,IF(AND(LEFT('3-man'!AO$19,3)="ST&gt;",AO62&gt;=100,'3-man'!AO$18&lt;=IF('3-man'!$BF$4="",999,'3-man'!$BF$4)),0,IF(AND(OR(AND('3-man'!AO$20="ST&gt;1",AO70&gt;=100),AND('3-man'!AO$21="ST&gt;1",AO78&gt;=100)),'3-man'!AO$18&lt;=IF('3-man'!$BF$4="",999,'3-man'!$BF$4)),100,AO62)))))</f>
        <v/>
      </c>
      <c r="AP63">
        <f>IF('3-man'!AP$19="R",MIN(100,AP62+10),IF('3-man'!AP$19="P",MIN(100,AP62+25),IF(AND('3-man'!AP$19="D",AP62&gt;=35,'3-man'!AP$18&lt;=IF('3-man'!$BF$4="",999,'3-man'!$BF$4)),AP62-35,IF(AND(LEFT('3-man'!AP$19,3)="ST&gt;",AP62&gt;=100,'3-man'!AP$18&lt;=IF('3-man'!$BF$4="",999,'3-man'!$BF$4)),0,IF(AND(OR(AND('3-man'!AP$20="ST&gt;1",AP70&gt;=100),AND('3-man'!AP$21="ST&gt;1",AP78&gt;=100)),'3-man'!AP$18&lt;=IF('3-man'!$BF$4="",999,'3-man'!$BF$4)),100,AP62)))))</f>
        <v/>
      </c>
      <c r="AQ63">
        <f>IF('3-man'!AQ$19="R",MIN(100,AQ62+10),IF('3-man'!AQ$19="P",MIN(100,AQ62+25),IF(AND('3-man'!AQ$19="D",AQ62&gt;=35,'3-man'!AQ$18&lt;=IF('3-man'!$BF$4="",999,'3-man'!$BF$4)),AQ62-35,IF(AND(LEFT('3-man'!AQ$19,3)="ST&gt;",AQ62&gt;=100,'3-man'!AQ$18&lt;=IF('3-man'!$BF$4="",999,'3-man'!$BF$4)),0,IF(AND(OR(AND('3-man'!AQ$20="ST&gt;1",AQ70&gt;=100),AND('3-man'!AQ$21="ST&gt;1",AQ78&gt;=100)),'3-man'!AQ$18&lt;=IF('3-man'!$BF$4="",999,'3-man'!$BF$4)),100,AQ62)))))</f>
        <v/>
      </c>
      <c r="AR63">
        <f>IF('3-man'!AR$19="R",MIN(100,AR62+10),IF('3-man'!AR$19="P",MIN(100,AR62+25),IF(AND('3-man'!AR$19="D",AR62&gt;=35,'3-man'!AR$18&lt;=IF('3-man'!$BF$4="",999,'3-man'!$BF$4)),AR62-35,IF(AND(LEFT('3-man'!AR$19,3)="ST&gt;",AR62&gt;=100,'3-man'!AR$18&lt;=IF('3-man'!$BF$4="",999,'3-man'!$BF$4)),0,IF(AND(OR(AND('3-man'!AR$20="ST&gt;1",AR70&gt;=100),AND('3-man'!AR$21="ST&gt;1",AR78&gt;=100)),'3-man'!AR$18&lt;=IF('3-man'!$BF$4="",999,'3-man'!$BF$4)),100,AR62)))))</f>
        <v/>
      </c>
      <c r="AS63">
        <f>IF('3-man'!AS$19="R",MIN(100,AS62+10),IF('3-man'!AS$19="P",MIN(100,AS62+25),IF(AND('3-man'!AS$19="D",AS62&gt;=35,'3-man'!AS$18&lt;=IF('3-man'!$BF$4="",999,'3-man'!$BF$4)),AS62-35,IF(AND(LEFT('3-man'!AS$19,3)="ST&gt;",AS62&gt;=100,'3-man'!AS$18&lt;=IF('3-man'!$BF$4="",999,'3-man'!$BF$4)),0,IF(AND(OR(AND('3-man'!AS$20="ST&gt;1",AS70&gt;=100),AND('3-man'!AS$21="ST&gt;1",AS78&gt;=100)),'3-man'!AS$18&lt;=IF('3-man'!$BF$4="",999,'3-man'!$BF$4)),100,AS62)))))</f>
        <v/>
      </c>
      <c r="AT63">
        <f>IF('3-man'!AT$19="R",MIN(100,AT62+10),IF('3-man'!AT$19="P",MIN(100,AT62+25),IF(AND('3-man'!AT$19="D",AT62&gt;=35,'3-man'!AT$18&lt;=IF('3-man'!$BF$4="",999,'3-man'!$BF$4)),AT62-35,IF(AND(LEFT('3-man'!AT$19,3)="ST&gt;",AT62&gt;=100,'3-man'!AT$18&lt;=IF('3-man'!$BF$4="",999,'3-man'!$BF$4)),0,IF(AND(OR(AND('3-man'!AT$20="ST&gt;1",AT70&gt;=100),AND('3-man'!AT$21="ST&gt;1",AT78&gt;=100)),'3-man'!AT$18&lt;=IF('3-man'!$BF$4="",999,'3-man'!$BF$4)),100,AT62)))))</f>
        <v/>
      </c>
      <c r="AU63">
        <f>IF('3-man'!AU$19="R",MIN(100,AU62+10),IF('3-man'!AU$19="P",MIN(100,AU62+25),IF(AND('3-man'!AU$19="D",AU62&gt;=35,'3-man'!AU$18&lt;=IF('3-man'!$BF$4="",999,'3-man'!$BF$4)),AU62-35,IF(AND(LEFT('3-man'!AU$19,3)="ST&gt;",AU62&gt;=100,'3-man'!AU$18&lt;=IF('3-man'!$BF$4="",999,'3-man'!$BF$4)),0,IF(AND(OR(AND('3-man'!AU$20="ST&gt;1",AU70&gt;=100),AND('3-man'!AU$21="ST&gt;1",AU78&gt;=100)),'3-man'!AU$18&lt;=IF('3-man'!$BF$4="",999,'3-man'!$BF$4)),100,AU62)))))</f>
        <v/>
      </c>
      <c r="AV63">
        <f>IF('3-man'!AV$19="R",MIN(100,AV62+10),IF('3-man'!AV$19="P",MIN(100,AV62+25),IF(AND('3-man'!AV$19="D",AV62&gt;=35,'3-man'!AV$18&lt;=IF('3-man'!$BF$4="",999,'3-man'!$BF$4)),AV62-35,IF(AND(LEFT('3-man'!AV$19,3)="ST&gt;",AV62&gt;=100,'3-man'!AV$18&lt;=IF('3-man'!$BF$4="",999,'3-man'!$BF$4)),0,IF(AND(OR(AND('3-man'!AV$20="ST&gt;1",AV70&gt;=100),AND('3-man'!AV$21="ST&gt;1",AV78&gt;=100)),'3-man'!AV$18&lt;=IF('3-man'!$BF$4="",999,'3-man'!$BF$4)),100,AV62)))))</f>
        <v/>
      </c>
      <c r="AW63">
        <f>IF('3-man'!AW$19="R",MIN(100,AW62+10),IF('3-man'!AW$19="P",MIN(100,AW62+25),IF(AND('3-man'!AW$19="D",AW62&gt;=35,'3-man'!AW$18&lt;=IF('3-man'!$BF$4="",999,'3-man'!$BF$4)),AW62-35,IF(AND(LEFT('3-man'!AW$19,3)="ST&gt;",AW62&gt;=100,'3-man'!AW$18&lt;=IF('3-man'!$BF$4="",999,'3-man'!$BF$4)),0,IF(AND(OR(AND('3-man'!AW$20="ST&gt;1",AW70&gt;=100),AND('3-man'!AW$21="ST&gt;1",AW78&gt;=100)),'3-man'!AW$18&lt;=IF('3-man'!$BF$4="",999,'3-man'!$BF$4)),100,AW62)))))</f>
        <v/>
      </c>
      <c r="AX63">
        <f>IF('3-man'!AX$19="R",MIN(100,AX62+10),IF('3-man'!AX$19="P",MIN(100,AX62+25),IF(AND('3-man'!AX$19="D",AX62&gt;=35,'3-man'!AX$18&lt;=IF('3-man'!$BF$4="",999,'3-man'!$BF$4)),AX62-35,IF(AND(LEFT('3-man'!AX$19,3)="ST&gt;",AX62&gt;=100,'3-man'!AX$18&lt;=IF('3-man'!$BF$4="",999,'3-man'!$BF$4)),0,IF(AND(OR(AND('3-man'!AX$20="ST&gt;1",AX70&gt;=100),AND('3-man'!AX$21="ST&gt;1",AX78&gt;=100)),'3-man'!AX$18&lt;=IF('3-man'!$BF$4="",999,'3-man'!$BF$4)),100,AX62)))))</f>
        <v/>
      </c>
      <c r="AY63">
        <f>IF('3-man'!AY$19="R",MIN(100,AY62+10),IF('3-man'!AY$19="P",MIN(100,AY62+25),IF(AND('3-man'!AY$19="D",AY62&gt;=35,'3-man'!AY$18&lt;=IF('3-man'!$BF$4="",999,'3-man'!$BF$4)),AY62-35,IF(AND(LEFT('3-man'!AY$19,3)="ST&gt;",AY62&gt;=100,'3-man'!AY$18&lt;=IF('3-man'!$BF$4="",999,'3-man'!$BF$4)),0,IF(AND(OR(AND('3-man'!AY$20="ST&gt;1",AY70&gt;=100),AND('3-man'!AY$21="ST&gt;1",AY78&gt;=100)),'3-man'!AY$18&lt;=IF('3-man'!$BF$4="",999,'3-man'!$BF$4)),100,AY62)))))</f>
        <v/>
      </c>
      <c r="AZ63">
        <f>IF('3-man'!AZ$19="R",MIN(100,AZ62+10),IF('3-man'!AZ$19="P",MIN(100,AZ62+25),IF(AND('3-man'!AZ$19="D",AZ62&gt;=35,'3-man'!AZ$18&lt;=IF('3-man'!$BF$4="",999,'3-man'!$BF$4)),AZ62-35,IF(AND(LEFT('3-man'!AZ$19,3)="ST&gt;",AZ62&gt;=100,'3-man'!AZ$18&lt;=IF('3-man'!$BF$4="",999,'3-man'!$BF$4)),0,IF(AND(OR(AND('3-man'!AZ$20="ST&gt;1",AZ70&gt;=100),AND('3-man'!AZ$21="ST&gt;1",AZ78&gt;=100)),'3-man'!AZ$18&lt;=IF('3-man'!$BF$4="",999,'3-man'!$BF$4)),100,AZ62)))))</f>
        <v/>
      </c>
      <c r="BA63">
        <f>IF('3-man'!BA$19="R",MIN(100,BA62+10),IF('3-man'!BA$19="P",MIN(100,BA62+25),IF(AND('3-man'!BA$19="D",BA62&gt;=35,'3-man'!BA$18&lt;=IF('3-man'!$BF$4="",999,'3-man'!$BF$4)),BA62-35,IF(AND(LEFT('3-man'!BA$19,3)="ST&gt;",BA62&gt;=100,'3-man'!BA$18&lt;=IF('3-man'!$BF$4="",999,'3-man'!$BF$4)),0,IF(AND(OR(AND('3-man'!BA$20="ST&gt;1",BA70&gt;=100),AND('3-man'!BA$21="ST&gt;1",BA78&gt;=100)),'3-man'!BA$18&lt;=IF('3-man'!$BF$4="",999,'3-man'!$BF$4)),100,BA62)))))</f>
        <v/>
      </c>
      <c r="BB63">
        <f>IF('3-man'!BB$19="R",MIN(100,BB62+10),IF('3-man'!BB$19="P",MIN(100,BB62+25),IF(AND('3-man'!BB$19="D",BB62&gt;=35,'3-man'!BB$18&lt;=IF('3-man'!$BF$4="",999,'3-man'!$BF$4)),BB62-35,IF(AND(LEFT('3-man'!BB$19,3)="ST&gt;",BB62&gt;=100,'3-man'!BB$18&lt;=IF('3-man'!$BF$4="",999,'3-man'!$BF$4)),0,IF(AND(OR(AND('3-man'!BB$20="ST&gt;1",BB70&gt;=100),AND('3-man'!BB$21="ST&gt;1",BB78&gt;=100)),'3-man'!BB$18&lt;=IF('3-man'!$BF$4="",999,'3-man'!$BF$4)),100,BB62)))))</f>
        <v/>
      </c>
      <c r="BC63">
        <f>IF('3-man'!BC$19="R",MIN(100,BC62+10),IF('3-man'!BC$19="P",MIN(100,BC62+25),IF(AND('3-man'!BC$19="D",BC62&gt;=35,'3-man'!BC$18&lt;=IF('3-man'!$BF$4="",999,'3-man'!$BF$4)),BC62-35,IF(AND(LEFT('3-man'!BC$19,3)="ST&gt;",BC62&gt;=100,'3-man'!BC$18&lt;=IF('3-man'!$BF$4="",999,'3-man'!$BF$4)),0,IF(AND(OR(AND('3-man'!BC$20="ST&gt;1",BC70&gt;=100),AND('3-man'!BC$21="ST&gt;1",BC78&gt;=100)),'3-man'!BC$18&lt;=IF('3-man'!$BF$4="",999,'3-man'!$BF$4)),100,BC62)))))</f>
        <v/>
      </c>
      <c r="BD63">
        <f>IF('3-man'!BD$19="R",MIN(100,BD62+10),IF('3-man'!BD$19="P",MIN(100,BD62+25),IF(AND('3-man'!BD$19="D",BD62&gt;=35,'3-man'!BD$18&lt;=IF('3-man'!$BF$4="",999,'3-man'!$BF$4)),BD62-35,IF(AND(LEFT('3-man'!BD$19,3)="ST&gt;",BD62&gt;=100,'3-man'!BD$18&lt;=IF('3-man'!$BF$4="",999,'3-man'!$BF$4)),0,IF(AND(OR(AND('3-man'!BD$20="ST&gt;1",BD70&gt;=100),AND('3-man'!BD$21="ST&gt;1",BD78&gt;=100)),'3-man'!BD$18&lt;=IF('3-man'!$BF$4="",999,'3-man'!$BF$4)),100,BD62)))))</f>
        <v/>
      </c>
      <c r="BE63">
        <f>IF('3-man'!BE$19="R",MIN(100,BE62+10),IF('3-man'!BE$19="P",MIN(100,BE62+25),IF(AND('3-man'!BE$19="D",BE62&gt;=35,'3-man'!BE$18&lt;=IF('3-man'!$BF$4="",999,'3-man'!$BF$4)),BE62-35,IF(AND(LEFT('3-man'!BE$19,3)="ST&gt;",BE62&gt;=100,'3-man'!BE$18&lt;=IF('3-man'!$BF$4="",999,'3-man'!$BF$4)),0,IF(AND(OR(AND('3-man'!BE$20="ST&gt;1",BE70&gt;=100),AND('3-man'!BE$21="ST&gt;1",BE78&gt;=100)),'3-man'!BE$18&lt;=IF('3-man'!$BF$4="",999,'3-man'!$BF$4)),100,BE62)))))</f>
        <v/>
      </c>
      <c r="BF63">
        <f>IF('3-man'!BF$19="R",MIN(100,BF62+10),IF('3-man'!BF$19="P",MIN(100,BF62+25),IF(AND('3-man'!BF$19="D",BF62&gt;=35,'3-man'!BF$18&lt;=IF('3-man'!$BF$4="",999,'3-man'!$BF$4)),BF62-35,IF(AND(LEFT('3-man'!BF$19,3)="ST&gt;",BF62&gt;=100,'3-man'!BF$18&lt;=IF('3-man'!$BF$4="",999,'3-man'!$BF$4)),0,IF(AND(OR(AND('3-man'!BF$20="ST&gt;1",BF70&gt;=100),AND('3-man'!BF$21="ST&gt;1",BF78&gt;=100)),'3-man'!BF$18&lt;=IF('3-man'!$BF$4="",999,'3-man'!$BF$4)),100,BF62)))))</f>
        <v/>
      </c>
      <c r="BG63">
        <f>IF('3-man'!BG$19="R",MIN(100,BG62+10),IF('3-man'!BG$19="P",MIN(100,BG62+25),IF(AND('3-man'!BG$19="D",BG62&gt;=35,'3-man'!BG$18&lt;=IF('3-man'!$BF$4="",999,'3-man'!$BF$4)),BG62-35,IF(AND(LEFT('3-man'!BG$19,3)="ST&gt;",BG62&gt;=100,'3-man'!BG$18&lt;=IF('3-man'!$BF$4="",999,'3-man'!$BF$4)),0,IF(AND(OR(AND('3-man'!BG$20="ST&gt;1",BG70&gt;=100),AND('3-man'!BG$21="ST&gt;1",BG78&gt;=100)),'3-man'!BG$18&lt;=IF('3-man'!$BF$4="",999,'3-man'!$BF$4)),100,BG62)))))</f>
        <v/>
      </c>
      <c r="BH63">
        <f>IF('3-man'!BH$19="R",MIN(100,BH62+10),IF('3-man'!BH$19="P",MIN(100,BH62+25),IF(AND('3-man'!BH$19="D",BH62&gt;=35,'3-man'!BH$18&lt;=IF('3-man'!$BF$4="",999,'3-man'!$BF$4)),BH62-35,IF(AND(LEFT('3-man'!BH$19,3)="ST&gt;",BH62&gt;=100,'3-man'!BH$18&lt;=IF('3-man'!$BF$4="",999,'3-man'!$BF$4)),0,IF(AND(OR(AND('3-man'!BH$20="ST&gt;1",BH70&gt;=100),AND('3-man'!BH$21="ST&gt;1",BH78&gt;=100)),'3-man'!BH$18&lt;=IF('3-man'!$BF$4="",999,'3-man'!$BF$4)),100,BH62)))))</f>
        <v/>
      </c>
      <c r="BI63">
        <f>IF('3-man'!BI$19="R",MIN(100,BI62+10),IF('3-man'!BI$19="P",MIN(100,BI62+25),IF(AND('3-man'!BI$19="D",BI62&gt;=35,'3-man'!BI$18&lt;=IF('3-man'!$BF$4="",999,'3-man'!$BF$4)),BI62-35,IF(AND(LEFT('3-man'!BI$19,3)="ST&gt;",BI62&gt;=100,'3-man'!BI$18&lt;=IF('3-man'!$BF$4="",999,'3-man'!$BF$4)),0,IF(AND(OR(AND('3-man'!BI$20="ST&gt;1",BI70&gt;=100),AND('3-man'!BI$21="ST&gt;1",BI78&gt;=100)),'3-man'!BI$18&lt;=IF('3-man'!$BF$4="",999,'3-man'!$BF$4)),100,BI62)))))</f>
        <v/>
      </c>
      <c r="BJ63">
        <f>IF('3-man'!BJ$19="R",MIN(100,BJ62+10),IF('3-man'!BJ$19="P",MIN(100,BJ62+25),IF(AND('3-man'!BJ$19="D",BJ62&gt;=35,'3-man'!BJ$18&lt;=IF('3-man'!$BF$4="",999,'3-man'!$BF$4)),BJ62-35,IF(AND(LEFT('3-man'!BJ$19,3)="ST&gt;",BJ62&gt;=100,'3-man'!BJ$18&lt;=IF('3-man'!$BF$4="",999,'3-man'!$BF$4)),0,IF(AND(OR(AND('3-man'!BJ$20="ST&gt;1",BJ70&gt;=100),AND('3-man'!BJ$21="ST&gt;1",BJ78&gt;=100)),'3-man'!BJ$18&lt;=IF('3-man'!$BF$4="",999,'3-man'!$BF$4)),100,BJ62)))))</f>
        <v/>
      </c>
      <c r="BK63">
        <f>IF('3-man'!BK$19="R",MIN(100,BK62+10),IF('3-man'!BK$19="P",MIN(100,BK62+25),IF(AND('3-man'!BK$19="D",BK62&gt;=35,'3-man'!BK$18&lt;=IF('3-man'!$BF$4="",999,'3-man'!$BF$4)),BK62-35,IF(AND(LEFT('3-man'!BK$19,3)="ST&gt;",BK62&gt;=100,'3-man'!BK$18&lt;=IF('3-man'!$BF$4="",999,'3-man'!$BF$4)),0,IF(AND(OR(AND('3-man'!BK$20="ST&gt;1",BK70&gt;=100),AND('3-man'!BK$21="ST&gt;1",BK78&gt;=100)),'3-man'!BK$18&lt;=IF('3-man'!$BF$4="",999,'3-man'!$BF$4)),100,BK62)))))</f>
        <v/>
      </c>
      <c r="BL63">
        <f>IF('3-man'!BL$19="R",MIN(100,BL62+10),IF('3-man'!BL$19="P",MIN(100,BL62+25),IF(AND('3-man'!BL$19="D",BL62&gt;=35,'3-man'!BL$18&lt;=IF('3-man'!$BF$4="",999,'3-man'!$BF$4)),BL62-35,IF(AND(LEFT('3-man'!BL$19,3)="ST&gt;",BL62&gt;=100,'3-man'!BL$18&lt;=IF('3-man'!$BF$4="",999,'3-man'!$BF$4)),0,IF(AND(OR(AND('3-man'!BL$20="ST&gt;1",BL70&gt;=100),AND('3-man'!BL$21="ST&gt;1",BL78&gt;=100)),'3-man'!BL$18&lt;=IF('3-man'!$BF$4="",999,'3-man'!$BF$4)),100,BL62)))))</f>
        <v/>
      </c>
      <c r="BM63">
        <f>IF('3-man'!BM$19="R",MIN(100,BM62+10),IF('3-man'!BM$19="P",MIN(100,BM62+25),IF(AND('3-man'!BM$19="D",BM62&gt;=35,'3-man'!BM$18&lt;=IF('3-man'!$BF$4="",999,'3-man'!$BF$4)),BM62-35,IF(AND(LEFT('3-man'!BM$19,3)="ST&gt;",BM62&gt;=100,'3-man'!BM$18&lt;=IF('3-man'!$BF$4="",999,'3-man'!$BF$4)),0,IF(AND(OR(AND('3-man'!BM$20="ST&gt;1",BM70&gt;=100),AND('3-man'!BM$21="ST&gt;1",BM78&gt;=100)),'3-man'!BM$18&lt;=IF('3-man'!$BF$4="",999,'3-man'!$BF$4)),100,BM62)))))</f>
        <v/>
      </c>
      <c r="BN63">
        <f>IF('3-man'!BN$19="R",MIN(100,BN62+10),IF('3-man'!BN$19="P",MIN(100,BN62+25),IF(AND('3-man'!BN$19="D",BN62&gt;=35,'3-man'!BN$18&lt;=IF('3-man'!$BF$4="",999,'3-man'!$BF$4)),BN62-35,IF(AND(LEFT('3-man'!BN$19,3)="ST&gt;",BN62&gt;=100,'3-man'!BN$18&lt;=IF('3-man'!$BF$4="",999,'3-man'!$BF$4)),0,IF(AND(OR(AND('3-man'!BN$20="ST&gt;1",BN70&gt;=100),AND('3-man'!BN$21="ST&gt;1",BN78&gt;=100)),'3-man'!BN$18&lt;=IF('3-man'!$BF$4="",999,'3-man'!$BF$4)),100,BN62)))))</f>
        <v/>
      </c>
      <c r="BO63">
        <f>IF('3-man'!BO$19="R",MIN(100,BO62+10),IF('3-man'!BO$19="P",MIN(100,BO62+25),IF(AND('3-man'!BO$19="D",BO62&gt;=35,'3-man'!BO$18&lt;=IF('3-man'!$BF$4="",999,'3-man'!$BF$4)),BO62-35,IF(AND(LEFT('3-man'!BO$19,3)="ST&gt;",BO62&gt;=100,'3-man'!BO$18&lt;=IF('3-man'!$BF$4="",999,'3-man'!$BF$4)),0,IF(AND(OR(AND('3-man'!BO$20="ST&gt;1",BO70&gt;=100),AND('3-man'!BO$21="ST&gt;1",BO78&gt;=100)),'3-man'!BO$18&lt;=IF('3-man'!$BF$4="",999,'3-man'!$BF$4)),100,BO62)))))</f>
        <v/>
      </c>
      <c r="BP63">
        <f>IF('3-man'!BP$19="R",MIN(100,BP62+10),IF('3-man'!BP$19="P",MIN(100,BP62+25),IF(AND('3-man'!BP$19="D",BP62&gt;=35,'3-man'!BP$18&lt;=IF('3-man'!$BF$4="",999,'3-man'!$BF$4)),BP62-35,IF(AND(LEFT('3-man'!BP$19,3)="ST&gt;",BP62&gt;=100,'3-man'!BP$18&lt;=IF('3-man'!$BF$4="",999,'3-man'!$BF$4)),0,IF(AND(OR(AND('3-man'!BP$20="ST&gt;1",BP70&gt;=100),AND('3-man'!BP$21="ST&gt;1",BP78&gt;=100)),'3-man'!BP$18&lt;=IF('3-man'!$BF$4="",999,'3-man'!$BF$4)),100,BP62)))))</f>
        <v/>
      </c>
      <c r="BQ63">
        <f>IF('3-man'!BQ$19="R",MIN(100,BQ62+10),IF('3-man'!BQ$19="P",MIN(100,BQ62+25),IF(AND('3-man'!BQ$19="D",BQ62&gt;=35,'3-man'!BQ$18&lt;=IF('3-man'!$BF$4="",999,'3-man'!$BF$4)),BQ62-35,IF(AND(LEFT('3-man'!BQ$19,3)="ST&gt;",BQ62&gt;=100,'3-man'!BQ$18&lt;=IF('3-man'!$BF$4="",999,'3-man'!$BF$4)),0,IF(AND(OR(AND('3-man'!BQ$20="ST&gt;1",BQ70&gt;=100),AND('3-man'!BQ$21="ST&gt;1",BQ78&gt;=100)),'3-man'!BQ$18&lt;=IF('3-man'!$BF$4="",999,'3-man'!$BF$4)),100,BQ62)))))</f>
        <v/>
      </c>
      <c r="BR63">
        <f>IF('3-man'!BR$19="R",MIN(100,BR62+10),IF('3-man'!BR$19="P",MIN(100,BR62+25),IF(AND('3-man'!BR$19="D",BR62&gt;=35,'3-man'!BR$18&lt;=IF('3-man'!$BF$4="",999,'3-man'!$BF$4)),BR62-35,IF(AND(LEFT('3-man'!BR$19,3)="ST&gt;",BR62&gt;=100,'3-man'!BR$18&lt;=IF('3-man'!$BF$4="",999,'3-man'!$BF$4)),0,IF(AND(OR(AND('3-man'!BR$20="ST&gt;1",BR70&gt;=100),AND('3-man'!BR$21="ST&gt;1",BR78&gt;=100)),'3-man'!BR$18&lt;=IF('3-man'!$BF$4="",999,'3-man'!$BF$4)),100,BR62)))))</f>
        <v/>
      </c>
      <c r="BS63">
        <f>IF('3-man'!BS$19="R",MIN(100,BS62+10),IF('3-man'!BS$19="P",MIN(100,BS62+25),IF(AND('3-man'!BS$19="D",BS62&gt;=35,'3-man'!BS$18&lt;=IF('3-man'!$BF$4="",999,'3-man'!$BF$4)),BS62-35,IF(AND(LEFT('3-man'!BS$19,3)="ST&gt;",BS62&gt;=100,'3-man'!BS$18&lt;=IF('3-man'!$BF$4="",999,'3-man'!$BF$4)),0,IF(AND(OR(AND('3-man'!BS$20="ST&gt;1",BS70&gt;=100),AND('3-man'!BS$21="ST&gt;1",BS78&gt;=100)),'3-man'!BS$18&lt;=IF('3-man'!$BF$4="",999,'3-man'!$BF$4)),100,BS62)))))</f>
        <v/>
      </c>
      <c r="BT63">
        <f>IF('3-man'!BT$19="R",MIN(100,BT62+10),IF('3-man'!BT$19="P",MIN(100,BT62+25),IF(AND('3-man'!BT$19="D",BT62&gt;=35,'3-man'!BT$18&lt;=IF('3-man'!$BF$4="",999,'3-man'!$BF$4)),BT62-35,IF(AND(LEFT('3-man'!BT$19,3)="ST&gt;",BT62&gt;=100,'3-man'!BT$18&lt;=IF('3-man'!$BF$4="",999,'3-man'!$BF$4)),0,IF(AND(OR(AND('3-man'!BT$20="ST&gt;1",BT70&gt;=100),AND('3-man'!BT$21="ST&gt;1",BT78&gt;=100)),'3-man'!BT$18&lt;=IF('3-man'!$BF$4="",999,'3-man'!$BF$4)),100,BT62)))))</f>
        <v/>
      </c>
      <c r="BU63">
        <f>IF('3-man'!BU$19="R",MIN(100,BU62+10),IF('3-man'!BU$19="P",MIN(100,BU62+25),IF(AND('3-man'!BU$19="D",BU62&gt;=35,'3-man'!BU$18&lt;=IF('3-man'!$BF$4="",999,'3-man'!$BF$4)),BU62-35,IF(AND(LEFT('3-man'!BU$19,3)="ST&gt;",BU62&gt;=100,'3-man'!BU$18&lt;=IF('3-man'!$BF$4="",999,'3-man'!$BF$4)),0,IF(AND(OR(AND('3-man'!BU$20="ST&gt;1",BU70&gt;=100),AND('3-man'!BU$21="ST&gt;1",BU78&gt;=100)),'3-man'!BU$18&lt;=IF('3-man'!$BF$4="",999,'3-man'!$BF$4)),100,BU62)))))</f>
        <v/>
      </c>
      <c r="BV63">
        <f>IF('3-man'!BV$19="R",MIN(100,BV62+10),IF('3-man'!BV$19="P",MIN(100,BV62+25),IF(AND('3-man'!BV$19="D",BV62&gt;=35,'3-man'!BV$18&lt;=IF('3-man'!$BF$4="",999,'3-man'!$BF$4)),BV62-35,IF(AND(LEFT('3-man'!BV$19,3)="ST&gt;",BV62&gt;=100,'3-man'!BV$18&lt;=IF('3-man'!$BF$4="",999,'3-man'!$BF$4)),0,IF(AND(OR(AND('3-man'!BV$20="ST&gt;1",BV70&gt;=100),AND('3-man'!BV$21="ST&gt;1",BV78&gt;=100)),'3-man'!BV$18&lt;=IF('3-man'!$BF$4="",999,'3-man'!$BF$4)),100,BV62)))))</f>
        <v/>
      </c>
      <c r="BW63">
        <f>IF('3-man'!BW$19="R",MIN(100,BW62+10),IF('3-man'!BW$19="P",MIN(100,BW62+25),IF(AND('3-man'!BW$19="D",BW62&gt;=35,'3-man'!BW$18&lt;=IF('3-man'!$BF$4="",999,'3-man'!$BF$4)),BW62-35,IF(AND(LEFT('3-man'!BW$19,3)="ST&gt;",BW62&gt;=100,'3-man'!BW$18&lt;=IF('3-man'!$BF$4="",999,'3-man'!$BF$4)),0,IF(AND(OR(AND('3-man'!BW$20="ST&gt;1",BW70&gt;=100),AND('3-man'!BW$21="ST&gt;1",BW78&gt;=100)),'3-man'!BW$18&lt;=IF('3-man'!$BF$4="",999,'3-man'!$BF$4)),100,BW62)))))</f>
        <v/>
      </c>
      <c r="BX63">
        <f>IF('3-man'!BX$19="R",MIN(100,BX62+10),IF('3-man'!BX$19="P",MIN(100,BX62+25),IF(AND('3-man'!BX$19="D",BX62&gt;=35,'3-man'!BX$18&lt;=IF('3-man'!$BF$4="",999,'3-man'!$BF$4)),BX62-35,IF(AND(LEFT('3-man'!BX$19,3)="ST&gt;",BX62&gt;=100,'3-man'!BX$18&lt;=IF('3-man'!$BF$4="",999,'3-man'!$BF$4)),0,IF(AND(OR(AND('3-man'!BX$20="ST&gt;1",BX70&gt;=100),AND('3-man'!BX$21="ST&gt;1",BX78&gt;=100)),'3-man'!BX$18&lt;=IF('3-man'!$BF$4="",999,'3-man'!$BF$4)),100,BX62)))))</f>
        <v/>
      </c>
      <c r="BY63">
        <f>IF('3-man'!BY$19="R",MIN(100,BY62+10),IF('3-man'!BY$19="P",MIN(100,BY62+25),IF(AND('3-man'!BY$19="D",BY62&gt;=35,'3-man'!BY$18&lt;=IF('3-man'!$BF$4="",999,'3-man'!$BF$4)),BY62-35,IF(AND(LEFT('3-man'!BY$19,3)="ST&gt;",BY62&gt;=100,'3-man'!BY$18&lt;=IF('3-man'!$BF$4="",999,'3-man'!$BF$4)),0,IF(AND(OR(AND('3-man'!BY$20="ST&gt;1",BY70&gt;=100),AND('3-man'!BY$21="ST&gt;1",BY78&gt;=100)),'3-man'!BY$18&lt;=IF('3-man'!$BF$4="",999,'3-man'!$BF$4)),100,BY62)))))</f>
        <v/>
      </c>
      <c r="BZ63">
        <f>IF('3-man'!BZ$19="R",MIN(100,BZ62+10),IF('3-man'!BZ$19="P",MIN(100,BZ62+25),IF(AND('3-man'!BZ$19="D",BZ62&gt;=35,'3-man'!BZ$18&lt;=IF('3-man'!$BF$4="",999,'3-man'!$BF$4)),BZ62-35,IF(AND(LEFT('3-man'!BZ$19,3)="ST&gt;",BZ62&gt;=100,'3-man'!BZ$18&lt;=IF('3-man'!$BF$4="",999,'3-man'!$BF$4)),0,IF(AND(OR(AND('3-man'!BZ$20="ST&gt;1",BZ70&gt;=100),AND('3-man'!BZ$21="ST&gt;1",BZ78&gt;=100)),'3-man'!BZ$18&lt;=IF('3-man'!$BF$4="",999,'3-man'!$BF$4)),100,BZ62)))))</f>
        <v/>
      </c>
      <c r="CA63">
        <f>IF('3-man'!CA$19="R",MIN(100,CA62+10),IF('3-man'!CA$19="P",MIN(100,CA62+25),IF(AND('3-man'!CA$19="D",CA62&gt;=35,'3-man'!CA$18&lt;=IF('3-man'!$BF$4="",999,'3-man'!$BF$4)),CA62-35,IF(AND(LEFT('3-man'!CA$19,3)="ST&gt;",CA62&gt;=100,'3-man'!CA$18&lt;=IF('3-man'!$BF$4="",999,'3-man'!$BF$4)),0,IF(AND(OR(AND('3-man'!CA$20="ST&gt;1",CA70&gt;=100),AND('3-man'!CA$21="ST&gt;1",CA78&gt;=100)),'3-man'!CA$18&lt;=IF('3-man'!$BF$4="",999,'3-man'!$BF$4)),100,CA62)))))</f>
        <v/>
      </c>
      <c r="CB63">
        <f>IF('3-man'!CB$19="R",MIN(100,CB62+10),IF('3-man'!CB$19="P",MIN(100,CB62+25),IF(AND('3-man'!CB$19="D",CB62&gt;=35,'3-man'!CB$18&lt;=IF('3-man'!$BF$4="",999,'3-man'!$BF$4)),CB62-35,IF(AND(LEFT('3-man'!CB$19,3)="ST&gt;",CB62&gt;=100,'3-man'!CB$18&lt;=IF('3-man'!$BF$4="",999,'3-man'!$BF$4)),0,IF(AND(OR(AND('3-man'!CB$20="ST&gt;1",CB70&gt;=100),AND('3-man'!CB$21="ST&gt;1",CB78&gt;=100)),'3-man'!CB$18&lt;=IF('3-man'!$BF$4="",999,'3-man'!$BF$4)),100,CB62)))))</f>
        <v/>
      </c>
      <c r="CC63">
        <f>IF('3-man'!CC$19="R",MIN(100,CC62+10),IF('3-man'!CC$19="P",MIN(100,CC62+25),IF(AND('3-man'!CC$19="D",CC62&gt;=35,'3-man'!CC$18&lt;=IF('3-man'!$BF$4="",999,'3-man'!$BF$4)),CC62-35,IF(AND(LEFT('3-man'!CC$19,3)="ST&gt;",CC62&gt;=100,'3-man'!CC$18&lt;=IF('3-man'!$BF$4="",999,'3-man'!$BF$4)),0,IF(AND(OR(AND('3-man'!CC$20="ST&gt;1",CC70&gt;=100),AND('3-man'!CC$21="ST&gt;1",CC78&gt;=100)),'3-man'!CC$18&lt;=IF('3-man'!$BF$4="",999,'3-man'!$BF$4)),100,CC62)))))</f>
        <v/>
      </c>
      <c r="CD63">
        <f>IF('3-man'!CD$19="R",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IF('3-man'!C$19="R",0,IF(B63&gt;=100,0,IF(B64+1&gt;=IF(OR('3-man'!$F$4=TRUE,'3-man'!$F$4="TRUE",'3-man'!$F$4="Yes"),25,50),0,B64+1)))</f>
        <v/>
      </c>
      <c r="D64">
        <f>IF('3-man'!D$19="R",0,IF(C63&gt;=100,0,IF(C64+1&gt;=IF(OR('3-man'!$F$4=TRUE,'3-man'!$F$4="TRUE",'3-man'!$F$4="Yes"),25,50),0,C64+1)))</f>
        <v/>
      </c>
      <c r="E64">
        <f>IF('3-man'!E$19="R",0,IF(D63&gt;=100,0,IF(D64+1&gt;=IF(OR('3-man'!$F$4=TRUE,'3-man'!$F$4="TRUE",'3-man'!$F$4="Yes"),25,50),0,D64+1)))</f>
        <v/>
      </c>
      <c r="F64">
        <f>IF('3-man'!F$19="R",0,IF(E63&gt;=100,0,IF(E64+1&gt;=IF(OR('3-man'!$F$4=TRUE,'3-man'!$F$4="TRUE",'3-man'!$F$4="Yes"),25,50),0,E64+1)))</f>
        <v/>
      </c>
      <c r="G64">
        <f>IF('3-man'!G$19="R",0,IF(F63&gt;=100,0,IF(F64+1&gt;=IF(OR('3-man'!$F$4=TRUE,'3-man'!$F$4="TRUE",'3-man'!$F$4="Yes"),25,50),0,F64+1)))</f>
        <v/>
      </c>
      <c r="H64">
        <f>IF('3-man'!H$19="R",0,IF(G63&gt;=100,0,IF(G64+1&gt;=IF(OR('3-man'!$F$4=TRUE,'3-man'!$F$4="TRUE",'3-man'!$F$4="Yes"),25,50),0,G64+1)))</f>
        <v/>
      </c>
      <c r="I64">
        <f>IF('3-man'!I$19="R",0,IF(H63&gt;=100,0,IF(H64+1&gt;=IF(OR('3-man'!$F$4=TRUE,'3-man'!$F$4="TRUE",'3-man'!$F$4="Yes"),25,50),0,H64+1)))</f>
        <v/>
      </c>
      <c r="J64">
        <f>IF('3-man'!J$19="R",0,IF(I63&gt;=100,0,IF(I64+1&gt;=IF(OR('3-man'!$F$4=TRUE,'3-man'!$F$4="TRUE",'3-man'!$F$4="Yes"),25,50),0,I64+1)))</f>
        <v/>
      </c>
      <c r="K64">
        <f>IF('3-man'!K$19="R",0,IF(J63&gt;=100,0,IF(J64+1&gt;=IF(OR('3-man'!$F$4=TRUE,'3-man'!$F$4="TRUE",'3-man'!$F$4="Yes"),25,50),0,J64+1)))</f>
        <v/>
      </c>
      <c r="L64">
        <f>IF('3-man'!L$19="R",0,IF(K63&gt;=100,0,IF(K64+1&gt;=IF(OR('3-man'!$F$4=TRUE,'3-man'!$F$4="TRUE",'3-man'!$F$4="Yes"),25,50),0,K64+1)))</f>
        <v/>
      </c>
      <c r="M64">
        <f>IF('3-man'!M$19="R",0,IF(L63&gt;=100,0,IF(L64+1&gt;=IF(OR('3-man'!$F$4=TRUE,'3-man'!$F$4="TRUE",'3-man'!$F$4="Yes"),25,50),0,L64+1)))</f>
        <v/>
      </c>
      <c r="N64">
        <f>IF('3-man'!N$19="R",0,IF(M63&gt;=100,0,IF(M64+1&gt;=IF(OR('3-man'!$F$4=TRUE,'3-man'!$F$4="TRUE",'3-man'!$F$4="Yes"),25,50),0,M64+1)))</f>
        <v/>
      </c>
      <c r="O64">
        <f>IF('3-man'!O$19="R",0,IF(N63&gt;=100,0,IF(N64+1&gt;=IF(OR('3-man'!$F$4=TRUE,'3-man'!$F$4="TRUE",'3-man'!$F$4="Yes"),25,50),0,N64+1)))</f>
        <v/>
      </c>
      <c r="P64">
        <f>IF('3-man'!P$19="R",0,IF(O63&gt;=100,0,IF(O64+1&gt;=IF(OR('3-man'!$F$4=TRUE,'3-man'!$F$4="TRUE",'3-man'!$F$4="Yes"),25,50),0,O64+1)))</f>
        <v/>
      </c>
      <c r="Q64">
        <f>IF('3-man'!Q$19="R",0,IF(P63&gt;=100,0,IF(P64+1&gt;=IF(OR('3-man'!$F$4=TRUE,'3-man'!$F$4="TRUE",'3-man'!$F$4="Yes"),25,50),0,P64+1)))</f>
        <v/>
      </c>
      <c r="R64">
        <f>IF('3-man'!R$19="R",0,IF(Q63&gt;=100,0,IF(Q64+1&gt;=IF(OR('3-man'!$F$4=TRUE,'3-man'!$F$4="TRUE",'3-man'!$F$4="Yes"),25,50),0,Q64+1)))</f>
        <v/>
      </c>
      <c r="S64">
        <f>IF('3-man'!S$19="R",0,IF(R63&gt;=100,0,IF(R64+1&gt;=IF(OR('3-man'!$F$4=TRUE,'3-man'!$F$4="TRUE",'3-man'!$F$4="Yes"),25,50),0,R64+1)))</f>
        <v/>
      </c>
      <c r="T64">
        <f>IF('3-man'!T$19="R",0,IF(S63&gt;=100,0,IF(S64+1&gt;=IF(OR('3-man'!$F$4=TRUE,'3-man'!$F$4="TRUE",'3-man'!$F$4="Yes"),25,50),0,S64+1)))</f>
        <v/>
      </c>
      <c r="U64">
        <f>IF('3-man'!U$19="R",0,IF(T63&gt;=100,0,IF(T64+1&gt;=IF(OR('3-man'!$F$4=TRUE,'3-man'!$F$4="TRUE",'3-man'!$F$4="Yes"),25,50),0,T64+1)))</f>
        <v/>
      </c>
      <c r="V64">
        <f>IF('3-man'!V$19="R",0,IF(U63&gt;=100,0,IF(U64+1&gt;=IF(OR('3-man'!$F$4=TRUE,'3-man'!$F$4="TRUE",'3-man'!$F$4="Yes"),25,50),0,U64+1)))</f>
        <v/>
      </c>
      <c r="W64">
        <f>IF('3-man'!W$19="R",0,IF(V63&gt;=100,0,IF(V64+1&gt;=IF(OR('3-man'!$F$4=TRUE,'3-man'!$F$4="TRUE",'3-man'!$F$4="Yes"),25,50),0,V64+1)))</f>
        <v/>
      </c>
      <c r="X64">
        <f>IF('3-man'!X$19="R",0,IF(W63&gt;=100,0,IF(W64+1&gt;=IF(OR('3-man'!$F$4=TRUE,'3-man'!$F$4="TRUE",'3-man'!$F$4="Yes"),25,50),0,W64+1)))</f>
        <v/>
      </c>
      <c r="Y64">
        <f>IF('3-man'!Y$19="R",0,IF(X63&gt;=100,0,IF(X64+1&gt;=IF(OR('3-man'!$F$4=TRUE,'3-man'!$F$4="TRUE",'3-man'!$F$4="Yes"),25,50),0,X64+1)))</f>
        <v/>
      </c>
      <c r="Z64">
        <f>IF('3-man'!Z$19="R",0,IF(Y63&gt;=100,0,IF(Y64+1&gt;=IF(OR('3-man'!$F$4=TRUE,'3-man'!$F$4="TRUE",'3-man'!$F$4="Yes"),25,50),0,Y64+1)))</f>
        <v/>
      </c>
      <c r="AA64">
        <f>IF('3-man'!AA$19="R",0,IF(Z63&gt;=100,0,IF(Z64+1&gt;=IF(OR('3-man'!$F$4=TRUE,'3-man'!$F$4="TRUE",'3-man'!$F$4="Yes"),25,50),0,Z64+1)))</f>
        <v/>
      </c>
      <c r="AB64">
        <f>IF('3-man'!AB$19="R",0,IF(AA63&gt;=100,0,IF(AA64+1&gt;=IF(OR('3-man'!$F$4=TRUE,'3-man'!$F$4="TRUE",'3-man'!$F$4="Yes"),25,50),0,AA64+1)))</f>
        <v/>
      </c>
      <c r="AC64">
        <f>IF('3-man'!AC$19="R",0,IF(AB63&gt;=100,0,IF(AB64+1&gt;=IF(OR('3-man'!$F$4=TRUE,'3-man'!$F$4="TRUE",'3-man'!$F$4="Yes"),25,50),0,AB64+1)))</f>
        <v/>
      </c>
      <c r="AD64">
        <f>IF('3-man'!AD$19="R",0,IF(AC63&gt;=100,0,IF(AC64+1&gt;=IF(OR('3-man'!$F$4=TRUE,'3-man'!$F$4="TRUE",'3-man'!$F$4="Yes"),25,50),0,AC64+1)))</f>
        <v/>
      </c>
      <c r="AE64">
        <f>IF('3-man'!AE$19="R",0,IF(AD63&gt;=100,0,IF(AD64+1&gt;=IF(OR('3-man'!$F$4=TRUE,'3-man'!$F$4="TRUE",'3-man'!$F$4="Yes"),25,50),0,AD64+1)))</f>
        <v/>
      </c>
      <c r="AF64">
        <f>IF('3-man'!AF$19="R",0,IF(AE63&gt;=100,0,IF(AE64+1&gt;=IF(OR('3-man'!$F$4=TRUE,'3-man'!$F$4="TRUE",'3-man'!$F$4="Yes"),25,50),0,AE64+1)))</f>
        <v/>
      </c>
      <c r="AG64">
        <f>IF('3-man'!AG$19="R",0,IF(AF63&gt;=100,0,IF(AF64+1&gt;=IF(OR('3-man'!$F$4=TRUE,'3-man'!$F$4="TRUE",'3-man'!$F$4="Yes"),25,50),0,AF64+1)))</f>
        <v/>
      </c>
      <c r="AH64">
        <f>IF('3-man'!AH$19="R",0,IF(AG63&gt;=100,0,IF(AG64+1&gt;=IF(OR('3-man'!$F$4=TRUE,'3-man'!$F$4="TRUE",'3-man'!$F$4="Yes"),25,50),0,AG64+1)))</f>
        <v/>
      </c>
      <c r="AI64">
        <f>IF('3-man'!AI$19="R",0,IF(AH63&gt;=100,0,IF(AH64+1&gt;=IF(OR('3-man'!$F$4=TRUE,'3-man'!$F$4="TRUE",'3-man'!$F$4="Yes"),25,50),0,AH64+1)))</f>
        <v/>
      </c>
      <c r="AJ64">
        <f>IF('3-man'!AJ$19="R",0,IF(AI63&gt;=100,0,IF(AI64+1&gt;=IF(OR('3-man'!$F$4=TRUE,'3-man'!$F$4="TRUE",'3-man'!$F$4="Yes"),25,50),0,AI64+1)))</f>
        <v/>
      </c>
      <c r="AK64">
        <f>IF('3-man'!AK$19="R",0,IF(AJ63&gt;=100,0,IF(AJ64+1&gt;=IF(OR('3-man'!$F$4=TRUE,'3-man'!$F$4="TRUE",'3-man'!$F$4="Yes"),25,50),0,AJ64+1)))</f>
        <v/>
      </c>
      <c r="AL64">
        <f>IF('3-man'!AL$19="R",0,IF(AK63&gt;=100,0,IF(AK64+1&gt;=IF(OR('3-man'!$F$4=TRUE,'3-man'!$F$4="TRUE",'3-man'!$F$4="Yes"),25,50),0,AK64+1)))</f>
        <v/>
      </c>
      <c r="AM64">
        <f>IF('3-man'!AM$19="R",0,IF(AL63&gt;=100,0,IF(AL64+1&gt;=IF(OR('3-man'!$F$4=TRUE,'3-man'!$F$4="TRUE",'3-man'!$F$4="Yes"),25,50),0,AL64+1)))</f>
        <v/>
      </c>
      <c r="AN64">
        <f>IF('3-man'!AN$19="R",0,IF(AM63&gt;=100,0,IF(AM64+1&gt;=IF(OR('3-man'!$F$4=TRUE,'3-man'!$F$4="TRUE",'3-man'!$F$4="Yes"),25,50),0,AM64+1)))</f>
        <v/>
      </c>
      <c r="AO64">
        <f>IF('3-man'!AO$19="R",0,IF(AN63&gt;=100,0,IF(AN64+1&gt;=IF(OR('3-man'!$F$4=TRUE,'3-man'!$F$4="TRUE",'3-man'!$F$4="Yes"),25,50),0,AN64+1)))</f>
        <v/>
      </c>
      <c r="AP64">
        <f>IF('3-man'!AP$19="R",0,IF(AO63&gt;=100,0,IF(AO64+1&gt;=IF(OR('3-man'!$F$4=TRUE,'3-man'!$F$4="TRUE",'3-man'!$F$4="Yes"),25,50),0,AO64+1)))</f>
        <v/>
      </c>
      <c r="AQ64">
        <f>IF('3-man'!AQ$19="R",0,IF(AP63&gt;=100,0,IF(AP64+1&gt;=IF(OR('3-man'!$F$4=TRUE,'3-man'!$F$4="TRUE",'3-man'!$F$4="Yes"),25,50),0,AP64+1)))</f>
        <v/>
      </c>
      <c r="AR64">
        <f>IF('3-man'!AR$19="R",0,IF(AQ63&gt;=100,0,IF(AQ64+1&gt;=IF(OR('3-man'!$F$4=TRUE,'3-man'!$F$4="TRUE",'3-man'!$F$4="Yes"),25,50),0,AQ64+1)))</f>
        <v/>
      </c>
      <c r="AS64">
        <f>IF('3-man'!AS$19="R",0,IF(AR63&gt;=100,0,IF(AR64+1&gt;=IF(OR('3-man'!$F$4=TRUE,'3-man'!$F$4="TRUE",'3-man'!$F$4="Yes"),25,50),0,AR64+1)))</f>
        <v/>
      </c>
      <c r="AT64">
        <f>IF('3-man'!AT$19="R",0,IF(AS63&gt;=100,0,IF(AS64+1&gt;=IF(OR('3-man'!$F$4=TRUE,'3-man'!$F$4="TRUE",'3-man'!$F$4="Yes"),25,50),0,AS64+1)))</f>
        <v/>
      </c>
      <c r="AU64">
        <f>IF('3-man'!AU$19="R",0,IF(AT63&gt;=100,0,IF(AT64+1&gt;=IF(OR('3-man'!$F$4=TRUE,'3-man'!$F$4="TRUE",'3-man'!$F$4="Yes"),25,50),0,AT64+1)))</f>
        <v/>
      </c>
      <c r="AV64">
        <f>IF('3-man'!AV$19="R",0,IF(AU63&gt;=100,0,IF(AU64+1&gt;=IF(OR('3-man'!$F$4=TRUE,'3-man'!$F$4="TRUE",'3-man'!$F$4="Yes"),25,50),0,AU64+1)))</f>
        <v/>
      </c>
      <c r="AW64">
        <f>IF('3-man'!AW$19="R",0,IF(AV63&gt;=100,0,IF(AV64+1&gt;=IF(OR('3-man'!$F$4=TRUE,'3-man'!$F$4="TRUE",'3-man'!$F$4="Yes"),25,50),0,AV64+1)))</f>
        <v/>
      </c>
      <c r="AX64">
        <f>IF('3-man'!AX$19="R",0,IF(AW63&gt;=100,0,IF(AW64+1&gt;=IF(OR('3-man'!$F$4=TRUE,'3-man'!$F$4="TRUE",'3-man'!$F$4="Yes"),25,50),0,AW64+1)))</f>
        <v/>
      </c>
      <c r="AY64">
        <f>IF('3-man'!AY$19="R",0,IF(AX63&gt;=100,0,IF(AX64+1&gt;=IF(OR('3-man'!$F$4=TRUE,'3-man'!$F$4="TRUE",'3-man'!$F$4="Yes"),25,50),0,AX64+1)))</f>
        <v/>
      </c>
      <c r="AZ64">
        <f>IF('3-man'!AZ$19="R",0,IF(AY63&gt;=100,0,IF(AY64+1&gt;=IF(OR('3-man'!$F$4=TRUE,'3-man'!$F$4="TRUE",'3-man'!$F$4="Yes"),25,50),0,AY64+1)))</f>
        <v/>
      </c>
      <c r="BA64">
        <f>IF('3-man'!BA$19="R",0,IF(AZ63&gt;=100,0,IF(AZ64+1&gt;=IF(OR('3-man'!$F$4=TRUE,'3-man'!$F$4="TRUE",'3-man'!$F$4="Yes"),25,50),0,AZ64+1)))</f>
        <v/>
      </c>
      <c r="BB64">
        <f>IF('3-man'!BB$19="R",0,IF(BA63&gt;=100,0,IF(BA64+1&gt;=IF(OR('3-man'!$F$4=TRUE,'3-man'!$F$4="TRUE",'3-man'!$F$4="Yes"),25,50),0,BA64+1)))</f>
        <v/>
      </c>
      <c r="BC64">
        <f>IF('3-man'!BC$19="R",0,IF(BB63&gt;=100,0,IF(BB64+1&gt;=IF(OR('3-man'!$F$4=TRUE,'3-man'!$F$4="TRUE",'3-man'!$F$4="Yes"),25,50),0,BB64+1)))</f>
        <v/>
      </c>
      <c r="BD64">
        <f>IF('3-man'!BD$19="R",0,IF(BC63&gt;=100,0,IF(BC64+1&gt;=IF(OR('3-man'!$F$4=TRUE,'3-man'!$F$4="TRUE",'3-man'!$F$4="Yes"),25,50),0,BC64+1)))</f>
        <v/>
      </c>
      <c r="BE64">
        <f>IF('3-man'!BE$19="R",0,IF(BD63&gt;=100,0,IF(BD64+1&gt;=IF(OR('3-man'!$F$4=TRUE,'3-man'!$F$4="TRUE",'3-man'!$F$4="Yes"),25,50),0,BD64+1)))</f>
        <v/>
      </c>
      <c r="BF64">
        <f>IF('3-man'!BF$19="R",0,IF(BE63&gt;=100,0,IF(BE64+1&gt;=IF(OR('3-man'!$F$4=TRUE,'3-man'!$F$4="TRUE",'3-man'!$F$4="Yes"),25,50),0,BE64+1)))</f>
        <v/>
      </c>
      <c r="BG64">
        <f>IF('3-man'!BG$19="R",0,IF(BF63&gt;=100,0,IF(BF64+1&gt;=IF(OR('3-man'!$F$4=TRUE,'3-man'!$F$4="TRUE",'3-man'!$F$4="Yes"),25,50),0,BF64+1)))</f>
        <v/>
      </c>
      <c r="BH64">
        <f>IF('3-man'!BH$19="R",0,IF(BG63&gt;=100,0,IF(BG64+1&gt;=IF(OR('3-man'!$F$4=TRUE,'3-man'!$F$4="TRUE",'3-man'!$F$4="Yes"),25,50),0,BG64+1)))</f>
        <v/>
      </c>
      <c r="BI64">
        <f>IF('3-man'!BI$19="R",0,IF(BH63&gt;=100,0,IF(BH64+1&gt;=IF(OR('3-man'!$F$4=TRUE,'3-man'!$F$4="TRUE",'3-man'!$F$4="Yes"),25,50),0,BH64+1)))</f>
        <v/>
      </c>
      <c r="BJ64">
        <f>IF('3-man'!BJ$19="R",0,IF(BI63&gt;=100,0,IF(BI64+1&gt;=IF(OR('3-man'!$F$4=TRUE,'3-man'!$F$4="TRUE",'3-man'!$F$4="Yes"),25,50),0,BI64+1)))</f>
        <v/>
      </c>
      <c r="BK64">
        <f>IF('3-man'!BK$19="R",0,IF(BJ63&gt;=100,0,IF(BJ64+1&gt;=IF(OR('3-man'!$F$4=TRUE,'3-man'!$F$4="TRUE",'3-man'!$F$4="Yes"),25,50),0,BJ64+1)))</f>
        <v/>
      </c>
      <c r="BL64">
        <f>IF('3-man'!BL$19="R",0,IF(BK63&gt;=100,0,IF(BK64+1&gt;=IF(OR('3-man'!$F$4=TRUE,'3-man'!$F$4="TRUE",'3-man'!$F$4="Yes"),25,50),0,BK64+1)))</f>
        <v/>
      </c>
      <c r="BM64">
        <f>IF('3-man'!BM$19="R",0,IF(BL63&gt;=100,0,IF(BL64+1&gt;=IF(OR('3-man'!$F$4=TRUE,'3-man'!$F$4="TRUE",'3-man'!$F$4="Yes"),25,50),0,BL64+1)))</f>
        <v/>
      </c>
      <c r="BN64">
        <f>IF('3-man'!BN$19="R",0,IF(BM63&gt;=100,0,IF(BM64+1&gt;=IF(OR('3-man'!$F$4=TRUE,'3-man'!$F$4="TRUE",'3-man'!$F$4="Yes"),25,50),0,BM64+1)))</f>
        <v/>
      </c>
      <c r="BO64">
        <f>IF('3-man'!BO$19="R",0,IF(BN63&gt;=100,0,IF(BN64+1&gt;=IF(OR('3-man'!$F$4=TRUE,'3-man'!$F$4="TRUE",'3-man'!$F$4="Yes"),25,50),0,BN64+1)))</f>
        <v/>
      </c>
      <c r="BP64">
        <f>IF('3-man'!BP$19="R",0,IF(BO63&gt;=100,0,IF(BO64+1&gt;=IF(OR('3-man'!$F$4=TRUE,'3-man'!$F$4="TRUE",'3-man'!$F$4="Yes"),25,50),0,BO64+1)))</f>
        <v/>
      </c>
      <c r="BQ64">
        <f>IF('3-man'!BQ$19="R",0,IF(BP63&gt;=100,0,IF(BP64+1&gt;=IF(OR('3-man'!$F$4=TRUE,'3-man'!$F$4="TRUE",'3-man'!$F$4="Yes"),25,50),0,BP64+1)))</f>
        <v/>
      </c>
      <c r="BR64">
        <f>IF('3-man'!BR$19="R",0,IF(BQ63&gt;=100,0,IF(BQ64+1&gt;=IF(OR('3-man'!$F$4=TRUE,'3-man'!$F$4="TRUE",'3-man'!$F$4="Yes"),25,50),0,BQ64+1)))</f>
        <v/>
      </c>
      <c r="BS64">
        <f>IF('3-man'!BS$19="R",0,IF(BR63&gt;=100,0,IF(BR64+1&gt;=IF(OR('3-man'!$F$4=TRUE,'3-man'!$F$4="TRUE",'3-man'!$F$4="Yes"),25,50),0,BR64+1)))</f>
        <v/>
      </c>
      <c r="BT64">
        <f>IF('3-man'!BT$19="R",0,IF(BS63&gt;=100,0,IF(BS64+1&gt;=IF(OR('3-man'!$F$4=TRUE,'3-man'!$F$4="TRUE",'3-man'!$F$4="Yes"),25,50),0,BS64+1)))</f>
        <v/>
      </c>
      <c r="BU64">
        <f>IF('3-man'!BU$19="R",0,IF(BT63&gt;=100,0,IF(BT64+1&gt;=IF(OR('3-man'!$F$4=TRUE,'3-man'!$F$4="TRUE",'3-man'!$F$4="Yes"),25,50),0,BT64+1)))</f>
        <v/>
      </c>
      <c r="BV64">
        <f>IF('3-man'!BV$19="R",0,IF(BU63&gt;=100,0,IF(BU64+1&gt;=IF(OR('3-man'!$F$4=TRUE,'3-man'!$F$4="TRUE",'3-man'!$F$4="Yes"),25,50),0,BU64+1)))</f>
        <v/>
      </c>
      <c r="BW64">
        <f>IF('3-man'!BW$19="R",0,IF(BV63&gt;=100,0,IF(BV64+1&gt;=IF(OR('3-man'!$F$4=TRUE,'3-man'!$F$4="TRUE",'3-man'!$F$4="Yes"),25,50),0,BV64+1)))</f>
        <v/>
      </c>
      <c r="BX64">
        <f>IF('3-man'!BX$19="R",0,IF(BW63&gt;=100,0,IF(BW64+1&gt;=IF(OR('3-man'!$F$4=TRUE,'3-man'!$F$4="TRUE",'3-man'!$F$4="Yes"),25,50),0,BW64+1)))</f>
        <v/>
      </c>
      <c r="BY64">
        <f>IF('3-man'!BY$19="R",0,IF(BX63&gt;=100,0,IF(BX64+1&gt;=IF(OR('3-man'!$F$4=TRUE,'3-man'!$F$4="TRUE",'3-man'!$F$4="Yes"),25,50),0,BX64+1)))</f>
        <v/>
      </c>
      <c r="BZ64">
        <f>IF('3-man'!BZ$19="R",0,IF(BY63&gt;=100,0,IF(BY64+1&gt;=IF(OR('3-man'!$F$4=TRUE,'3-man'!$F$4="TRUE",'3-man'!$F$4="Yes"),25,50),0,BY64+1)))</f>
        <v/>
      </c>
      <c r="CA64">
        <f>IF('3-man'!CA$19="R",0,IF(BZ63&gt;=100,0,IF(BZ64+1&gt;=IF(OR('3-man'!$F$4=TRUE,'3-man'!$F$4="TRUE",'3-man'!$F$4="Yes"),25,50),0,BZ64+1)))</f>
        <v/>
      </c>
      <c r="CB64">
        <f>IF('3-man'!CB$19="R",0,IF(CA63&gt;=100,0,IF(CA64+1&gt;=IF(OR('3-man'!$F$4=TRUE,'3-man'!$F$4="TRUE",'3-man'!$F$4="Yes"),25,50),0,CA64+1)))</f>
        <v/>
      </c>
      <c r="CC64">
        <f>IF('3-man'!CC$19="R",0,IF(CB63&gt;=100,0,IF(CB64+1&gt;=IF(OR('3-man'!$F$4=TRUE,'3-man'!$F$4="TRUE",'3-man'!$F$4="Yes"),25,50),0,CB64+1)))</f>
        <v/>
      </c>
      <c r="CD64">
        <f>IF('3-man'!CD$19="R",0,IF(CC63&gt;=100,0,IF(CC64+1&gt;=IF(OR('3-man'!$F$4=TRUE,'3-man'!$F$4="TRUE",'3-man'!$F$4="Yes"),25,50),0,CC64+1)))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row>
    <row r="69">
      <c r="A69" t="inlineStr">
        <is>
          <t>P1 act</t>
        </is>
      </c>
      <c r="C69">
        <f>IF(OR('3-man'!C$19="P",'3-man'!C$19="R",AND('3-man'!C$18&lt;=IF('3-man'!$BF$4="",999,'3-man'!$BF$4),OR('3-man'!C$19="D",LEFT('3-man'!C$19,3)="ST&gt;",OR(AND('3-man'!C$20="ST&gt;1",C70&gt;=100),AND('3-man'!C$21="ST&gt;1",C78&gt;=100))))),'3-man'!C$18,0)</f>
        <v/>
      </c>
      <c r="D69">
        <f>IF(OR('3-man'!D$19="P",'3-man'!D$19="R",AND('3-man'!D$18&lt;=IF('3-man'!$BF$4="",999,'3-man'!$BF$4),OR('3-man'!D$19="D",LEFT('3-man'!D$19,3)="ST&gt;",OR(AND('3-man'!D$20="ST&gt;1",D70&gt;=100),AND('3-man'!D$21="ST&gt;1",D78&gt;=100))))),'3-man'!D$18,0)</f>
        <v/>
      </c>
      <c r="E69">
        <f>IF(OR('3-man'!E$19="P",'3-man'!E$19="R",AND('3-man'!E$18&lt;=IF('3-man'!$BF$4="",999,'3-man'!$BF$4),OR('3-man'!E$19="D",LEFT('3-man'!E$19,3)="ST&gt;",OR(AND('3-man'!E$20="ST&gt;1",E70&gt;=100),AND('3-man'!E$21="ST&gt;1",E78&gt;=100))))),'3-man'!E$18,0)</f>
        <v/>
      </c>
      <c r="F69">
        <f>IF(OR('3-man'!F$19="P",'3-man'!F$19="R",AND('3-man'!F$18&lt;=IF('3-man'!$BF$4="",999,'3-man'!$BF$4),OR('3-man'!F$19="D",LEFT('3-man'!F$19,3)="ST&gt;",OR(AND('3-man'!F$20="ST&gt;1",F70&gt;=100),AND('3-man'!F$21="ST&gt;1",F78&gt;=100))))),'3-man'!F$18,0)</f>
        <v/>
      </c>
      <c r="G69">
        <f>IF(OR('3-man'!G$19="P",'3-man'!G$19="R",AND('3-man'!G$18&lt;=IF('3-man'!$BF$4="",999,'3-man'!$BF$4),OR('3-man'!G$19="D",LEFT('3-man'!G$19,3)="ST&gt;",OR(AND('3-man'!G$20="ST&gt;1",G70&gt;=100),AND('3-man'!G$21="ST&gt;1",G78&gt;=100))))),'3-man'!G$18,0)</f>
        <v/>
      </c>
      <c r="H69">
        <f>IF(OR('3-man'!H$19="P",'3-man'!H$19="R",AND('3-man'!H$18&lt;=IF('3-man'!$BF$4="",999,'3-man'!$BF$4),OR('3-man'!H$19="D",LEFT('3-man'!H$19,3)="ST&gt;",OR(AND('3-man'!H$20="ST&gt;1",H70&gt;=100),AND('3-man'!H$21="ST&gt;1",H78&gt;=100))))),'3-man'!H$18,0)</f>
        <v/>
      </c>
      <c r="I69">
        <f>IF(OR('3-man'!I$19="P",'3-man'!I$19="R",AND('3-man'!I$18&lt;=IF('3-man'!$BF$4="",999,'3-man'!$BF$4),OR('3-man'!I$19="D",LEFT('3-man'!I$19,3)="ST&gt;",OR(AND('3-man'!I$20="ST&gt;1",I70&gt;=100),AND('3-man'!I$21="ST&gt;1",I78&gt;=100))))),'3-man'!I$18,0)</f>
        <v/>
      </c>
      <c r="J69">
        <f>IF(OR('3-man'!J$19="P",'3-man'!J$19="R",AND('3-man'!J$18&lt;=IF('3-man'!$BF$4="",999,'3-man'!$BF$4),OR('3-man'!J$19="D",LEFT('3-man'!J$19,3)="ST&gt;",OR(AND('3-man'!J$20="ST&gt;1",J70&gt;=100),AND('3-man'!J$21="ST&gt;1",J78&gt;=100))))),'3-man'!J$18,0)</f>
        <v/>
      </c>
      <c r="K69">
        <f>IF(OR('3-man'!K$19="P",'3-man'!K$19="R",AND('3-man'!K$18&lt;=IF('3-man'!$BF$4="",999,'3-man'!$BF$4),OR('3-man'!K$19="D",LEFT('3-man'!K$19,3)="ST&gt;",OR(AND('3-man'!K$20="ST&gt;1",K70&gt;=100),AND('3-man'!K$21="ST&gt;1",K78&gt;=100))))),'3-man'!K$18,0)</f>
        <v/>
      </c>
      <c r="L69">
        <f>IF(OR('3-man'!L$19="P",'3-man'!L$19="R",AND('3-man'!L$18&lt;=IF('3-man'!$BF$4="",999,'3-man'!$BF$4),OR('3-man'!L$19="D",LEFT('3-man'!L$19,3)="ST&gt;",OR(AND('3-man'!L$20="ST&gt;1",L70&gt;=100),AND('3-man'!L$21="ST&gt;1",L78&gt;=100))))),'3-man'!L$18,0)</f>
        <v/>
      </c>
      <c r="M69">
        <f>IF(OR('3-man'!M$19="P",'3-man'!M$19="R",AND('3-man'!M$18&lt;=IF('3-man'!$BF$4="",999,'3-man'!$BF$4),OR('3-man'!M$19="D",LEFT('3-man'!M$19,3)="ST&gt;",OR(AND('3-man'!M$20="ST&gt;1",M70&gt;=100),AND('3-man'!M$21="ST&gt;1",M78&gt;=100))))),'3-man'!M$18,0)</f>
        <v/>
      </c>
      <c r="N69">
        <f>IF(OR('3-man'!N$19="P",'3-man'!N$19="R",AND('3-man'!N$18&lt;=IF('3-man'!$BF$4="",999,'3-man'!$BF$4),OR('3-man'!N$19="D",LEFT('3-man'!N$19,3)="ST&gt;",OR(AND('3-man'!N$20="ST&gt;1",N70&gt;=100),AND('3-man'!N$21="ST&gt;1",N78&gt;=100))))),'3-man'!N$18,0)</f>
        <v/>
      </c>
      <c r="O69">
        <f>IF(OR('3-man'!O$19="P",'3-man'!O$19="R",AND('3-man'!O$18&lt;=IF('3-man'!$BF$4="",999,'3-man'!$BF$4),OR('3-man'!O$19="D",LEFT('3-man'!O$19,3)="ST&gt;",OR(AND('3-man'!O$20="ST&gt;1",O70&gt;=100),AND('3-man'!O$21="ST&gt;1",O78&gt;=100))))),'3-man'!O$18,0)</f>
        <v/>
      </c>
      <c r="P69">
        <f>IF(OR('3-man'!P$19="P",'3-man'!P$19="R",AND('3-man'!P$18&lt;=IF('3-man'!$BF$4="",999,'3-man'!$BF$4),OR('3-man'!P$19="D",LEFT('3-man'!P$19,3)="ST&gt;",OR(AND('3-man'!P$20="ST&gt;1",P70&gt;=100),AND('3-man'!P$21="ST&gt;1",P78&gt;=100))))),'3-man'!P$18,0)</f>
        <v/>
      </c>
      <c r="Q69">
        <f>IF(OR('3-man'!Q$19="P",'3-man'!Q$19="R",AND('3-man'!Q$18&lt;=IF('3-man'!$BF$4="",999,'3-man'!$BF$4),OR('3-man'!Q$19="D",LEFT('3-man'!Q$19,3)="ST&gt;",OR(AND('3-man'!Q$20="ST&gt;1",Q70&gt;=100),AND('3-man'!Q$21="ST&gt;1",Q78&gt;=100))))),'3-man'!Q$18,0)</f>
        <v/>
      </c>
      <c r="R69">
        <f>IF(OR('3-man'!R$19="P",'3-man'!R$19="R",AND('3-man'!R$18&lt;=IF('3-man'!$BF$4="",999,'3-man'!$BF$4),OR('3-man'!R$19="D",LEFT('3-man'!R$19,3)="ST&gt;",OR(AND('3-man'!R$20="ST&gt;1",R70&gt;=100),AND('3-man'!R$21="ST&gt;1",R78&gt;=100))))),'3-man'!R$18,0)</f>
        <v/>
      </c>
      <c r="S69">
        <f>IF(OR('3-man'!S$19="P",'3-man'!S$19="R",AND('3-man'!S$18&lt;=IF('3-man'!$BF$4="",999,'3-man'!$BF$4),OR('3-man'!S$19="D",LEFT('3-man'!S$19,3)="ST&gt;",OR(AND('3-man'!S$20="ST&gt;1",S70&gt;=100),AND('3-man'!S$21="ST&gt;1",S78&gt;=100))))),'3-man'!S$18,0)</f>
        <v/>
      </c>
      <c r="T69">
        <f>IF(OR('3-man'!T$19="P",'3-man'!T$19="R",AND('3-man'!T$18&lt;=IF('3-man'!$BF$4="",999,'3-man'!$BF$4),OR('3-man'!T$19="D",LEFT('3-man'!T$19,3)="ST&gt;",OR(AND('3-man'!T$20="ST&gt;1",T70&gt;=100),AND('3-man'!T$21="ST&gt;1",T78&gt;=100))))),'3-man'!T$18,0)</f>
        <v/>
      </c>
      <c r="U69">
        <f>IF(OR('3-man'!U$19="P",'3-man'!U$19="R",AND('3-man'!U$18&lt;=IF('3-man'!$BF$4="",999,'3-man'!$BF$4),OR('3-man'!U$19="D",LEFT('3-man'!U$19,3)="ST&gt;",OR(AND('3-man'!U$20="ST&gt;1",U70&gt;=100),AND('3-man'!U$21="ST&gt;1",U78&gt;=100))))),'3-man'!U$18,0)</f>
        <v/>
      </c>
      <c r="V69">
        <f>IF(OR('3-man'!V$19="P",'3-man'!V$19="R",AND('3-man'!V$18&lt;=IF('3-man'!$BF$4="",999,'3-man'!$BF$4),OR('3-man'!V$19="D",LEFT('3-man'!V$19,3)="ST&gt;",OR(AND('3-man'!V$20="ST&gt;1",V70&gt;=100),AND('3-man'!V$21="ST&gt;1",V78&gt;=100))))),'3-man'!V$18,0)</f>
        <v/>
      </c>
      <c r="W69">
        <f>IF(OR('3-man'!W$19="P",'3-man'!W$19="R",AND('3-man'!W$18&lt;=IF('3-man'!$BF$4="",999,'3-man'!$BF$4),OR('3-man'!W$19="D",LEFT('3-man'!W$19,3)="ST&gt;",OR(AND('3-man'!W$20="ST&gt;1",W70&gt;=100),AND('3-man'!W$21="ST&gt;1",W78&gt;=100))))),'3-man'!W$18,0)</f>
        <v/>
      </c>
      <c r="X69">
        <f>IF(OR('3-man'!X$19="P",'3-man'!X$19="R",AND('3-man'!X$18&lt;=IF('3-man'!$BF$4="",999,'3-man'!$BF$4),OR('3-man'!X$19="D",LEFT('3-man'!X$19,3)="ST&gt;",OR(AND('3-man'!X$20="ST&gt;1",X70&gt;=100),AND('3-man'!X$21="ST&gt;1",X78&gt;=100))))),'3-man'!X$18,0)</f>
        <v/>
      </c>
      <c r="Y69">
        <f>IF(OR('3-man'!Y$19="P",'3-man'!Y$19="R",AND('3-man'!Y$18&lt;=IF('3-man'!$BF$4="",999,'3-man'!$BF$4),OR('3-man'!Y$19="D",LEFT('3-man'!Y$19,3)="ST&gt;",OR(AND('3-man'!Y$20="ST&gt;1",Y70&gt;=100),AND('3-man'!Y$21="ST&gt;1",Y78&gt;=100))))),'3-man'!Y$18,0)</f>
        <v/>
      </c>
      <c r="Z69">
        <f>IF(OR('3-man'!Z$19="P",'3-man'!Z$19="R",AND('3-man'!Z$18&lt;=IF('3-man'!$BF$4="",999,'3-man'!$BF$4),OR('3-man'!Z$19="D",LEFT('3-man'!Z$19,3)="ST&gt;",OR(AND('3-man'!Z$20="ST&gt;1",Z70&gt;=100),AND('3-man'!Z$21="ST&gt;1",Z78&gt;=100))))),'3-man'!Z$18,0)</f>
        <v/>
      </c>
      <c r="AA69">
        <f>IF(OR('3-man'!AA$19="P",'3-man'!AA$19="R",AND('3-man'!AA$18&lt;=IF('3-man'!$BF$4="",999,'3-man'!$BF$4),OR('3-man'!AA$19="D",LEFT('3-man'!AA$19,3)="ST&gt;",OR(AND('3-man'!AA$20="ST&gt;1",AA70&gt;=100),AND('3-man'!AA$21="ST&gt;1",AA78&gt;=100))))),'3-man'!AA$18,0)</f>
        <v/>
      </c>
      <c r="AB69">
        <f>IF(OR('3-man'!AB$19="P",'3-man'!AB$19="R",AND('3-man'!AB$18&lt;=IF('3-man'!$BF$4="",999,'3-man'!$BF$4),OR('3-man'!AB$19="D",LEFT('3-man'!AB$19,3)="ST&gt;",OR(AND('3-man'!AB$20="ST&gt;1",AB70&gt;=100),AND('3-man'!AB$21="ST&gt;1",AB78&gt;=100))))),'3-man'!AB$18,0)</f>
        <v/>
      </c>
      <c r="AC69">
        <f>IF(OR('3-man'!AC$19="P",'3-man'!AC$19="R",AND('3-man'!AC$18&lt;=IF('3-man'!$BF$4="",999,'3-man'!$BF$4),OR('3-man'!AC$19="D",LEFT('3-man'!AC$19,3)="ST&gt;",OR(AND('3-man'!AC$20="ST&gt;1",AC70&gt;=100),AND('3-man'!AC$21="ST&gt;1",AC78&gt;=100))))),'3-man'!AC$18,0)</f>
        <v/>
      </c>
      <c r="AD69">
        <f>IF(OR('3-man'!AD$19="P",'3-man'!AD$19="R",AND('3-man'!AD$18&lt;=IF('3-man'!$BF$4="",999,'3-man'!$BF$4),OR('3-man'!AD$19="D",LEFT('3-man'!AD$19,3)="ST&gt;",OR(AND('3-man'!AD$20="ST&gt;1",AD70&gt;=100),AND('3-man'!AD$21="ST&gt;1",AD78&gt;=100))))),'3-man'!AD$18,0)</f>
        <v/>
      </c>
      <c r="AE69">
        <f>IF(OR('3-man'!AE$19="P",'3-man'!AE$19="R",AND('3-man'!AE$18&lt;=IF('3-man'!$BF$4="",999,'3-man'!$BF$4),OR('3-man'!AE$19="D",LEFT('3-man'!AE$19,3)="ST&gt;",OR(AND('3-man'!AE$20="ST&gt;1",AE70&gt;=100),AND('3-man'!AE$21="ST&gt;1",AE78&gt;=100))))),'3-man'!AE$18,0)</f>
        <v/>
      </c>
      <c r="AF69">
        <f>IF(OR('3-man'!AF$19="P",'3-man'!AF$19="R",AND('3-man'!AF$18&lt;=IF('3-man'!$BF$4="",999,'3-man'!$BF$4),OR('3-man'!AF$19="D",LEFT('3-man'!AF$19,3)="ST&gt;",OR(AND('3-man'!AF$20="ST&gt;1",AF70&gt;=100),AND('3-man'!AF$21="ST&gt;1",AF78&gt;=100))))),'3-man'!AF$18,0)</f>
        <v/>
      </c>
      <c r="AG69">
        <f>IF(OR('3-man'!AG$19="P",'3-man'!AG$19="R",AND('3-man'!AG$18&lt;=IF('3-man'!$BF$4="",999,'3-man'!$BF$4),OR('3-man'!AG$19="D",LEFT('3-man'!AG$19,3)="ST&gt;",OR(AND('3-man'!AG$20="ST&gt;1",AG70&gt;=100),AND('3-man'!AG$21="ST&gt;1",AG78&gt;=100))))),'3-man'!AG$18,0)</f>
        <v/>
      </c>
      <c r="AH69">
        <f>IF(OR('3-man'!AH$19="P",'3-man'!AH$19="R",AND('3-man'!AH$18&lt;=IF('3-man'!$BF$4="",999,'3-man'!$BF$4),OR('3-man'!AH$19="D",LEFT('3-man'!AH$19,3)="ST&gt;",OR(AND('3-man'!AH$20="ST&gt;1",AH70&gt;=100),AND('3-man'!AH$21="ST&gt;1",AH78&gt;=100))))),'3-man'!AH$18,0)</f>
        <v/>
      </c>
      <c r="AI69">
        <f>IF(OR('3-man'!AI$19="P",'3-man'!AI$19="R",AND('3-man'!AI$18&lt;=IF('3-man'!$BF$4="",999,'3-man'!$BF$4),OR('3-man'!AI$19="D",LEFT('3-man'!AI$19,3)="ST&gt;",OR(AND('3-man'!AI$20="ST&gt;1",AI70&gt;=100),AND('3-man'!AI$21="ST&gt;1",AI78&gt;=100))))),'3-man'!AI$18,0)</f>
        <v/>
      </c>
      <c r="AJ69">
        <f>IF(OR('3-man'!AJ$19="P",'3-man'!AJ$19="R",AND('3-man'!AJ$18&lt;=IF('3-man'!$BF$4="",999,'3-man'!$BF$4),OR('3-man'!AJ$19="D",LEFT('3-man'!AJ$19,3)="ST&gt;",OR(AND('3-man'!AJ$20="ST&gt;1",AJ70&gt;=100),AND('3-man'!AJ$21="ST&gt;1",AJ78&gt;=100))))),'3-man'!AJ$18,0)</f>
        <v/>
      </c>
      <c r="AK69">
        <f>IF(OR('3-man'!AK$19="P",'3-man'!AK$19="R",AND('3-man'!AK$18&lt;=IF('3-man'!$BF$4="",999,'3-man'!$BF$4),OR('3-man'!AK$19="D",LEFT('3-man'!AK$19,3)="ST&gt;",OR(AND('3-man'!AK$20="ST&gt;1",AK70&gt;=100),AND('3-man'!AK$21="ST&gt;1",AK78&gt;=100))))),'3-man'!AK$18,0)</f>
        <v/>
      </c>
      <c r="AL69">
        <f>IF(OR('3-man'!AL$19="P",'3-man'!AL$19="R",AND('3-man'!AL$18&lt;=IF('3-man'!$BF$4="",999,'3-man'!$BF$4),OR('3-man'!AL$19="D",LEFT('3-man'!AL$19,3)="ST&gt;",OR(AND('3-man'!AL$20="ST&gt;1",AL70&gt;=100),AND('3-man'!AL$21="ST&gt;1",AL78&gt;=100))))),'3-man'!AL$18,0)</f>
        <v/>
      </c>
      <c r="AM69">
        <f>IF(OR('3-man'!AM$19="P",'3-man'!AM$19="R",AND('3-man'!AM$18&lt;=IF('3-man'!$BF$4="",999,'3-man'!$BF$4),OR('3-man'!AM$19="D",LEFT('3-man'!AM$19,3)="ST&gt;",OR(AND('3-man'!AM$20="ST&gt;1",AM70&gt;=100),AND('3-man'!AM$21="ST&gt;1",AM78&gt;=100))))),'3-man'!AM$18,0)</f>
        <v/>
      </c>
      <c r="AN69">
        <f>IF(OR('3-man'!AN$19="P",'3-man'!AN$19="R",AND('3-man'!AN$18&lt;=IF('3-man'!$BF$4="",999,'3-man'!$BF$4),OR('3-man'!AN$19="D",LEFT('3-man'!AN$19,3)="ST&gt;",OR(AND('3-man'!AN$20="ST&gt;1",AN70&gt;=100),AND('3-man'!AN$21="ST&gt;1",AN78&gt;=100))))),'3-man'!AN$18,0)</f>
        <v/>
      </c>
      <c r="AO69">
        <f>IF(OR('3-man'!AO$19="P",'3-man'!AO$19="R",AND('3-man'!AO$18&lt;=IF('3-man'!$BF$4="",999,'3-man'!$BF$4),OR('3-man'!AO$19="D",LEFT('3-man'!AO$19,3)="ST&gt;",OR(AND('3-man'!AO$20="ST&gt;1",AO70&gt;=100),AND('3-man'!AO$21="ST&gt;1",AO78&gt;=100))))),'3-man'!AO$18,0)</f>
        <v/>
      </c>
      <c r="AP69">
        <f>IF(OR('3-man'!AP$19="P",'3-man'!AP$19="R",AND('3-man'!AP$18&lt;=IF('3-man'!$BF$4="",999,'3-man'!$BF$4),OR('3-man'!AP$19="D",LEFT('3-man'!AP$19,3)="ST&gt;",OR(AND('3-man'!AP$20="ST&gt;1",AP70&gt;=100),AND('3-man'!AP$21="ST&gt;1",AP78&gt;=100))))),'3-man'!AP$18,0)</f>
        <v/>
      </c>
      <c r="AQ69">
        <f>IF(OR('3-man'!AQ$19="P",'3-man'!AQ$19="R",AND('3-man'!AQ$18&lt;=IF('3-man'!$BF$4="",999,'3-man'!$BF$4),OR('3-man'!AQ$19="D",LEFT('3-man'!AQ$19,3)="ST&gt;",OR(AND('3-man'!AQ$20="ST&gt;1",AQ70&gt;=100),AND('3-man'!AQ$21="ST&gt;1",AQ78&gt;=100))))),'3-man'!AQ$18,0)</f>
        <v/>
      </c>
      <c r="AR69">
        <f>IF(OR('3-man'!AR$19="P",'3-man'!AR$19="R",AND('3-man'!AR$18&lt;=IF('3-man'!$BF$4="",999,'3-man'!$BF$4),OR('3-man'!AR$19="D",LEFT('3-man'!AR$19,3)="ST&gt;",OR(AND('3-man'!AR$20="ST&gt;1",AR70&gt;=100),AND('3-man'!AR$21="ST&gt;1",AR78&gt;=100))))),'3-man'!AR$18,0)</f>
        <v/>
      </c>
      <c r="AS69">
        <f>IF(OR('3-man'!AS$19="P",'3-man'!AS$19="R",AND('3-man'!AS$18&lt;=IF('3-man'!$BF$4="",999,'3-man'!$BF$4),OR('3-man'!AS$19="D",LEFT('3-man'!AS$19,3)="ST&gt;",OR(AND('3-man'!AS$20="ST&gt;1",AS70&gt;=100),AND('3-man'!AS$21="ST&gt;1",AS78&gt;=100))))),'3-man'!AS$18,0)</f>
        <v/>
      </c>
      <c r="AT69">
        <f>IF(OR('3-man'!AT$19="P",'3-man'!AT$19="R",AND('3-man'!AT$18&lt;=IF('3-man'!$BF$4="",999,'3-man'!$BF$4),OR('3-man'!AT$19="D",LEFT('3-man'!AT$19,3)="ST&gt;",OR(AND('3-man'!AT$20="ST&gt;1",AT70&gt;=100),AND('3-man'!AT$21="ST&gt;1",AT78&gt;=100))))),'3-man'!AT$18,0)</f>
        <v/>
      </c>
      <c r="AU69">
        <f>IF(OR('3-man'!AU$19="P",'3-man'!AU$19="R",AND('3-man'!AU$18&lt;=IF('3-man'!$BF$4="",999,'3-man'!$BF$4),OR('3-man'!AU$19="D",LEFT('3-man'!AU$19,3)="ST&gt;",OR(AND('3-man'!AU$20="ST&gt;1",AU70&gt;=100),AND('3-man'!AU$21="ST&gt;1",AU78&gt;=100))))),'3-man'!AU$18,0)</f>
        <v/>
      </c>
      <c r="AV69">
        <f>IF(OR('3-man'!AV$19="P",'3-man'!AV$19="R",AND('3-man'!AV$18&lt;=IF('3-man'!$BF$4="",999,'3-man'!$BF$4),OR('3-man'!AV$19="D",LEFT('3-man'!AV$19,3)="ST&gt;",OR(AND('3-man'!AV$20="ST&gt;1",AV70&gt;=100),AND('3-man'!AV$21="ST&gt;1",AV78&gt;=100))))),'3-man'!AV$18,0)</f>
        <v/>
      </c>
      <c r="AW69">
        <f>IF(OR('3-man'!AW$19="P",'3-man'!AW$19="R",AND('3-man'!AW$18&lt;=IF('3-man'!$BF$4="",999,'3-man'!$BF$4),OR('3-man'!AW$19="D",LEFT('3-man'!AW$19,3)="ST&gt;",OR(AND('3-man'!AW$20="ST&gt;1",AW70&gt;=100),AND('3-man'!AW$21="ST&gt;1",AW78&gt;=100))))),'3-man'!AW$18,0)</f>
        <v/>
      </c>
      <c r="AX69">
        <f>IF(OR('3-man'!AX$19="P",'3-man'!AX$19="R",AND('3-man'!AX$18&lt;=IF('3-man'!$BF$4="",999,'3-man'!$BF$4),OR('3-man'!AX$19="D",LEFT('3-man'!AX$19,3)="ST&gt;",OR(AND('3-man'!AX$20="ST&gt;1",AX70&gt;=100),AND('3-man'!AX$21="ST&gt;1",AX78&gt;=100))))),'3-man'!AX$18,0)</f>
        <v/>
      </c>
      <c r="AY69">
        <f>IF(OR('3-man'!AY$19="P",'3-man'!AY$19="R",AND('3-man'!AY$18&lt;=IF('3-man'!$BF$4="",999,'3-man'!$BF$4),OR('3-man'!AY$19="D",LEFT('3-man'!AY$19,3)="ST&gt;",OR(AND('3-man'!AY$20="ST&gt;1",AY70&gt;=100),AND('3-man'!AY$21="ST&gt;1",AY78&gt;=100))))),'3-man'!AY$18,0)</f>
        <v/>
      </c>
      <c r="AZ69">
        <f>IF(OR('3-man'!AZ$19="P",'3-man'!AZ$19="R",AND('3-man'!AZ$18&lt;=IF('3-man'!$BF$4="",999,'3-man'!$BF$4),OR('3-man'!AZ$19="D",LEFT('3-man'!AZ$19,3)="ST&gt;",OR(AND('3-man'!AZ$20="ST&gt;1",AZ70&gt;=100),AND('3-man'!AZ$21="ST&gt;1",AZ78&gt;=100))))),'3-man'!AZ$18,0)</f>
        <v/>
      </c>
      <c r="BA69">
        <f>IF(OR('3-man'!BA$19="P",'3-man'!BA$19="R",AND('3-man'!BA$18&lt;=IF('3-man'!$BF$4="",999,'3-man'!$BF$4),OR('3-man'!BA$19="D",LEFT('3-man'!BA$19,3)="ST&gt;",OR(AND('3-man'!BA$20="ST&gt;1",BA70&gt;=100),AND('3-man'!BA$21="ST&gt;1",BA78&gt;=100))))),'3-man'!BA$18,0)</f>
        <v/>
      </c>
      <c r="BB69">
        <f>IF(OR('3-man'!BB$19="P",'3-man'!BB$19="R",AND('3-man'!BB$18&lt;=IF('3-man'!$BF$4="",999,'3-man'!$BF$4),OR('3-man'!BB$19="D",LEFT('3-man'!BB$19,3)="ST&gt;",OR(AND('3-man'!BB$20="ST&gt;1",BB70&gt;=100),AND('3-man'!BB$21="ST&gt;1",BB78&gt;=100))))),'3-man'!BB$18,0)</f>
        <v/>
      </c>
      <c r="BC69">
        <f>IF(OR('3-man'!BC$19="P",'3-man'!BC$19="R",AND('3-man'!BC$18&lt;=IF('3-man'!$BF$4="",999,'3-man'!$BF$4),OR('3-man'!BC$19="D",LEFT('3-man'!BC$19,3)="ST&gt;",OR(AND('3-man'!BC$20="ST&gt;1",BC70&gt;=100),AND('3-man'!BC$21="ST&gt;1",BC78&gt;=100))))),'3-man'!BC$18,0)</f>
        <v/>
      </c>
      <c r="BD69">
        <f>IF(OR('3-man'!BD$19="P",'3-man'!BD$19="R",AND('3-man'!BD$18&lt;=IF('3-man'!$BF$4="",999,'3-man'!$BF$4),OR('3-man'!BD$19="D",LEFT('3-man'!BD$19,3)="ST&gt;",OR(AND('3-man'!BD$20="ST&gt;1",BD70&gt;=100),AND('3-man'!BD$21="ST&gt;1",BD78&gt;=100))))),'3-man'!BD$18,0)</f>
        <v/>
      </c>
      <c r="BE69">
        <f>IF(OR('3-man'!BE$19="P",'3-man'!BE$19="R",AND('3-man'!BE$18&lt;=IF('3-man'!$BF$4="",999,'3-man'!$BF$4),OR('3-man'!BE$19="D",LEFT('3-man'!BE$19,3)="ST&gt;",OR(AND('3-man'!BE$20="ST&gt;1",BE70&gt;=100),AND('3-man'!BE$21="ST&gt;1",BE78&gt;=100))))),'3-man'!BE$18,0)</f>
        <v/>
      </c>
      <c r="BF69">
        <f>IF(OR('3-man'!BF$19="P",'3-man'!BF$19="R",AND('3-man'!BF$18&lt;=IF('3-man'!$BF$4="",999,'3-man'!$BF$4),OR('3-man'!BF$19="D",LEFT('3-man'!BF$19,3)="ST&gt;",OR(AND('3-man'!BF$20="ST&gt;1",BF70&gt;=100),AND('3-man'!BF$21="ST&gt;1",BF78&gt;=100))))),'3-man'!BF$18,0)</f>
        <v/>
      </c>
      <c r="BG69">
        <f>IF(OR('3-man'!BG$19="P",'3-man'!BG$19="R",AND('3-man'!BG$18&lt;=IF('3-man'!$BF$4="",999,'3-man'!$BF$4),OR('3-man'!BG$19="D",LEFT('3-man'!BG$19,3)="ST&gt;",OR(AND('3-man'!BG$20="ST&gt;1",BG70&gt;=100),AND('3-man'!BG$21="ST&gt;1",BG78&gt;=100))))),'3-man'!BG$18,0)</f>
        <v/>
      </c>
      <c r="BH69">
        <f>IF(OR('3-man'!BH$19="P",'3-man'!BH$19="R",AND('3-man'!BH$18&lt;=IF('3-man'!$BF$4="",999,'3-man'!$BF$4),OR('3-man'!BH$19="D",LEFT('3-man'!BH$19,3)="ST&gt;",OR(AND('3-man'!BH$20="ST&gt;1",BH70&gt;=100),AND('3-man'!BH$21="ST&gt;1",BH78&gt;=100))))),'3-man'!BH$18,0)</f>
        <v/>
      </c>
      <c r="BI69">
        <f>IF(OR('3-man'!BI$19="P",'3-man'!BI$19="R",AND('3-man'!BI$18&lt;=IF('3-man'!$BF$4="",999,'3-man'!$BF$4),OR('3-man'!BI$19="D",LEFT('3-man'!BI$19,3)="ST&gt;",OR(AND('3-man'!BI$20="ST&gt;1",BI70&gt;=100),AND('3-man'!BI$21="ST&gt;1",BI78&gt;=100))))),'3-man'!BI$18,0)</f>
        <v/>
      </c>
      <c r="BJ69">
        <f>IF(OR('3-man'!BJ$19="P",'3-man'!BJ$19="R",AND('3-man'!BJ$18&lt;=IF('3-man'!$BF$4="",999,'3-man'!$BF$4),OR('3-man'!BJ$19="D",LEFT('3-man'!BJ$19,3)="ST&gt;",OR(AND('3-man'!BJ$20="ST&gt;1",BJ70&gt;=100),AND('3-man'!BJ$21="ST&gt;1",BJ78&gt;=100))))),'3-man'!BJ$18,0)</f>
        <v/>
      </c>
      <c r="BK69">
        <f>IF(OR('3-man'!BK$19="P",'3-man'!BK$19="R",AND('3-man'!BK$18&lt;=IF('3-man'!$BF$4="",999,'3-man'!$BF$4),OR('3-man'!BK$19="D",LEFT('3-man'!BK$19,3)="ST&gt;",OR(AND('3-man'!BK$20="ST&gt;1",BK70&gt;=100),AND('3-man'!BK$21="ST&gt;1",BK78&gt;=100))))),'3-man'!BK$18,0)</f>
        <v/>
      </c>
      <c r="BL69">
        <f>IF(OR('3-man'!BL$19="P",'3-man'!BL$19="R",AND('3-man'!BL$18&lt;=IF('3-man'!$BF$4="",999,'3-man'!$BF$4),OR('3-man'!BL$19="D",LEFT('3-man'!BL$19,3)="ST&gt;",OR(AND('3-man'!BL$20="ST&gt;1",BL70&gt;=100),AND('3-man'!BL$21="ST&gt;1",BL78&gt;=100))))),'3-man'!BL$18,0)</f>
        <v/>
      </c>
      <c r="BM69">
        <f>IF(OR('3-man'!BM$19="P",'3-man'!BM$19="R",AND('3-man'!BM$18&lt;=IF('3-man'!$BF$4="",999,'3-man'!$BF$4),OR('3-man'!BM$19="D",LEFT('3-man'!BM$19,3)="ST&gt;",OR(AND('3-man'!BM$20="ST&gt;1",BM70&gt;=100),AND('3-man'!BM$21="ST&gt;1",BM78&gt;=100))))),'3-man'!BM$18,0)</f>
        <v/>
      </c>
      <c r="BN69">
        <f>IF(OR('3-man'!BN$19="P",'3-man'!BN$19="R",AND('3-man'!BN$18&lt;=IF('3-man'!$BF$4="",999,'3-man'!$BF$4),OR('3-man'!BN$19="D",LEFT('3-man'!BN$19,3)="ST&gt;",OR(AND('3-man'!BN$20="ST&gt;1",BN70&gt;=100),AND('3-man'!BN$21="ST&gt;1",BN78&gt;=100))))),'3-man'!BN$18,0)</f>
        <v/>
      </c>
      <c r="BO69">
        <f>IF(OR('3-man'!BO$19="P",'3-man'!BO$19="R",AND('3-man'!BO$18&lt;=IF('3-man'!$BF$4="",999,'3-man'!$BF$4),OR('3-man'!BO$19="D",LEFT('3-man'!BO$19,3)="ST&gt;",OR(AND('3-man'!BO$20="ST&gt;1",BO70&gt;=100),AND('3-man'!BO$21="ST&gt;1",BO78&gt;=100))))),'3-man'!BO$18,0)</f>
        <v/>
      </c>
      <c r="BP69">
        <f>IF(OR('3-man'!BP$19="P",'3-man'!BP$19="R",AND('3-man'!BP$18&lt;=IF('3-man'!$BF$4="",999,'3-man'!$BF$4),OR('3-man'!BP$19="D",LEFT('3-man'!BP$19,3)="ST&gt;",OR(AND('3-man'!BP$20="ST&gt;1",BP70&gt;=100),AND('3-man'!BP$21="ST&gt;1",BP78&gt;=100))))),'3-man'!BP$18,0)</f>
        <v/>
      </c>
      <c r="BQ69">
        <f>IF(OR('3-man'!BQ$19="P",'3-man'!BQ$19="R",AND('3-man'!BQ$18&lt;=IF('3-man'!$BF$4="",999,'3-man'!$BF$4),OR('3-man'!BQ$19="D",LEFT('3-man'!BQ$19,3)="ST&gt;",OR(AND('3-man'!BQ$20="ST&gt;1",BQ70&gt;=100),AND('3-man'!BQ$21="ST&gt;1",BQ78&gt;=100))))),'3-man'!BQ$18,0)</f>
        <v/>
      </c>
      <c r="BR69">
        <f>IF(OR('3-man'!BR$19="P",'3-man'!BR$19="R",AND('3-man'!BR$18&lt;=IF('3-man'!$BF$4="",999,'3-man'!$BF$4),OR('3-man'!BR$19="D",LEFT('3-man'!BR$19,3)="ST&gt;",OR(AND('3-man'!BR$20="ST&gt;1",BR70&gt;=100),AND('3-man'!BR$21="ST&gt;1",BR78&gt;=100))))),'3-man'!BR$18,0)</f>
        <v/>
      </c>
      <c r="BS69">
        <f>IF(OR('3-man'!BS$19="P",'3-man'!BS$19="R",AND('3-man'!BS$18&lt;=IF('3-man'!$BF$4="",999,'3-man'!$BF$4),OR('3-man'!BS$19="D",LEFT('3-man'!BS$19,3)="ST&gt;",OR(AND('3-man'!BS$20="ST&gt;1",BS70&gt;=100),AND('3-man'!BS$21="ST&gt;1",BS78&gt;=100))))),'3-man'!BS$18,0)</f>
        <v/>
      </c>
      <c r="BT69">
        <f>IF(OR('3-man'!BT$19="P",'3-man'!BT$19="R",AND('3-man'!BT$18&lt;=IF('3-man'!$BF$4="",999,'3-man'!$BF$4),OR('3-man'!BT$19="D",LEFT('3-man'!BT$19,3)="ST&gt;",OR(AND('3-man'!BT$20="ST&gt;1",BT70&gt;=100),AND('3-man'!BT$21="ST&gt;1",BT78&gt;=100))))),'3-man'!BT$18,0)</f>
        <v/>
      </c>
      <c r="BU69">
        <f>IF(OR('3-man'!BU$19="P",'3-man'!BU$19="R",AND('3-man'!BU$18&lt;=IF('3-man'!$BF$4="",999,'3-man'!$BF$4),OR('3-man'!BU$19="D",LEFT('3-man'!BU$19,3)="ST&gt;",OR(AND('3-man'!BU$20="ST&gt;1",BU70&gt;=100),AND('3-man'!BU$21="ST&gt;1",BU78&gt;=100))))),'3-man'!BU$18,0)</f>
        <v/>
      </c>
      <c r="BV69">
        <f>IF(OR('3-man'!BV$19="P",'3-man'!BV$19="R",AND('3-man'!BV$18&lt;=IF('3-man'!$BF$4="",999,'3-man'!$BF$4),OR('3-man'!BV$19="D",LEFT('3-man'!BV$19,3)="ST&gt;",OR(AND('3-man'!BV$20="ST&gt;1",BV70&gt;=100),AND('3-man'!BV$21="ST&gt;1",BV78&gt;=100))))),'3-man'!BV$18,0)</f>
        <v/>
      </c>
      <c r="BW69">
        <f>IF(OR('3-man'!BW$19="P",'3-man'!BW$19="R",AND('3-man'!BW$18&lt;=IF('3-man'!$BF$4="",999,'3-man'!$BF$4),OR('3-man'!BW$19="D",LEFT('3-man'!BW$19,3)="ST&gt;",OR(AND('3-man'!BW$20="ST&gt;1",BW70&gt;=100),AND('3-man'!BW$21="ST&gt;1",BW78&gt;=100))))),'3-man'!BW$18,0)</f>
        <v/>
      </c>
      <c r="BX69">
        <f>IF(OR('3-man'!BX$19="P",'3-man'!BX$19="R",AND('3-man'!BX$18&lt;=IF('3-man'!$BF$4="",999,'3-man'!$BF$4),OR('3-man'!BX$19="D",LEFT('3-man'!BX$19,3)="ST&gt;",OR(AND('3-man'!BX$20="ST&gt;1",BX70&gt;=100),AND('3-man'!BX$21="ST&gt;1",BX78&gt;=100))))),'3-man'!BX$18,0)</f>
        <v/>
      </c>
      <c r="BY69">
        <f>IF(OR('3-man'!BY$19="P",'3-man'!BY$19="R",AND('3-man'!BY$18&lt;=IF('3-man'!$BF$4="",999,'3-man'!$BF$4),OR('3-man'!BY$19="D",LEFT('3-man'!BY$19,3)="ST&gt;",OR(AND('3-man'!BY$20="ST&gt;1",BY70&gt;=100),AND('3-man'!BY$21="ST&gt;1",BY78&gt;=100))))),'3-man'!BY$18,0)</f>
        <v/>
      </c>
      <c r="BZ69">
        <f>IF(OR('3-man'!BZ$19="P",'3-man'!BZ$19="R",AND('3-man'!BZ$18&lt;=IF('3-man'!$BF$4="",999,'3-man'!$BF$4),OR('3-man'!BZ$19="D",LEFT('3-man'!BZ$19,3)="ST&gt;",OR(AND('3-man'!BZ$20="ST&gt;1",BZ70&gt;=100),AND('3-man'!BZ$21="ST&gt;1",BZ78&gt;=100))))),'3-man'!BZ$18,0)</f>
        <v/>
      </c>
      <c r="CA69">
        <f>IF(OR('3-man'!CA$19="P",'3-man'!CA$19="R",AND('3-man'!CA$18&lt;=IF('3-man'!$BF$4="",999,'3-man'!$BF$4),OR('3-man'!CA$19="D",LEFT('3-man'!CA$19,3)="ST&gt;",OR(AND('3-man'!CA$20="ST&gt;1",CA70&gt;=100),AND('3-man'!CA$21="ST&gt;1",CA78&gt;=100))))),'3-man'!CA$18,0)</f>
        <v/>
      </c>
      <c r="CB69">
        <f>IF(OR('3-man'!CB$19="P",'3-man'!CB$19="R",AND('3-man'!CB$18&lt;=IF('3-man'!$BF$4="",999,'3-man'!$BF$4),OR('3-man'!CB$19="D",LEFT('3-man'!CB$19,3)="ST&gt;",OR(AND('3-man'!CB$20="ST&gt;1",CB70&gt;=100),AND('3-man'!CB$21="ST&gt;1",CB78&gt;=100))))),'3-man'!CB$18,0)</f>
        <v/>
      </c>
      <c r="CC69">
        <f>IF(OR('3-man'!CC$19="P",'3-man'!CC$19="R",AND('3-man'!CC$18&lt;=IF('3-man'!$BF$4="",999,'3-man'!$BF$4),OR('3-man'!CC$19="D",LEFT('3-man'!CC$19,3)="ST&gt;",OR(AND('3-man'!CC$20="ST&gt;1",CC70&gt;=100),AND('3-man'!CC$21="ST&gt;1",CC78&gt;=100))))),'3-man'!CC$18,0)</f>
        <v/>
      </c>
      <c r="CD69">
        <f>IF(OR('3-man'!CD$19="P",'3-man'!CD$19="R",AND('3-man'!CD$18&lt;=IF('3-man'!$BF$4="",999,'3-man'!$BF$4),OR('3-man'!CD$19="D",LEFT('3-man'!CD$19,3)="ST&gt;",OR(AND('3-man'!CD$20="ST&gt;1",CD70&gt;=100),AND('3-man'!CD$21="ST&gt;1",CD78&gt;=100))))),'3-man'!CD$18,0)</f>
        <v/>
      </c>
    </row>
    <row r="70">
      <c r="A70" t="inlineStr">
        <is>
          <t>P2 s1</t>
        </is>
      </c>
      <c r="C70">
        <f>MIN(100,B71+IF(AND(B71&lt;100,B72+1&gt;=IF(OR('3-man'!$F$5=TRUE,'3-man'!$F$5="TRUE",'3-man'!$F$5="Yes"),25,50)),10,0)+IF('3-man'!C$18=$Q$76,25,0))</f>
        <v/>
      </c>
      <c r="D70">
        <f>MIN(100,C71+IF(AND(C71&lt;100,C72+1&gt;=IF(OR('3-man'!$F$5=TRUE,'3-man'!$F$5="TRUE",'3-man'!$F$5="Yes"),25,50)),10,0)+IF('3-man'!D$18=$Q$76,25,0))</f>
        <v/>
      </c>
      <c r="E70">
        <f>MIN(100,D71+IF(AND(D71&lt;100,D72+1&gt;=IF(OR('3-man'!$F$5=TRUE,'3-man'!$F$5="TRUE",'3-man'!$F$5="Yes"),25,50)),10,0)+IF('3-man'!E$18=$Q$76,25,0))</f>
        <v/>
      </c>
      <c r="F70">
        <f>MIN(100,E71+IF(AND(E71&lt;100,E72+1&gt;=IF(OR('3-man'!$F$5=TRUE,'3-man'!$F$5="TRUE",'3-man'!$F$5="Yes"),25,50)),10,0)+IF('3-man'!F$18=$Q$76,25,0))</f>
        <v/>
      </c>
      <c r="G70">
        <f>MIN(100,F71+IF(AND(F71&lt;100,F72+1&gt;=IF(OR('3-man'!$F$5=TRUE,'3-man'!$F$5="TRUE",'3-man'!$F$5="Yes"),25,50)),10,0)+IF('3-man'!G$18=$Q$76,25,0))</f>
        <v/>
      </c>
      <c r="H70">
        <f>MIN(100,G71+IF(AND(G71&lt;100,G72+1&gt;=IF(OR('3-man'!$F$5=TRUE,'3-man'!$F$5="TRUE",'3-man'!$F$5="Yes"),25,50)),10,0)+IF('3-man'!H$18=$Q$76,25,0))</f>
        <v/>
      </c>
      <c r="I70">
        <f>MIN(100,H71+IF(AND(H71&lt;100,H72+1&gt;=IF(OR('3-man'!$F$5=TRUE,'3-man'!$F$5="TRUE",'3-man'!$F$5="Yes"),25,50)),10,0)+IF('3-man'!I$18=$Q$76,25,0))</f>
        <v/>
      </c>
      <c r="J70">
        <f>MIN(100,I71+IF(AND(I71&lt;100,I72+1&gt;=IF(OR('3-man'!$F$5=TRUE,'3-man'!$F$5="TRUE",'3-man'!$F$5="Yes"),25,50)),10,0)+IF('3-man'!J$18=$Q$76,25,0))</f>
        <v/>
      </c>
      <c r="K70">
        <f>MIN(100,J71+IF(AND(J71&lt;100,J72+1&gt;=IF(OR('3-man'!$F$5=TRUE,'3-man'!$F$5="TRUE",'3-man'!$F$5="Yes"),25,50)),10,0)+IF('3-man'!K$18=$Q$76,25,0))</f>
        <v/>
      </c>
      <c r="L70">
        <f>MIN(100,K71+IF(AND(K71&lt;100,K72+1&gt;=IF(OR('3-man'!$F$5=TRUE,'3-man'!$F$5="TRUE",'3-man'!$F$5="Yes"),25,50)),10,0)+IF('3-man'!L$18=$Q$76,25,0))</f>
        <v/>
      </c>
      <c r="M70">
        <f>MIN(100,L71+IF(AND(L71&lt;100,L72+1&gt;=IF(OR('3-man'!$F$5=TRUE,'3-man'!$F$5="TRUE",'3-man'!$F$5="Yes"),25,50)),10,0)+IF('3-man'!M$18=$Q$76,25,0))</f>
        <v/>
      </c>
      <c r="N70">
        <f>MIN(100,M71+IF(AND(M71&lt;100,M72+1&gt;=IF(OR('3-man'!$F$5=TRUE,'3-man'!$F$5="TRUE",'3-man'!$F$5="Yes"),25,50)),10,0)+IF('3-man'!N$18=$Q$76,25,0))</f>
        <v/>
      </c>
      <c r="O70">
        <f>MIN(100,N71+IF(AND(N71&lt;100,N72+1&gt;=IF(OR('3-man'!$F$5=TRUE,'3-man'!$F$5="TRUE",'3-man'!$F$5="Yes"),25,50)),10,0)+IF('3-man'!O$18=$Q$76,25,0))</f>
        <v/>
      </c>
      <c r="P70">
        <f>MIN(100,O71+IF(AND(O71&lt;100,O72+1&gt;=IF(OR('3-man'!$F$5=TRUE,'3-man'!$F$5="TRUE",'3-man'!$F$5="Yes"),25,50)),10,0)+IF('3-man'!P$18=$Q$76,25,0))</f>
        <v/>
      </c>
      <c r="Q70">
        <f>MIN(100,P71+IF(AND(P71&lt;100,P72+1&gt;=IF(OR('3-man'!$F$5=TRUE,'3-man'!$F$5="TRUE",'3-man'!$F$5="Yes"),25,50)),10,0)+IF('3-man'!Q$18=$Q$76,25,0))</f>
        <v/>
      </c>
      <c r="R70">
        <f>MIN(100,Q71+IF(AND(Q71&lt;100,Q72+1&gt;=IF(OR('3-man'!$F$5=TRUE,'3-man'!$F$5="TRUE",'3-man'!$F$5="Yes"),25,50)),10,0)+IF('3-man'!R$18=$Q$76,25,0))</f>
        <v/>
      </c>
      <c r="S70">
        <f>MIN(100,R71+IF(AND(R71&lt;100,R72+1&gt;=IF(OR('3-man'!$F$5=TRUE,'3-man'!$F$5="TRUE",'3-man'!$F$5="Yes"),25,50)),10,0)+IF('3-man'!S$18=$Q$76,25,0))</f>
        <v/>
      </c>
      <c r="T70">
        <f>MIN(100,S71+IF(AND(S71&lt;100,S72+1&gt;=IF(OR('3-man'!$F$5=TRUE,'3-man'!$F$5="TRUE",'3-man'!$F$5="Yes"),25,50)),10,0)+IF('3-man'!T$18=$Q$76,25,0))</f>
        <v/>
      </c>
      <c r="U70">
        <f>MIN(100,T71+IF(AND(T71&lt;100,T72+1&gt;=IF(OR('3-man'!$F$5=TRUE,'3-man'!$F$5="TRUE",'3-man'!$F$5="Yes"),25,50)),10,0)+IF('3-man'!U$18=$Q$76,25,0))</f>
        <v/>
      </c>
      <c r="V70">
        <f>MIN(100,U71+IF(AND(U71&lt;100,U72+1&gt;=IF(OR('3-man'!$F$5=TRUE,'3-man'!$F$5="TRUE",'3-man'!$F$5="Yes"),25,50)),10,0)+IF('3-man'!V$18=$Q$76,25,0))</f>
        <v/>
      </c>
      <c r="W70">
        <f>MIN(100,V71+IF(AND(V71&lt;100,V72+1&gt;=IF(OR('3-man'!$F$5=TRUE,'3-man'!$F$5="TRUE",'3-man'!$F$5="Yes"),25,50)),10,0)+IF('3-man'!W$18=$Q$76,25,0))</f>
        <v/>
      </c>
      <c r="X70">
        <f>MIN(100,W71+IF(AND(W71&lt;100,W72+1&gt;=IF(OR('3-man'!$F$5=TRUE,'3-man'!$F$5="TRUE",'3-man'!$F$5="Yes"),25,50)),10,0)+IF('3-man'!X$18=$Q$76,25,0))</f>
        <v/>
      </c>
      <c r="Y70">
        <f>MIN(100,X71+IF(AND(X71&lt;100,X72+1&gt;=IF(OR('3-man'!$F$5=TRUE,'3-man'!$F$5="TRUE",'3-man'!$F$5="Yes"),25,50)),10,0)+IF('3-man'!Y$18=$Q$76,25,0))</f>
        <v/>
      </c>
      <c r="Z70">
        <f>MIN(100,Y71+IF(AND(Y71&lt;100,Y72+1&gt;=IF(OR('3-man'!$F$5=TRUE,'3-man'!$F$5="TRUE",'3-man'!$F$5="Yes"),25,50)),10,0)+IF('3-man'!Z$18=$Q$76,25,0))</f>
        <v/>
      </c>
      <c r="AA70">
        <f>MIN(100,Z71+IF(AND(Z71&lt;100,Z72+1&gt;=IF(OR('3-man'!$F$5=TRUE,'3-man'!$F$5="TRUE",'3-man'!$F$5="Yes"),25,50)),10,0)+IF('3-man'!AA$18=$Q$76,25,0))</f>
        <v/>
      </c>
      <c r="AB70">
        <f>MIN(100,AA71+IF(AND(AA71&lt;100,AA72+1&gt;=IF(OR('3-man'!$F$5=TRUE,'3-man'!$F$5="TRUE",'3-man'!$F$5="Yes"),25,50)),10,0)+IF('3-man'!AB$18=$Q$76,25,0))</f>
        <v/>
      </c>
      <c r="AC70">
        <f>MIN(100,AB71+IF(AND(AB71&lt;100,AB72+1&gt;=IF(OR('3-man'!$F$5=TRUE,'3-man'!$F$5="TRUE",'3-man'!$F$5="Yes"),25,50)),10,0)+IF('3-man'!AC$18=$Q$76,25,0))</f>
        <v/>
      </c>
      <c r="AD70">
        <f>MIN(100,AC71+IF(AND(AC71&lt;100,AC72+1&gt;=IF(OR('3-man'!$F$5=TRUE,'3-man'!$F$5="TRUE",'3-man'!$F$5="Yes"),25,50)),10,0)+IF('3-man'!AD$18=$Q$76,25,0))</f>
        <v/>
      </c>
      <c r="AE70">
        <f>MIN(100,AD71+IF(AND(AD71&lt;100,AD72+1&gt;=IF(OR('3-man'!$F$5=TRUE,'3-man'!$F$5="TRUE",'3-man'!$F$5="Yes"),25,50)),10,0)+IF('3-man'!AE$18=$Q$76,25,0))</f>
        <v/>
      </c>
      <c r="AF70">
        <f>MIN(100,AE71+IF(AND(AE71&lt;100,AE72+1&gt;=IF(OR('3-man'!$F$5=TRUE,'3-man'!$F$5="TRUE",'3-man'!$F$5="Yes"),25,50)),10,0)+IF('3-man'!AF$18=$Q$76,25,0))</f>
        <v/>
      </c>
      <c r="AG70">
        <f>MIN(100,AF71+IF(AND(AF71&lt;100,AF72+1&gt;=IF(OR('3-man'!$F$5=TRUE,'3-man'!$F$5="TRUE",'3-man'!$F$5="Yes"),25,50)),10,0)+IF('3-man'!AG$18=$Q$76,25,0))</f>
        <v/>
      </c>
      <c r="AH70">
        <f>MIN(100,AG71+IF(AND(AG71&lt;100,AG72+1&gt;=IF(OR('3-man'!$F$5=TRUE,'3-man'!$F$5="TRUE",'3-man'!$F$5="Yes"),25,50)),10,0)+IF('3-man'!AH$18=$Q$76,25,0))</f>
        <v/>
      </c>
      <c r="AI70">
        <f>MIN(100,AH71+IF(AND(AH71&lt;100,AH72+1&gt;=IF(OR('3-man'!$F$5=TRUE,'3-man'!$F$5="TRUE",'3-man'!$F$5="Yes"),25,50)),10,0)+IF('3-man'!AI$18=$Q$76,25,0))</f>
        <v/>
      </c>
      <c r="AJ70">
        <f>MIN(100,AI71+IF(AND(AI71&lt;100,AI72+1&gt;=IF(OR('3-man'!$F$5=TRUE,'3-man'!$F$5="TRUE",'3-man'!$F$5="Yes"),25,50)),10,0)+IF('3-man'!AJ$18=$Q$76,25,0))</f>
        <v/>
      </c>
      <c r="AK70">
        <f>MIN(100,AJ71+IF(AND(AJ71&lt;100,AJ72+1&gt;=IF(OR('3-man'!$F$5=TRUE,'3-man'!$F$5="TRUE",'3-man'!$F$5="Yes"),25,50)),10,0)+IF('3-man'!AK$18=$Q$76,25,0))</f>
        <v/>
      </c>
      <c r="AL70">
        <f>MIN(100,AK71+IF(AND(AK71&lt;100,AK72+1&gt;=IF(OR('3-man'!$F$5=TRUE,'3-man'!$F$5="TRUE",'3-man'!$F$5="Yes"),25,50)),10,0)+IF('3-man'!AL$18=$Q$76,25,0))</f>
        <v/>
      </c>
      <c r="AM70">
        <f>MIN(100,AL71+IF(AND(AL71&lt;100,AL72+1&gt;=IF(OR('3-man'!$F$5=TRUE,'3-man'!$F$5="TRUE",'3-man'!$F$5="Yes"),25,50)),10,0)+IF('3-man'!AM$18=$Q$76,25,0))</f>
        <v/>
      </c>
      <c r="AN70">
        <f>MIN(100,AM71+IF(AND(AM71&lt;100,AM72+1&gt;=IF(OR('3-man'!$F$5=TRUE,'3-man'!$F$5="TRUE",'3-man'!$F$5="Yes"),25,50)),10,0)+IF('3-man'!AN$18=$Q$76,25,0))</f>
        <v/>
      </c>
      <c r="AO70">
        <f>MIN(100,AN71+IF(AND(AN71&lt;100,AN72+1&gt;=IF(OR('3-man'!$F$5=TRUE,'3-man'!$F$5="TRUE",'3-man'!$F$5="Yes"),25,50)),10,0)+IF('3-man'!AO$18=$Q$76,25,0))</f>
        <v/>
      </c>
      <c r="AP70">
        <f>MIN(100,AO71+IF(AND(AO71&lt;100,AO72+1&gt;=IF(OR('3-man'!$F$5=TRUE,'3-man'!$F$5="TRUE",'3-man'!$F$5="Yes"),25,50)),10,0)+IF('3-man'!AP$18=$Q$76,25,0))</f>
        <v/>
      </c>
      <c r="AQ70">
        <f>MIN(100,AP71+IF(AND(AP71&lt;100,AP72+1&gt;=IF(OR('3-man'!$F$5=TRUE,'3-man'!$F$5="TRUE",'3-man'!$F$5="Yes"),25,50)),10,0)+IF('3-man'!AQ$18=$Q$76,25,0))</f>
        <v/>
      </c>
      <c r="AR70">
        <f>MIN(100,AQ71+IF(AND(AQ71&lt;100,AQ72+1&gt;=IF(OR('3-man'!$F$5=TRUE,'3-man'!$F$5="TRUE",'3-man'!$F$5="Yes"),25,50)),10,0)+IF('3-man'!AR$18=$Q$76,25,0))</f>
        <v/>
      </c>
      <c r="AS70">
        <f>MIN(100,AR71+IF(AND(AR71&lt;100,AR72+1&gt;=IF(OR('3-man'!$F$5=TRUE,'3-man'!$F$5="TRUE",'3-man'!$F$5="Yes"),25,50)),10,0)+IF('3-man'!AS$18=$Q$76,25,0))</f>
        <v/>
      </c>
      <c r="AT70">
        <f>MIN(100,AS71+IF(AND(AS71&lt;100,AS72+1&gt;=IF(OR('3-man'!$F$5=TRUE,'3-man'!$F$5="TRUE",'3-man'!$F$5="Yes"),25,50)),10,0)+IF('3-man'!AT$18=$Q$76,25,0))</f>
        <v/>
      </c>
      <c r="AU70">
        <f>MIN(100,AT71+IF(AND(AT71&lt;100,AT72+1&gt;=IF(OR('3-man'!$F$5=TRUE,'3-man'!$F$5="TRUE",'3-man'!$F$5="Yes"),25,50)),10,0)+IF('3-man'!AU$18=$Q$76,25,0))</f>
        <v/>
      </c>
      <c r="AV70">
        <f>MIN(100,AU71+IF(AND(AU71&lt;100,AU72+1&gt;=IF(OR('3-man'!$F$5=TRUE,'3-man'!$F$5="TRUE",'3-man'!$F$5="Yes"),25,50)),10,0)+IF('3-man'!AV$18=$Q$76,25,0))</f>
        <v/>
      </c>
      <c r="AW70">
        <f>MIN(100,AV71+IF(AND(AV71&lt;100,AV72+1&gt;=IF(OR('3-man'!$F$5=TRUE,'3-man'!$F$5="TRUE",'3-man'!$F$5="Yes"),25,50)),10,0)+IF('3-man'!AW$18=$Q$76,25,0))</f>
        <v/>
      </c>
      <c r="AX70">
        <f>MIN(100,AW71+IF(AND(AW71&lt;100,AW72+1&gt;=IF(OR('3-man'!$F$5=TRUE,'3-man'!$F$5="TRUE",'3-man'!$F$5="Yes"),25,50)),10,0)+IF('3-man'!AX$18=$Q$76,25,0))</f>
        <v/>
      </c>
      <c r="AY70">
        <f>MIN(100,AX71+IF(AND(AX71&lt;100,AX72+1&gt;=IF(OR('3-man'!$F$5=TRUE,'3-man'!$F$5="TRUE",'3-man'!$F$5="Yes"),25,50)),10,0)+IF('3-man'!AY$18=$Q$76,25,0))</f>
        <v/>
      </c>
      <c r="AZ70">
        <f>MIN(100,AY71+IF(AND(AY71&lt;100,AY72+1&gt;=IF(OR('3-man'!$F$5=TRUE,'3-man'!$F$5="TRUE",'3-man'!$F$5="Yes"),25,50)),10,0)+IF('3-man'!AZ$18=$Q$76,25,0))</f>
        <v/>
      </c>
      <c r="BA70">
        <f>MIN(100,AZ71+IF(AND(AZ71&lt;100,AZ72+1&gt;=IF(OR('3-man'!$F$5=TRUE,'3-man'!$F$5="TRUE",'3-man'!$F$5="Yes"),25,50)),10,0)+IF('3-man'!BA$18=$Q$76,25,0))</f>
        <v/>
      </c>
      <c r="BB70">
        <f>MIN(100,BA71+IF(AND(BA71&lt;100,BA72+1&gt;=IF(OR('3-man'!$F$5=TRUE,'3-man'!$F$5="TRUE",'3-man'!$F$5="Yes"),25,50)),10,0)+IF('3-man'!BB$18=$Q$76,25,0))</f>
        <v/>
      </c>
      <c r="BC70">
        <f>MIN(100,BB71+IF(AND(BB71&lt;100,BB72+1&gt;=IF(OR('3-man'!$F$5=TRUE,'3-man'!$F$5="TRUE",'3-man'!$F$5="Yes"),25,50)),10,0)+IF('3-man'!BC$18=$Q$76,25,0))</f>
        <v/>
      </c>
      <c r="BD70">
        <f>MIN(100,BC71+IF(AND(BC71&lt;100,BC72+1&gt;=IF(OR('3-man'!$F$5=TRUE,'3-man'!$F$5="TRUE",'3-man'!$F$5="Yes"),25,50)),10,0)+IF('3-man'!BD$18=$Q$76,25,0))</f>
        <v/>
      </c>
      <c r="BE70">
        <f>MIN(100,BD71+IF(AND(BD71&lt;100,BD72+1&gt;=IF(OR('3-man'!$F$5=TRUE,'3-man'!$F$5="TRUE",'3-man'!$F$5="Yes"),25,50)),10,0)+IF('3-man'!BE$18=$Q$76,25,0))</f>
        <v/>
      </c>
      <c r="BF70">
        <f>MIN(100,BE71+IF(AND(BE71&lt;100,BE72+1&gt;=IF(OR('3-man'!$F$5=TRUE,'3-man'!$F$5="TRUE",'3-man'!$F$5="Yes"),25,50)),10,0)+IF('3-man'!BF$18=$Q$76,25,0))</f>
        <v/>
      </c>
      <c r="BG70">
        <f>MIN(100,BF71+IF(AND(BF71&lt;100,BF72+1&gt;=IF(OR('3-man'!$F$5=TRUE,'3-man'!$F$5="TRUE",'3-man'!$F$5="Yes"),25,50)),10,0)+IF('3-man'!BG$18=$Q$76,25,0))</f>
        <v/>
      </c>
      <c r="BH70">
        <f>MIN(100,BG71+IF(AND(BG71&lt;100,BG72+1&gt;=IF(OR('3-man'!$F$5=TRUE,'3-man'!$F$5="TRUE",'3-man'!$F$5="Yes"),25,50)),10,0)+IF('3-man'!BH$18=$Q$76,25,0))</f>
        <v/>
      </c>
      <c r="BI70">
        <f>MIN(100,BH71+IF(AND(BH71&lt;100,BH72+1&gt;=IF(OR('3-man'!$F$5=TRUE,'3-man'!$F$5="TRUE",'3-man'!$F$5="Yes"),25,50)),10,0)+IF('3-man'!BI$18=$Q$76,25,0))</f>
        <v/>
      </c>
      <c r="BJ70">
        <f>MIN(100,BI71+IF(AND(BI71&lt;100,BI72+1&gt;=IF(OR('3-man'!$F$5=TRUE,'3-man'!$F$5="TRUE",'3-man'!$F$5="Yes"),25,50)),10,0)+IF('3-man'!BJ$18=$Q$76,25,0))</f>
        <v/>
      </c>
      <c r="BK70">
        <f>MIN(100,BJ71+IF(AND(BJ71&lt;100,BJ72+1&gt;=IF(OR('3-man'!$F$5=TRUE,'3-man'!$F$5="TRUE",'3-man'!$F$5="Yes"),25,50)),10,0)+IF('3-man'!BK$18=$Q$76,25,0))</f>
        <v/>
      </c>
      <c r="BL70">
        <f>MIN(100,BK71+IF(AND(BK71&lt;100,BK72+1&gt;=IF(OR('3-man'!$F$5=TRUE,'3-man'!$F$5="TRUE",'3-man'!$F$5="Yes"),25,50)),10,0)+IF('3-man'!BL$18=$Q$76,25,0))</f>
        <v/>
      </c>
      <c r="BM70">
        <f>MIN(100,BL71+IF(AND(BL71&lt;100,BL72+1&gt;=IF(OR('3-man'!$F$5=TRUE,'3-man'!$F$5="TRUE",'3-man'!$F$5="Yes"),25,50)),10,0)+IF('3-man'!BM$18=$Q$76,25,0))</f>
        <v/>
      </c>
      <c r="BN70">
        <f>MIN(100,BM71+IF(AND(BM71&lt;100,BM72+1&gt;=IF(OR('3-man'!$F$5=TRUE,'3-man'!$F$5="TRUE",'3-man'!$F$5="Yes"),25,50)),10,0)+IF('3-man'!BN$18=$Q$76,25,0))</f>
        <v/>
      </c>
      <c r="BO70">
        <f>MIN(100,BN71+IF(AND(BN71&lt;100,BN72+1&gt;=IF(OR('3-man'!$F$5=TRUE,'3-man'!$F$5="TRUE",'3-man'!$F$5="Yes"),25,50)),10,0)+IF('3-man'!BO$18=$Q$76,25,0))</f>
        <v/>
      </c>
      <c r="BP70">
        <f>MIN(100,BO71+IF(AND(BO71&lt;100,BO72+1&gt;=IF(OR('3-man'!$F$5=TRUE,'3-man'!$F$5="TRUE",'3-man'!$F$5="Yes"),25,50)),10,0)+IF('3-man'!BP$18=$Q$76,25,0))</f>
        <v/>
      </c>
      <c r="BQ70">
        <f>MIN(100,BP71+IF(AND(BP71&lt;100,BP72+1&gt;=IF(OR('3-man'!$F$5=TRUE,'3-man'!$F$5="TRUE",'3-man'!$F$5="Yes"),25,50)),10,0)+IF('3-man'!BQ$18=$Q$76,25,0))</f>
        <v/>
      </c>
      <c r="BR70">
        <f>MIN(100,BQ71+IF(AND(BQ71&lt;100,BQ72+1&gt;=IF(OR('3-man'!$F$5=TRUE,'3-man'!$F$5="TRUE",'3-man'!$F$5="Yes"),25,50)),10,0)+IF('3-man'!BR$18=$Q$76,25,0))</f>
        <v/>
      </c>
      <c r="BS70">
        <f>MIN(100,BR71+IF(AND(BR71&lt;100,BR72+1&gt;=IF(OR('3-man'!$F$5=TRUE,'3-man'!$F$5="TRUE",'3-man'!$F$5="Yes"),25,50)),10,0)+IF('3-man'!BS$18=$Q$76,25,0))</f>
        <v/>
      </c>
      <c r="BT70">
        <f>MIN(100,BS71+IF(AND(BS71&lt;100,BS72+1&gt;=IF(OR('3-man'!$F$5=TRUE,'3-man'!$F$5="TRUE",'3-man'!$F$5="Yes"),25,50)),10,0)+IF('3-man'!BT$18=$Q$76,25,0))</f>
        <v/>
      </c>
      <c r="BU70">
        <f>MIN(100,BT71+IF(AND(BT71&lt;100,BT72+1&gt;=IF(OR('3-man'!$F$5=TRUE,'3-man'!$F$5="TRUE",'3-man'!$F$5="Yes"),25,50)),10,0)+IF('3-man'!BU$18=$Q$76,25,0))</f>
        <v/>
      </c>
      <c r="BV70">
        <f>MIN(100,BU71+IF(AND(BU71&lt;100,BU72+1&gt;=IF(OR('3-man'!$F$5=TRUE,'3-man'!$F$5="TRUE",'3-man'!$F$5="Yes"),25,50)),10,0)+IF('3-man'!BV$18=$Q$76,25,0))</f>
        <v/>
      </c>
      <c r="BW70">
        <f>MIN(100,BV71+IF(AND(BV71&lt;100,BV72+1&gt;=IF(OR('3-man'!$F$5=TRUE,'3-man'!$F$5="TRUE",'3-man'!$F$5="Yes"),25,50)),10,0)+IF('3-man'!BW$18=$Q$76,25,0))</f>
        <v/>
      </c>
      <c r="BX70">
        <f>MIN(100,BW71+IF(AND(BW71&lt;100,BW72+1&gt;=IF(OR('3-man'!$F$5=TRUE,'3-man'!$F$5="TRUE",'3-man'!$F$5="Yes"),25,50)),10,0)+IF('3-man'!BX$18=$Q$76,25,0))</f>
        <v/>
      </c>
      <c r="BY70">
        <f>MIN(100,BX71+IF(AND(BX71&lt;100,BX72+1&gt;=IF(OR('3-man'!$F$5=TRUE,'3-man'!$F$5="TRUE",'3-man'!$F$5="Yes"),25,50)),10,0)+IF('3-man'!BY$18=$Q$76,25,0))</f>
        <v/>
      </c>
      <c r="BZ70">
        <f>MIN(100,BY71+IF(AND(BY71&lt;100,BY72+1&gt;=IF(OR('3-man'!$F$5=TRUE,'3-man'!$F$5="TRUE",'3-man'!$F$5="Yes"),25,50)),10,0)+IF('3-man'!BZ$18=$Q$76,25,0))</f>
        <v/>
      </c>
      <c r="CA70">
        <f>MIN(100,BZ71+IF(AND(BZ71&lt;100,BZ72+1&gt;=IF(OR('3-man'!$F$5=TRUE,'3-man'!$F$5="TRUE",'3-man'!$F$5="Yes"),25,50)),10,0)+IF('3-man'!CA$18=$Q$76,25,0))</f>
        <v/>
      </c>
      <c r="CB70">
        <f>MIN(100,CA71+IF(AND(CA71&lt;100,CA72+1&gt;=IF(OR('3-man'!$F$5=TRUE,'3-man'!$F$5="TRUE",'3-man'!$F$5="Yes"),25,50)),10,0)+IF('3-man'!CB$18=$Q$76,25,0))</f>
        <v/>
      </c>
      <c r="CC70">
        <f>MIN(100,CB71+IF(AND(CB71&lt;100,CB72+1&gt;=IF(OR('3-man'!$F$5=TRUE,'3-man'!$F$5="TRUE",'3-man'!$F$5="Yes"),25,50)),10,0)+IF('3-man'!CC$18=$Q$76,25,0))</f>
        <v/>
      </c>
      <c r="CD70">
        <f>MIN(100,CC71+IF(AND(CC71&lt;100,CC72+1&gt;=IF(OR('3-man'!$F$5=TRUE,'3-man'!$F$5="TRUE",'3-man'!$F$5="Yes"),25,50)),10,0)+IF('3-man'!CD$18=$Q$76,25,0))</f>
        <v/>
      </c>
    </row>
    <row r="71">
      <c r="A71" t="inlineStr">
        <is>
          <t>P2 spec</t>
        </is>
      </c>
      <c r="B71">
        <f>IF('3-man'!$C$5="",100,'3-man'!$C$5)</f>
        <v/>
      </c>
      <c r="C71">
        <f>IF('3-man'!C$20="R",MIN(100,C70+10),IF('3-man'!C$20="P",MIN(100,C70+25),IF(AND('3-man'!C$20="D",C70&gt;=35,'3-man'!C$18&lt;=IF('3-man'!$BF$4="",999,'3-man'!$BF$4)),C70-35,IF(AND(LEFT('3-man'!C$20,3)="ST&gt;",C70&gt;=100,'3-man'!C$18&lt;=IF('3-man'!$BF$4="",999,'3-man'!$BF$4)),0,IF(AND(OR(AND('3-man'!C$19="ST&gt;2",C62&gt;=100),AND('3-man'!C$21="ST&gt;2",C78&gt;=100)),'3-man'!C$18&lt;=IF('3-man'!$BF$4="",999,'3-man'!$BF$4)),100,C70)))))</f>
        <v/>
      </c>
      <c r="D71">
        <f>IF('3-man'!D$20="R",MIN(100,D70+10),IF('3-man'!D$20="P",MIN(100,D70+25),IF(AND('3-man'!D$20="D",D70&gt;=35,'3-man'!D$18&lt;=IF('3-man'!$BF$4="",999,'3-man'!$BF$4)),D70-35,IF(AND(LEFT('3-man'!D$20,3)="ST&gt;",D70&gt;=100,'3-man'!D$18&lt;=IF('3-man'!$BF$4="",999,'3-man'!$BF$4)),0,IF(AND(OR(AND('3-man'!D$19="ST&gt;2",D62&gt;=100),AND('3-man'!D$21="ST&gt;2",D78&gt;=100)),'3-man'!D$18&lt;=IF('3-man'!$BF$4="",999,'3-man'!$BF$4)),100,D70)))))</f>
        <v/>
      </c>
      <c r="E71">
        <f>IF('3-man'!E$20="R",MIN(100,E70+10),IF('3-man'!E$20="P",MIN(100,E70+25),IF(AND('3-man'!E$20="D",E70&gt;=35,'3-man'!E$18&lt;=IF('3-man'!$BF$4="",999,'3-man'!$BF$4)),E70-35,IF(AND(LEFT('3-man'!E$20,3)="ST&gt;",E70&gt;=100,'3-man'!E$18&lt;=IF('3-man'!$BF$4="",999,'3-man'!$BF$4)),0,IF(AND(OR(AND('3-man'!E$19="ST&gt;2",E62&gt;=100),AND('3-man'!E$21="ST&gt;2",E78&gt;=100)),'3-man'!E$18&lt;=IF('3-man'!$BF$4="",999,'3-man'!$BF$4)),100,E70)))))</f>
        <v/>
      </c>
      <c r="F71">
        <f>IF('3-man'!F$20="R",MIN(100,F70+10),IF('3-man'!F$20="P",MIN(100,F70+25),IF(AND('3-man'!F$20="D",F70&gt;=35,'3-man'!F$18&lt;=IF('3-man'!$BF$4="",999,'3-man'!$BF$4)),F70-35,IF(AND(LEFT('3-man'!F$20,3)="ST&gt;",F70&gt;=100,'3-man'!F$18&lt;=IF('3-man'!$BF$4="",999,'3-man'!$BF$4)),0,IF(AND(OR(AND('3-man'!F$19="ST&gt;2",F62&gt;=100),AND('3-man'!F$21="ST&gt;2",F78&gt;=100)),'3-man'!F$18&lt;=IF('3-man'!$BF$4="",999,'3-man'!$BF$4)),100,F70)))))</f>
        <v/>
      </c>
      <c r="G71">
        <f>IF('3-man'!G$20="R",MIN(100,G70+10),IF('3-man'!G$20="P",MIN(100,G70+25),IF(AND('3-man'!G$20="D",G70&gt;=35,'3-man'!G$18&lt;=IF('3-man'!$BF$4="",999,'3-man'!$BF$4)),G70-35,IF(AND(LEFT('3-man'!G$20,3)="ST&gt;",G70&gt;=100,'3-man'!G$18&lt;=IF('3-man'!$BF$4="",999,'3-man'!$BF$4)),0,IF(AND(OR(AND('3-man'!G$19="ST&gt;2",G62&gt;=100),AND('3-man'!G$21="ST&gt;2",G78&gt;=100)),'3-man'!G$18&lt;=IF('3-man'!$BF$4="",999,'3-man'!$BF$4)),100,G70)))))</f>
        <v/>
      </c>
      <c r="H71">
        <f>IF('3-man'!H$20="R",MIN(100,H70+10),IF('3-man'!H$20="P",MIN(100,H70+25),IF(AND('3-man'!H$20="D",H70&gt;=35,'3-man'!H$18&lt;=IF('3-man'!$BF$4="",999,'3-man'!$BF$4)),H70-35,IF(AND(LEFT('3-man'!H$20,3)="ST&gt;",H70&gt;=100,'3-man'!H$18&lt;=IF('3-man'!$BF$4="",999,'3-man'!$BF$4)),0,IF(AND(OR(AND('3-man'!H$19="ST&gt;2",H62&gt;=100),AND('3-man'!H$21="ST&gt;2",H78&gt;=100)),'3-man'!H$18&lt;=IF('3-man'!$BF$4="",999,'3-man'!$BF$4)),100,H70)))))</f>
        <v/>
      </c>
      <c r="I71">
        <f>IF('3-man'!I$20="R",MIN(100,I70+10),IF('3-man'!I$20="P",MIN(100,I70+25),IF(AND('3-man'!I$20="D",I70&gt;=35,'3-man'!I$18&lt;=IF('3-man'!$BF$4="",999,'3-man'!$BF$4)),I70-35,IF(AND(LEFT('3-man'!I$20,3)="ST&gt;",I70&gt;=100,'3-man'!I$18&lt;=IF('3-man'!$BF$4="",999,'3-man'!$BF$4)),0,IF(AND(OR(AND('3-man'!I$19="ST&gt;2",I62&gt;=100),AND('3-man'!I$21="ST&gt;2",I78&gt;=100)),'3-man'!I$18&lt;=IF('3-man'!$BF$4="",999,'3-man'!$BF$4)),100,I70)))))</f>
        <v/>
      </c>
      <c r="J71">
        <f>IF('3-man'!J$20="R",MIN(100,J70+10),IF('3-man'!J$20="P",MIN(100,J70+25),IF(AND('3-man'!J$20="D",J70&gt;=35,'3-man'!J$18&lt;=IF('3-man'!$BF$4="",999,'3-man'!$BF$4)),J70-35,IF(AND(LEFT('3-man'!J$20,3)="ST&gt;",J70&gt;=100,'3-man'!J$18&lt;=IF('3-man'!$BF$4="",999,'3-man'!$BF$4)),0,IF(AND(OR(AND('3-man'!J$19="ST&gt;2",J62&gt;=100),AND('3-man'!J$21="ST&gt;2",J78&gt;=100)),'3-man'!J$18&lt;=IF('3-man'!$BF$4="",999,'3-man'!$BF$4)),100,J70)))))</f>
        <v/>
      </c>
      <c r="K71">
        <f>IF('3-man'!K$20="R",MIN(100,K70+10),IF('3-man'!K$20="P",MIN(100,K70+25),IF(AND('3-man'!K$20="D",K70&gt;=35,'3-man'!K$18&lt;=IF('3-man'!$BF$4="",999,'3-man'!$BF$4)),K70-35,IF(AND(LEFT('3-man'!K$20,3)="ST&gt;",K70&gt;=100,'3-man'!K$18&lt;=IF('3-man'!$BF$4="",999,'3-man'!$BF$4)),0,IF(AND(OR(AND('3-man'!K$19="ST&gt;2",K62&gt;=100),AND('3-man'!K$21="ST&gt;2",K78&gt;=100)),'3-man'!K$18&lt;=IF('3-man'!$BF$4="",999,'3-man'!$BF$4)),100,K70)))))</f>
        <v/>
      </c>
      <c r="L71">
        <f>IF('3-man'!L$20="R",MIN(100,L70+10),IF('3-man'!L$20="P",MIN(100,L70+25),IF(AND('3-man'!L$20="D",L70&gt;=35,'3-man'!L$18&lt;=IF('3-man'!$BF$4="",999,'3-man'!$BF$4)),L70-35,IF(AND(LEFT('3-man'!L$20,3)="ST&gt;",L70&gt;=100,'3-man'!L$18&lt;=IF('3-man'!$BF$4="",999,'3-man'!$BF$4)),0,IF(AND(OR(AND('3-man'!L$19="ST&gt;2",L62&gt;=100),AND('3-man'!L$21="ST&gt;2",L78&gt;=100)),'3-man'!L$18&lt;=IF('3-man'!$BF$4="",999,'3-man'!$BF$4)),100,L70)))))</f>
        <v/>
      </c>
      <c r="M71">
        <f>IF('3-man'!M$20="R",MIN(100,M70+10),IF('3-man'!M$20="P",MIN(100,M70+25),IF(AND('3-man'!M$20="D",M70&gt;=35,'3-man'!M$18&lt;=IF('3-man'!$BF$4="",999,'3-man'!$BF$4)),M70-35,IF(AND(LEFT('3-man'!M$20,3)="ST&gt;",M70&gt;=100,'3-man'!M$18&lt;=IF('3-man'!$BF$4="",999,'3-man'!$BF$4)),0,IF(AND(OR(AND('3-man'!M$19="ST&gt;2",M62&gt;=100),AND('3-man'!M$21="ST&gt;2",M78&gt;=100)),'3-man'!M$18&lt;=IF('3-man'!$BF$4="",999,'3-man'!$BF$4)),100,M70)))))</f>
        <v/>
      </c>
      <c r="N71">
        <f>IF('3-man'!N$20="R",MIN(100,N70+10),IF('3-man'!N$20="P",MIN(100,N70+25),IF(AND('3-man'!N$20="D",N70&gt;=35,'3-man'!N$18&lt;=IF('3-man'!$BF$4="",999,'3-man'!$BF$4)),N70-35,IF(AND(LEFT('3-man'!N$20,3)="ST&gt;",N70&gt;=100,'3-man'!N$18&lt;=IF('3-man'!$BF$4="",999,'3-man'!$BF$4)),0,IF(AND(OR(AND('3-man'!N$19="ST&gt;2",N62&gt;=100),AND('3-man'!N$21="ST&gt;2",N78&gt;=100)),'3-man'!N$18&lt;=IF('3-man'!$BF$4="",999,'3-man'!$BF$4)),100,N70)))))</f>
        <v/>
      </c>
      <c r="O71">
        <f>IF('3-man'!O$20="R",MIN(100,O70+10),IF('3-man'!O$20="P",MIN(100,O70+25),IF(AND('3-man'!O$20="D",O70&gt;=35,'3-man'!O$18&lt;=IF('3-man'!$BF$4="",999,'3-man'!$BF$4)),O70-35,IF(AND(LEFT('3-man'!O$20,3)="ST&gt;",O70&gt;=100,'3-man'!O$18&lt;=IF('3-man'!$BF$4="",999,'3-man'!$BF$4)),0,IF(AND(OR(AND('3-man'!O$19="ST&gt;2",O62&gt;=100),AND('3-man'!O$21="ST&gt;2",O78&gt;=100)),'3-man'!O$18&lt;=IF('3-man'!$BF$4="",999,'3-man'!$BF$4)),100,O70)))))</f>
        <v/>
      </c>
      <c r="P71">
        <f>IF('3-man'!P$20="R",MIN(100,P70+10),IF('3-man'!P$20="P",MIN(100,P70+25),IF(AND('3-man'!P$20="D",P70&gt;=35,'3-man'!P$18&lt;=IF('3-man'!$BF$4="",999,'3-man'!$BF$4)),P70-35,IF(AND(LEFT('3-man'!P$20,3)="ST&gt;",P70&gt;=100,'3-man'!P$18&lt;=IF('3-man'!$BF$4="",999,'3-man'!$BF$4)),0,IF(AND(OR(AND('3-man'!P$19="ST&gt;2",P62&gt;=100),AND('3-man'!P$21="ST&gt;2",P78&gt;=100)),'3-man'!P$18&lt;=IF('3-man'!$BF$4="",999,'3-man'!$BF$4)),100,P70)))))</f>
        <v/>
      </c>
      <c r="Q71">
        <f>IF('3-man'!Q$20="R",MIN(100,Q70+10),IF('3-man'!Q$20="P",MIN(100,Q70+25),IF(AND('3-man'!Q$20="D",Q70&gt;=35,'3-man'!Q$18&lt;=IF('3-man'!$BF$4="",999,'3-man'!$BF$4)),Q70-35,IF(AND(LEFT('3-man'!Q$20,3)="ST&gt;",Q70&gt;=100,'3-man'!Q$18&lt;=IF('3-man'!$BF$4="",999,'3-man'!$BF$4)),0,IF(AND(OR(AND('3-man'!Q$19="ST&gt;2",Q62&gt;=100),AND('3-man'!Q$21="ST&gt;2",Q78&gt;=100)),'3-man'!Q$18&lt;=IF('3-man'!$BF$4="",999,'3-man'!$BF$4)),100,Q70)))))</f>
        <v/>
      </c>
      <c r="R71">
        <f>IF('3-man'!R$20="R",MIN(100,R70+10),IF('3-man'!R$20="P",MIN(100,R70+25),IF(AND('3-man'!R$20="D",R70&gt;=35,'3-man'!R$18&lt;=IF('3-man'!$BF$4="",999,'3-man'!$BF$4)),R70-35,IF(AND(LEFT('3-man'!R$20,3)="ST&gt;",R70&gt;=100,'3-man'!R$18&lt;=IF('3-man'!$BF$4="",999,'3-man'!$BF$4)),0,IF(AND(OR(AND('3-man'!R$19="ST&gt;2",R62&gt;=100),AND('3-man'!R$21="ST&gt;2",R78&gt;=100)),'3-man'!R$18&lt;=IF('3-man'!$BF$4="",999,'3-man'!$BF$4)),100,R70)))))</f>
        <v/>
      </c>
      <c r="S71">
        <f>IF('3-man'!S$20="R",MIN(100,S70+10),IF('3-man'!S$20="P",MIN(100,S70+25),IF(AND('3-man'!S$20="D",S70&gt;=35,'3-man'!S$18&lt;=IF('3-man'!$BF$4="",999,'3-man'!$BF$4)),S70-35,IF(AND(LEFT('3-man'!S$20,3)="ST&gt;",S70&gt;=100,'3-man'!S$18&lt;=IF('3-man'!$BF$4="",999,'3-man'!$BF$4)),0,IF(AND(OR(AND('3-man'!S$19="ST&gt;2",S62&gt;=100),AND('3-man'!S$21="ST&gt;2",S78&gt;=100)),'3-man'!S$18&lt;=IF('3-man'!$BF$4="",999,'3-man'!$BF$4)),100,S70)))))</f>
        <v/>
      </c>
      <c r="T71">
        <f>IF('3-man'!T$20="R",MIN(100,T70+10),IF('3-man'!T$20="P",MIN(100,T70+25),IF(AND('3-man'!T$20="D",T70&gt;=35,'3-man'!T$18&lt;=IF('3-man'!$BF$4="",999,'3-man'!$BF$4)),T70-35,IF(AND(LEFT('3-man'!T$20,3)="ST&gt;",T70&gt;=100,'3-man'!T$18&lt;=IF('3-man'!$BF$4="",999,'3-man'!$BF$4)),0,IF(AND(OR(AND('3-man'!T$19="ST&gt;2",T62&gt;=100),AND('3-man'!T$21="ST&gt;2",T78&gt;=100)),'3-man'!T$18&lt;=IF('3-man'!$BF$4="",999,'3-man'!$BF$4)),100,T70)))))</f>
        <v/>
      </c>
      <c r="U71">
        <f>IF('3-man'!U$20="R",MIN(100,U70+10),IF('3-man'!U$20="P",MIN(100,U70+25),IF(AND('3-man'!U$20="D",U70&gt;=35,'3-man'!U$18&lt;=IF('3-man'!$BF$4="",999,'3-man'!$BF$4)),U70-35,IF(AND(LEFT('3-man'!U$20,3)="ST&gt;",U70&gt;=100,'3-man'!U$18&lt;=IF('3-man'!$BF$4="",999,'3-man'!$BF$4)),0,IF(AND(OR(AND('3-man'!U$19="ST&gt;2",U62&gt;=100),AND('3-man'!U$21="ST&gt;2",U78&gt;=100)),'3-man'!U$18&lt;=IF('3-man'!$BF$4="",999,'3-man'!$BF$4)),100,U70)))))</f>
        <v/>
      </c>
      <c r="V71">
        <f>IF('3-man'!V$20="R",MIN(100,V70+10),IF('3-man'!V$20="P",MIN(100,V70+25),IF(AND('3-man'!V$20="D",V70&gt;=35,'3-man'!V$18&lt;=IF('3-man'!$BF$4="",999,'3-man'!$BF$4)),V70-35,IF(AND(LEFT('3-man'!V$20,3)="ST&gt;",V70&gt;=100,'3-man'!V$18&lt;=IF('3-man'!$BF$4="",999,'3-man'!$BF$4)),0,IF(AND(OR(AND('3-man'!V$19="ST&gt;2",V62&gt;=100),AND('3-man'!V$21="ST&gt;2",V78&gt;=100)),'3-man'!V$18&lt;=IF('3-man'!$BF$4="",999,'3-man'!$BF$4)),100,V70)))))</f>
        <v/>
      </c>
      <c r="W71">
        <f>IF('3-man'!W$20="R",MIN(100,W70+10),IF('3-man'!W$20="P",MIN(100,W70+25),IF(AND('3-man'!W$20="D",W70&gt;=35,'3-man'!W$18&lt;=IF('3-man'!$BF$4="",999,'3-man'!$BF$4)),W70-35,IF(AND(LEFT('3-man'!W$20,3)="ST&gt;",W70&gt;=100,'3-man'!W$18&lt;=IF('3-man'!$BF$4="",999,'3-man'!$BF$4)),0,IF(AND(OR(AND('3-man'!W$19="ST&gt;2",W62&gt;=100),AND('3-man'!W$21="ST&gt;2",W78&gt;=100)),'3-man'!W$18&lt;=IF('3-man'!$BF$4="",999,'3-man'!$BF$4)),100,W70)))))</f>
        <v/>
      </c>
      <c r="X71">
        <f>IF('3-man'!X$20="R",MIN(100,X70+10),IF('3-man'!X$20="P",MIN(100,X70+25),IF(AND('3-man'!X$20="D",X70&gt;=35,'3-man'!X$18&lt;=IF('3-man'!$BF$4="",999,'3-man'!$BF$4)),X70-35,IF(AND(LEFT('3-man'!X$20,3)="ST&gt;",X70&gt;=100,'3-man'!X$18&lt;=IF('3-man'!$BF$4="",999,'3-man'!$BF$4)),0,IF(AND(OR(AND('3-man'!X$19="ST&gt;2",X62&gt;=100),AND('3-man'!X$21="ST&gt;2",X78&gt;=100)),'3-man'!X$18&lt;=IF('3-man'!$BF$4="",999,'3-man'!$BF$4)),100,X70)))))</f>
        <v/>
      </c>
      <c r="Y71">
        <f>IF('3-man'!Y$20="R",MIN(100,Y70+10),IF('3-man'!Y$20="P",MIN(100,Y70+25),IF(AND('3-man'!Y$20="D",Y70&gt;=35,'3-man'!Y$18&lt;=IF('3-man'!$BF$4="",999,'3-man'!$BF$4)),Y70-35,IF(AND(LEFT('3-man'!Y$20,3)="ST&gt;",Y70&gt;=100,'3-man'!Y$18&lt;=IF('3-man'!$BF$4="",999,'3-man'!$BF$4)),0,IF(AND(OR(AND('3-man'!Y$19="ST&gt;2",Y62&gt;=100),AND('3-man'!Y$21="ST&gt;2",Y78&gt;=100)),'3-man'!Y$18&lt;=IF('3-man'!$BF$4="",999,'3-man'!$BF$4)),100,Y70)))))</f>
        <v/>
      </c>
      <c r="Z71">
        <f>IF('3-man'!Z$20="R",MIN(100,Z70+10),IF('3-man'!Z$20="P",MIN(100,Z70+25),IF(AND('3-man'!Z$20="D",Z70&gt;=35,'3-man'!Z$18&lt;=IF('3-man'!$BF$4="",999,'3-man'!$BF$4)),Z70-35,IF(AND(LEFT('3-man'!Z$20,3)="ST&gt;",Z70&gt;=100,'3-man'!Z$18&lt;=IF('3-man'!$BF$4="",999,'3-man'!$BF$4)),0,IF(AND(OR(AND('3-man'!Z$19="ST&gt;2",Z62&gt;=100),AND('3-man'!Z$21="ST&gt;2",Z78&gt;=100)),'3-man'!Z$18&lt;=IF('3-man'!$BF$4="",999,'3-man'!$BF$4)),100,Z70)))))</f>
        <v/>
      </c>
      <c r="AA71">
        <f>IF('3-man'!AA$20="R",MIN(100,AA70+10),IF('3-man'!AA$20="P",MIN(100,AA70+25),IF(AND('3-man'!AA$20="D",AA70&gt;=35,'3-man'!AA$18&lt;=IF('3-man'!$BF$4="",999,'3-man'!$BF$4)),AA70-35,IF(AND(LEFT('3-man'!AA$20,3)="ST&gt;",AA70&gt;=100,'3-man'!AA$18&lt;=IF('3-man'!$BF$4="",999,'3-man'!$BF$4)),0,IF(AND(OR(AND('3-man'!AA$19="ST&gt;2",AA62&gt;=100),AND('3-man'!AA$21="ST&gt;2",AA78&gt;=100)),'3-man'!AA$18&lt;=IF('3-man'!$BF$4="",999,'3-man'!$BF$4)),100,AA70)))))</f>
        <v/>
      </c>
      <c r="AB71">
        <f>IF('3-man'!AB$20="R",MIN(100,AB70+10),IF('3-man'!AB$20="P",MIN(100,AB70+25),IF(AND('3-man'!AB$20="D",AB70&gt;=35,'3-man'!AB$18&lt;=IF('3-man'!$BF$4="",999,'3-man'!$BF$4)),AB70-35,IF(AND(LEFT('3-man'!AB$20,3)="ST&gt;",AB70&gt;=100,'3-man'!AB$18&lt;=IF('3-man'!$BF$4="",999,'3-man'!$BF$4)),0,IF(AND(OR(AND('3-man'!AB$19="ST&gt;2",AB62&gt;=100),AND('3-man'!AB$21="ST&gt;2",AB78&gt;=100)),'3-man'!AB$18&lt;=IF('3-man'!$BF$4="",999,'3-man'!$BF$4)),100,AB70)))))</f>
        <v/>
      </c>
      <c r="AC71">
        <f>IF('3-man'!AC$20="R",MIN(100,AC70+10),IF('3-man'!AC$20="P",MIN(100,AC70+25),IF(AND('3-man'!AC$20="D",AC70&gt;=35,'3-man'!AC$18&lt;=IF('3-man'!$BF$4="",999,'3-man'!$BF$4)),AC70-35,IF(AND(LEFT('3-man'!AC$20,3)="ST&gt;",AC70&gt;=100,'3-man'!AC$18&lt;=IF('3-man'!$BF$4="",999,'3-man'!$BF$4)),0,IF(AND(OR(AND('3-man'!AC$19="ST&gt;2",AC62&gt;=100),AND('3-man'!AC$21="ST&gt;2",AC78&gt;=100)),'3-man'!AC$18&lt;=IF('3-man'!$BF$4="",999,'3-man'!$BF$4)),100,AC70)))))</f>
        <v/>
      </c>
      <c r="AD71">
        <f>IF('3-man'!AD$20="R",MIN(100,AD70+10),IF('3-man'!AD$20="P",MIN(100,AD70+25),IF(AND('3-man'!AD$20="D",AD70&gt;=35,'3-man'!AD$18&lt;=IF('3-man'!$BF$4="",999,'3-man'!$BF$4)),AD70-35,IF(AND(LEFT('3-man'!AD$20,3)="ST&gt;",AD70&gt;=100,'3-man'!AD$18&lt;=IF('3-man'!$BF$4="",999,'3-man'!$BF$4)),0,IF(AND(OR(AND('3-man'!AD$19="ST&gt;2",AD62&gt;=100),AND('3-man'!AD$21="ST&gt;2",AD78&gt;=100)),'3-man'!AD$18&lt;=IF('3-man'!$BF$4="",999,'3-man'!$BF$4)),100,AD70)))))</f>
        <v/>
      </c>
      <c r="AE71">
        <f>IF('3-man'!AE$20="R",MIN(100,AE70+10),IF('3-man'!AE$20="P",MIN(100,AE70+25),IF(AND('3-man'!AE$20="D",AE70&gt;=35,'3-man'!AE$18&lt;=IF('3-man'!$BF$4="",999,'3-man'!$BF$4)),AE70-35,IF(AND(LEFT('3-man'!AE$20,3)="ST&gt;",AE70&gt;=100,'3-man'!AE$18&lt;=IF('3-man'!$BF$4="",999,'3-man'!$BF$4)),0,IF(AND(OR(AND('3-man'!AE$19="ST&gt;2",AE62&gt;=100),AND('3-man'!AE$21="ST&gt;2",AE78&gt;=100)),'3-man'!AE$18&lt;=IF('3-man'!$BF$4="",999,'3-man'!$BF$4)),100,AE70)))))</f>
        <v/>
      </c>
      <c r="AF71">
        <f>IF('3-man'!AF$20="R",MIN(100,AF70+10),IF('3-man'!AF$20="P",MIN(100,AF70+25),IF(AND('3-man'!AF$20="D",AF70&gt;=35,'3-man'!AF$18&lt;=IF('3-man'!$BF$4="",999,'3-man'!$BF$4)),AF70-35,IF(AND(LEFT('3-man'!AF$20,3)="ST&gt;",AF70&gt;=100,'3-man'!AF$18&lt;=IF('3-man'!$BF$4="",999,'3-man'!$BF$4)),0,IF(AND(OR(AND('3-man'!AF$19="ST&gt;2",AF62&gt;=100),AND('3-man'!AF$21="ST&gt;2",AF78&gt;=100)),'3-man'!AF$18&lt;=IF('3-man'!$BF$4="",999,'3-man'!$BF$4)),100,AF70)))))</f>
        <v/>
      </c>
      <c r="AG71">
        <f>IF('3-man'!AG$20="R",MIN(100,AG70+10),IF('3-man'!AG$20="P",MIN(100,AG70+25),IF(AND('3-man'!AG$20="D",AG70&gt;=35,'3-man'!AG$18&lt;=IF('3-man'!$BF$4="",999,'3-man'!$BF$4)),AG70-35,IF(AND(LEFT('3-man'!AG$20,3)="ST&gt;",AG70&gt;=100,'3-man'!AG$18&lt;=IF('3-man'!$BF$4="",999,'3-man'!$BF$4)),0,IF(AND(OR(AND('3-man'!AG$19="ST&gt;2",AG62&gt;=100),AND('3-man'!AG$21="ST&gt;2",AG78&gt;=100)),'3-man'!AG$18&lt;=IF('3-man'!$BF$4="",999,'3-man'!$BF$4)),100,AG70)))))</f>
        <v/>
      </c>
      <c r="AH71">
        <f>IF('3-man'!AH$20="R",MIN(100,AH70+10),IF('3-man'!AH$20="P",MIN(100,AH70+25),IF(AND('3-man'!AH$20="D",AH70&gt;=35,'3-man'!AH$18&lt;=IF('3-man'!$BF$4="",999,'3-man'!$BF$4)),AH70-35,IF(AND(LEFT('3-man'!AH$20,3)="ST&gt;",AH70&gt;=100,'3-man'!AH$18&lt;=IF('3-man'!$BF$4="",999,'3-man'!$BF$4)),0,IF(AND(OR(AND('3-man'!AH$19="ST&gt;2",AH62&gt;=100),AND('3-man'!AH$21="ST&gt;2",AH78&gt;=100)),'3-man'!AH$18&lt;=IF('3-man'!$BF$4="",999,'3-man'!$BF$4)),100,AH70)))))</f>
        <v/>
      </c>
      <c r="AI71">
        <f>IF('3-man'!AI$20="R",MIN(100,AI70+10),IF('3-man'!AI$20="P",MIN(100,AI70+25),IF(AND('3-man'!AI$20="D",AI70&gt;=35,'3-man'!AI$18&lt;=IF('3-man'!$BF$4="",999,'3-man'!$BF$4)),AI70-35,IF(AND(LEFT('3-man'!AI$20,3)="ST&gt;",AI70&gt;=100,'3-man'!AI$18&lt;=IF('3-man'!$BF$4="",999,'3-man'!$BF$4)),0,IF(AND(OR(AND('3-man'!AI$19="ST&gt;2",AI62&gt;=100),AND('3-man'!AI$21="ST&gt;2",AI78&gt;=100)),'3-man'!AI$18&lt;=IF('3-man'!$BF$4="",999,'3-man'!$BF$4)),100,AI70)))))</f>
        <v/>
      </c>
      <c r="AJ71">
        <f>IF('3-man'!AJ$20="R",MIN(100,AJ70+10),IF('3-man'!AJ$20="P",MIN(100,AJ70+25),IF(AND('3-man'!AJ$20="D",AJ70&gt;=35,'3-man'!AJ$18&lt;=IF('3-man'!$BF$4="",999,'3-man'!$BF$4)),AJ70-35,IF(AND(LEFT('3-man'!AJ$20,3)="ST&gt;",AJ70&gt;=100,'3-man'!AJ$18&lt;=IF('3-man'!$BF$4="",999,'3-man'!$BF$4)),0,IF(AND(OR(AND('3-man'!AJ$19="ST&gt;2",AJ62&gt;=100),AND('3-man'!AJ$21="ST&gt;2",AJ78&gt;=100)),'3-man'!AJ$18&lt;=IF('3-man'!$BF$4="",999,'3-man'!$BF$4)),100,AJ70)))))</f>
        <v/>
      </c>
      <c r="AK71">
        <f>IF('3-man'!AK$20="R",MIN(100,AK70+10),IF('3-man'!AK$20="P",MIN(100,AK70+25),IF(AND('3-man'!AK$20="D",AK70&gt;=35,'3-man'!AK$18&lt;=IF('3-man'!$BF$4="",999,'3-man'!$BF$4)),AK70-35,IF(AND(LEFT('3-man'!AK$20,3)="ST&gt;",AK70&gt;=100,'3-man'!AK$18&lt;=IF('3-man'!$BF$4="",999,'3-man'!$BF$4)),0,IF(AND(OR(AND('3-man'!AK$19="ST&gt;2",AK62&gt;=100),AND('3-man'!AK$21="ST&gt;2",AK78&gt;=100)),'3-man'!AK$18&lt;=IF('3-man'!$BF$4="",999,'3-man'!$BF$4)),100,AK70)))))</f>
        <v/>
      </c>
      <c r="AL71">
        <f>IF('3-man'!AL$20="R",MIN(100,AL70+10),IF('3-man'!AL$20="P",MIN(100,AL70+25),IF(AND('3-man'!AL$20="D",AL70&gt;=35,'3-man'!AL$18&lt;=IF('3-man'!$BF$4="",999,'3-man'!$BF$4)),AL70-35,IF(AND(LEFT('3-man'!AL$20,3)="ST&gt;",AL70&gt;=100,'3-man'!AL$18&lt;=IF('3-man'!$BF$4="",999,'3-man'!$BF$4)),0,IF(AND(OR(AND('3-man'!AL$19="ST&gt;2",AL62&gt;=100),AND('3-man'!AL$21="ST&gt;2",AL78&gt;=100)),'3-man'!AL$18&lt;=IF('3-man'!$BF$4="",999,'3-man'!$BF$4)),100,AL70)))))</f>
        <v/>
      </c>
      <c r="AM71">
        <f>IF('3-man'!AM$20="R",MIN(100,AM70+10),IF('3-man'!AM$20="P",MIN(100,AM70+25),IF(AND('3-man'!AM$20="D",AM70&gt;=35,'3-man'!AM$18&lt;=IF('3-man'!$BF$4="",999,'3-man'!$BF$4)),AM70-35,IF(AND(LEFT('3-man'!AM$20,3)="ST&gt;",AM70&gt;=100,'3-man'!AM$18&lt;=IF('3-man'!$BF$4="",999,'3-man'!$BF$4)),0,IF(AND(OR(AND('3-man'!AM$19="ST&gt;2",AM62&gt;=100),AND('3-man'!AM$21="ST&gt;2",AM78&gt;=100)),'3-man'!AM$18&lt;=IF('3-man'!$BF$4="",999,'3-man'!$BF$4)),100,AM70)))))</f>
        <v/>
      </c>
      <c r="AN71">
        <f>IF('3-man'!AN$20="R",MIN(100,AN70+10),IF('3-man'!AN$20="P",MIN(100,AN70+25),IF(AND('3-man'!AN$20="D",AN70&gt;=35,'3-man'!AN$18&lt;=IF('3-man'!$BF$4="",999,'3-man'!$BF$4)),AN70-35,IF(AND(LEFT('3-man'!AN$20,3)="ST&gt;",AN70&gt;=100,'3-man'!AN$18&lt;=IF('3-man'!$BF$4="",999,'3-man'!$BF$4)),0,IF(AND(OR(AND('3-man'!AN$19="ST&gt;2",AN62&gt;=100),AND('3-man'!AN$21="ST&gt;2",AN78&gt;=100)),'3-man'!AN$18&lt;=IF('3-man'!$BF$4="",999,'3-man'!$BF$4)),100,AN70)))))</f>
        <v/>
      </c>
      <c r="AO71">
        <f>IF('3-man'!AO$20="R",MIN(100,AO70+10),IF('3-man'!AO$20="P",MIN(100,AO70+25),IF(AND('3-man'!AO$20="D",AO70&gt;=35,'3-man'!AO$18&lt;=IF('3-man'!$BF$4="",999,'3-man'!$BF$4)),AO70-35,IF(AND(LEFT('3-man'!AO$20,3)="ST&gt;",AO70&gt;=100,'3-man'!AO$18&lt;=IF('3-man'!$BF$4="",999,'3-man'!$BF$4)),0,IF(AND(OR(AND('3-man'!AO$19="ST&gt;2",AO62&gt;=100),AND('3-man'!AO$21="ST&gt;2",AO78&gt;=100)),'3-man'!AO$18&lt;=IF('3-man'!$BF$4="",999,'3-man'!$BF$4)),100,AO70)))))</f>
        <v/>
      </c>
      <c r="AP71">
        <f>IF('3-man'!AP$20="R",MIN(100,AP70+10),IF('3-man'!AP$20="P",MIN(100,AP70+25),IF(AND('3-man'!AP$20="D",AP70&gt;=35,'3-man'!AP$18&lt;=IF('3-man'!$BF$4="",999,'3-man'!$BF$4)),AP70-35,IF(AND(LEFT('3-man'!AP$20,3)="ST&gt;",AP70&gt;=100,'3-man'!AP$18&lt;=IF('3-man'!$BF$4="",999,'3-man'!$BF$4)),0,IF(AND(OR(AND('3-man'!AP$19="ST&gt;2",AP62&gt;=100),AND('3-man'!AP$21="ST&gt;2",AP78&gt;=100)),'3-man'!AP$18&lt;=IF('3-man'!$BF$4="",999,'3-man'!$BF$4)),100,AP70)))))</f>
        <v/>
      </c>
      <c r="AQ71">
        <f>IF('3-man'!AQ$20="R",MIN(100,AQ70+10),IF('3-man'!AQ$20="P",MIN(100,AQ70+25),IF(AND('3-man'!AQ$20="D",AQ70&gt;=35,'3-man'!AQ$18&lt;=IF('3-man'!$BF$4="",999,'3-man'!$BF$4)),AQ70-35,IF(AND(LEFT('3-man'!AQ$20,3)="ST&gt;",AQ70&gt;=100,'3-man'!AQ$18&lt;=IF('3-man'!$BF$4="",999,'3-man'!$BF$4)),0,IF(AND(OR(AND('3-man'!AQ$19="ST&gt;2",AQ62&gt;=100),AND('3-man'!AQ$21="ST&gt;2",AQ78&gt;=100)),'3-man'!AQ$18&lt;=IF('3-man'!$BF$4="",999,'3-man'!$BF$4)),100,AQ70)))))</f>
        <v/>
      </c>
      <c r="AR71">
        <f>IF('3-man'!AR$20="R",MIN(100,AR70+10),IF('3-man'!AR$20="P",MIN(100,AR70+25),IF(AND('3-man'!AR$20="D",AR70&gt;=35,'3-man'!AR$18&lt;=IF('3-man'!$BF$4="",999,'3-man'!$BF$4)),AR70-35,IF(AND(LEFT('3-man'!AR$20,3)="ST&gt;",AR70&gt;=100,'3-man'!AR$18&lt;=IF('3-man'!$BF$4="",999,'3-man'!$BF$4)),0,IF(AND(OR(AND('3-man'!AR$19="ST&gt;2",AR62&gt;=100),AND('3-man'!AR$21="ST&gt;2",AR78&gt;=100)),'3-man'!AR$18&lt;=IF('3-man'!$BF$4="",999,'3-man'!$BF$4)),100,AR70)))))</f>
        <v/>
      </c>
      <c r="AS71">
        <f>IF('3-man'!AS$20="R",MIN(100,AS70+10),IF('3-man'!AS$20="P",MIN(100,AS70+25),IF(AND('3-man'!AS$20="D",AS70&gt;=35,'3-man'!AS$18&lt;=IF('3-man'!$BF$4="",999,'3-man'!$BF$4)),AS70-35,IF(AND(LEFT('3-man'!AS$20,3)="ST&gt;",AS70&gt;=100,'3-man'!AS$18&lt;=IF('3-man'!$BF$4="",999,'3-man'!$BF$4)),0,IF(AND(OR(AND('3-man'!AS$19="ST&gt;2",AS62&gt;=100),AND('3-man'!AS$21="ST&gt;2",AS78&gt;=100)),'3-man'!AS$18&lt;=IF('3-man'!$BF$4="",999,'3-man'!$BF$4)),100,AS70)))))</f>
        <v/>
      </c>
      <c r="AT71">
        <f>IF('3-man'!AT$20="R",MIN(100,AT70+10),IF('3-man'!AT$20="P",MIN(100,AT70+25),IF(AND('3-man'!AT$20="D",AT70&gt;=35,'3-man'!AT$18&lt;=IF('3-man'!$BF$4="",999,'3-man'!$BF$4)),AT70-35,IF(AND(LEFT('3-man'!AT$20,3)="ST&gt;",AT70&gt;=100,'3-man'!AT$18&lt;=IF('3-man'!$BF$4="",999,'3-man'!$BF$4)),0,IF(AND(OR(AND('3-man'!AT$19="ST&gt;2",AT62&gt;=100),AND('3-man'!AT$21="ST&gt;2",AT78&gt;=100)),'3-man'!AT$18&lt;=IF('3-man'!$BF$4="",999,'3-man'!$BF$4)),100,AT70)))))</f>
        <v/>
      </c>
      <c r="AU71">
        <f>IF('3-man'!AU$20="R",MIN(100,AU70+10),IF('3-man'!AU$20="P",MIN(100,AU70+25),IF(AND('3-man'!AU$20="D",AU70&gt;=35,'3-man'!AU$18&lt;=IF('3-man'!$BF$4="",999,'3-man'!$BF$4)),AU70-35,IF(AND(LEFT('3-man'!AU$20,3)="ST&gt;",AU70&gt;=100,'3-man'!AU$18&lt;=IF('3-man'!$BF$4="",999,'3-man'!$BF$4)),0,IF(AND(OR(AND('3-man'!AU$19="ST&gt;2",AU62&gt;=100),AND('3-man'!AU$21="ST&gt;2",AU78&gt;=100)),'3-man'!AU$18&lt;=IF('3-man'!$BF$4="",999,'3-man'!$BF$4)),100,AU70)))))</f>
        <v/>
      </c>
      <c r="AV71">
        <f>IF('3-man'!AV$20="R",MIN(100,AV70+10),IF('3-man'!AV$20="P",MIN(100,AV70+25),IF(AND('3-man'!AV$20="D",AV70&gt;=35,'3-man'!AV$18&lt;=IF('3-man'!$BF$4="",999,'3-man'!$BF$4)),AV70-35,IF(AND(LEFT('3-man'!AV$20,3)="ST&gt;",AV70&gt;=100,'3-man'!AV$18&lt;=IF('3-man'!$BF$4="",999,'3-man'!$BF$4)),0,IF(AND(OR(AND('3-man'!AV$19="ST&gt;2",AV62&gt;=100),AND('3-man'!AV$21="ST&gt;2",AV78&gt;=100)),'3-man'!AV$18&lt;=IF('3-man'!$BF$4="",999,'3-man'!$BF$4)),100,AV70)))))</f>
        <v/>
      </c>
      <c r="AW71">
        <f>IF('3-man'!AW$20="R",MIN(100,AW70+10),IF('3-man'!AW$20="P",MIN(100,AW70+25),IF(AND('3-man'!AW$20="D",AW70&gt;=35,'3-man'!AW$18&lt;=IF('3-man'!$BF$4="",999,'3-man'!$BF$4)),AW70-35,IF(AND(LEFT('3-man'!AW$20,3)="ST&gt;",AW70&gt;=100,'3-man'!AW$18&lt;=IF('3-man'!$BF$4="",999,'3-man'!$BF$4)),0,IF(AND(OR(AND('3-man'!AW$19="ST&gt;2",AW62&gt;=100),AND('3-man'!AW$21="ST&gt;2",AW78&gt;=100)),'3-man'!AW$18&lt;=IF('3-man'!$BF$4="",999,'3-man'!$BF$4)),100,AW70)))))</f>
        <v/>
      </c>
      <c r="AX71">
        <f>IF('3-man'!AX$20="R",MIN(100,AX70+10),IF('3-man'!AX$20="P",MIN(100,AX70+25),IF(AND('3-man'!AX$20="D",AX70&gt;=35,'3-man'!AX$18&lt;=IF('3-man'!$BF$4="",999,'3-man'!$BF$4)),AX70-35,IF(AND(LEFT('3-man'!AX$20,3)="ST&gt;",AX70&gt;=100,'3-man'!AX$18&lt;=IF('3-man'!$BF$4="",999,'3-man'!$BF$4)),0,IF(AND(OR(AND('3-man'!AX$19="ST&gt;2",AX62&gt;=100),AND('3-man'!AX$21="ST&gt;2",AX78&gt;=100)),'3-man'!AX$18&lt;=IF('3-man'!$BF$4="",999,'3-man'!$BF$4)),100,AX70)))))</f>
        <v/>
      </c>
      <c r="AY71">
        <f>IF('3-man'!AY$20="R",MIN(100,AY70+10),IF('3-man'!AY$20="P",MIN(100,AY70+25),IF(AND('3-man'!AY$20="D",AY70&gt;=35,'3-man'!AY$18&lt;=IF('3-man'!$BF$4="",999,'3-man'!$BF$4)),AY70-35,IF(AND(LEFT('3-man'!AY$20,3)="ST&gt;",AY70&gt;=100,'3-man'!AY$18&lt;=IF('3-man'!$BF$4="",999,'3-man'!$BF$4)),0,IF(AND(OR(AND('3-man'!AY$19="ST&gt;2",AY62&gt;=100),AND('3-man'!AY$21="ST&gt;2",AY78&gt;=100)),'3-man'!AY$18&lt;=IF('3-man'!$BF$4="",999,'3-man'!$BF$4)),100,AY70)))))</f>
        <v/>
      </c>
      <c r="AZ71">
        <f>IF('3-man'!AZ$20="R",MIN(100,AZ70+10),IF('3-man'!AZ$20="P",MIN(100,AZ70+25),IF(AND('3-man'!AZ$20="D",AZ70&gt;=35,'3-man'!AZ$18&lt;=IF('3-man'!$BF$4="",999,'3-man'!$BF$4)),AZ70-35,IF(AND(LEFT('3-man'!AZ$20,3)="ST&gt;",AZ70&gt;=100,'3-man'!AZ$18&lt;=IF('3-man'!$BF$4="",999,'3-man'!$BF$4)),0,IF(AND(OR(AND('3-man'!AZ$19="ST&gt;2",AZ62&gt;=100),AND('3-man'!AZ$21="ST&gt;2",AZ78&gt;=100)),'3-man'!AZ$18&lt;=IF('3-man'!$BF$4="",999,'3-man'!$BF$4)),100,AZ70)))))</f>
        <v/>
      </c>
      <c r="BA71">
        <f>IF('3-man'!BA$20="R",MIN(100,BA70+10),IF('3-man'!BA$20="P",MIN(100,BA70+25),IF(AND('3-man'!BA$20="D",BA70&gt;=35,'3-man'!BA$18&lt;=IF('3-man'!$BF$4="",999,'3-man'!$BF$4)),BA70-35,IF(AND(LEFT('3-man'!BA$20,3)="ST&gt;",BA70&gt;=100,'3-man'!BA$18&lt;=IF('3-man'!$BF$4="",999,'3-man'!$BF$4)),0,IF(AND(OR(AND('3-man'!BA$19="ST&gt;2",BA62&gt;=100),AND('3-man'!BA$21="ST&gt;2",BA78&gt;=100)),'3-man'!BA$18&lt;=IF('3-man'!$BF$4="",999,'3-man'!$BF$4)),100,BA70)))))</f>
        <v/>
      </c>
      <c r="BB71">
        <f>IF('3-man'!BB$20="R",MIN(100,BB70+10),IF('3-man'!BB$20="P",MIN(100,BB70+25),IF(AND('3-man'!BB$20="D",BB70&gt;=35,'3-man'!BB$18&lt;=IF('3-man'!$BF$4="",999,'3-man'!$BF$4)),BB70-35,IF(AND(LEFT('3-man'!BB$20,3)="ST&gt;",BB70&gt;=100,'3-man'!BB$18&lt;=IF('3-man'!$BF$4="",999,'3-man'!$BF$4)),0,IF(AND(OR(AND('3-man'!BB$19="ST&gt;2",BB62&gt;=100),AND('3-man'!BB$21="ST&gt;2",BB78&gt;=100)),'3-man'!BB$18&lt;=IF('3-man'!$BF$4="",999,'3-man'!$BF$4)),100,BB70)))))</f>
        <v/>
      </c>
      <c r="BC71">
        <f>IF('3-man'!BC$20="R",MIN(100,BC70+10),IF('3-man'!BC$20="P",MIN(100,BC70+25),IF(AND('3-man'!BC$20="D",BC70&gt;=35,'3-man'!BC$18&lt;=IF('3-man'!$BF$4="",999,'3-man'!$BF$4)),BC70-35,IF(AND(LEFT('3-man'!BC$20,3)="ST&gt;",BC70&gt;=100,'3-man'!BC$18&lt;=IF('3-man'!$BF$4="",999,'3-man'!$BF$4)),0,IF(AND(OR(AND('3-man'!BC$19="ST&gt;2",BC62&gt;=100),AND('3-man'!BC$21="ST&gt;2",BC78&gt;=100)),'3-man'!BC$18&lt;=IF('3-man'!$BF$4="",999,'3-man'!$BF$4)),100,BC70)))))</f>
        <v/>
      </c>
      <c r="BD71">
        <f>IF('3-man'!BD$20="R",MIN(100,BD70+10),IF('3-man'!BD$20="P",MIN(100,BD70+25),IF(AND('3-man'!BD$20="D",BD70&gt;=35,'3-man'!BD$18&lt;=IF('3-man'!$BF$4="",999,'3-man'!$BF$4)),BD70-35,IF(AND(LEFT('3-man'!BD$20,3)="ST&gt;",BD70&gt;=100,'3-man'!BD$18&lt;=IF('3-man'!$BF$4="",999,'3-man'!$BF$4)),0,IF(AND(OR(AND('3-man'!BD$19="ST&gt;2",BD62&gt;=100),AND('3-man'!BD$21="ST&gt;2",BD78&gt;=100)),'3-man'!BD$18&lt;=IF('3-man'!$BF$4="",999,'3-man'!$BF$4)),100,BD70)))))</f>
        <v/>
      </c>
      <c r="BE71">
        <f>IF('3-man'!BE$20="R",MIN(100,BE70+10),IF('3-man'!BE$20="P",MIN(100,BE70+25),IF(AND('3-man'!BE$20="D",BE70&gt;=35,'3-man'!BE$18&lt;=IF('3-man'!$BF$4="",999,'3-man'!$BF$4)),BE70-35,IF(AND(LEFT('3-man'!BE$20,3)="ST&gt;",BE70&gt;=100,'3-man'!BE$18&lt;=IF('3-man'!$BF$4="",999,'3-man'!$BF$4)),0,IF(AND(OR(AND('3-man'!BE$19="ST&gt;2",BE62&gt;=100),AND('3-man'!BE$21="ST&gt;2",BE78&gt;=100)),'3-man'!BE$18&lt;=IF('3-man'!$BF$4="",999,'3-man'!$BF$4)),100,BE70)))))</f>
        <v/>
      </c>
      <c r="BF71">
        <f>IF('3-man'!BF$20="R",MIN(100,BF70+10),IF('3-man'!BF$20="P",MIN(100,BF70+25),IF(AND('3-man'!BF$20="D",BF70&gt;=35,'3-man'!BF$18&lt;=IF('3-man'!$BF$4="",999,'3-man'!$BF$4)),BF70-35,IF(AND(LEFT('3-man'!BF$20,3)="ST&gt;",BF70&gt;=100,'3-man'!BF$18&lt;=IF('3-man'!$BF$4="",999,'3-man'!$BF$4)),0,IF(AND(OR(AND('3-man'!BF$19="ST&gt;2",BF62&gt;=100),AND('3-man'!BF$21="ST&gt;2",BF78&gt;=100)),'3-man'!BF$18&lt;=IF('3-man'!$BF$4="",999,'3-man'!$BF$4)),100,BF70)))))</f>
        <v/>
      </c>
      <c r="BG71">
        <f>IF('3-man'!BG$20="R",MIN(100,BG70+10),IF('3-man'!BG$20="P",MIN(100,BG70+25),IF(AND('3-man'!BG$20="D",BG70&gt;=35,'3-man'!BG$18&lt;=IF('3-man'!$BF$4="",999,'3-man'!$BF$4)),BG70-35,IF(AND(LEFT('3-man'!BG$20,3)="ST&gt;",BG70&gt;=100,'3-man'!BG$18&lt;=IF('3-man'!$BF$4="",999,'3-man'!$BF$4)),0,IF(AND(OR(AND('3-man'!BG$19="ST&gt;2",BG62&gt;=100),AND('3-man'!BG$21="ST&gt;2",BG78&gt;=100)),'3-man'!BG$18&lt;=IF('3-man'!$BF$4="",999,'3-man'!$BF$4)),100,BG70)))))</f>
        <v/>
      </c>
      <c r="BH71">
        <f>IF('3-man'!BH$20="R",MIN(100,BH70+10),IF('3-man'!BH$20="P",MIN(100,BH70+25),IF(AND('3-man'!BH$20="D",BH70&gt;=35,'3-man'!BH$18&lt;=IF('3-man'!$BF$4="",999,'3-man'!$BF$4)),BH70-35,IF(AND(LEFT('3-man'!BH$20,3)="ST&gt;",BH70&gt;=100,'3-man'!BH$18&lt;=IF('3-man'!$BF$4="",999,'3-man'!$BF$4)),0,IF(AND(OR(AND('3-man'!BH$19="ST&gt;2",BH62&gt;=100),AND('3-man'!BH$21="ST&gt;2",BH78&gt;=100)),'3-man'!BH$18&lt;=IF('3-man'!$BF$4="",999,'3-man'!$BF$4)),100,BH70)))))</f>
        <v/>
      </c>
      <c r="BI71">
        <f>IF('3-man'!BI$20="R",MIN(100,BI70+10),IF('3-man'!BI$20="P",MIN(100,BI70+25),IF(AND('3-man'!BI$20="D",BI70&gt;=35,'3-man'!BI$18&lt;=IF('3-man'!$BF$4="",999,'3-man'!$BF$4)),BI70-35,IF(AND(LEFT('3-man'!BI$20,3)="ST&gt;",BI70&gt;=100,'3-man'!BI$18&lt;=IF('3-man'!$BF$4="",999,'3-man'!$BF$4)),0,IF(AND(OR(AND('3-man'!BI$19="ST&gt;2",BI62&gt;=100),AND('3-man'!BI$21="ST&gt;2",BI78&gt;=100)),'3-man'!BI$18&lt;=IF('3-man'!$BF$4="",999,'3-man'!$BF$4)),100,BI70)))))</f>
        <v/>
      </c>
      <c r="BJ71">
        <f>IF('3-man'!BJ$20="R",MIN(100,BJ70+10),IF('3-man'!BJ$20="P",MIN(100,BJ70+25),IF(AND('3-man'!BJ$20="D",BJ70&gt;=35,'3-man'!BJ$18&lt;=IF('3-man'!$BF$4="",999,'3-man'!$BF$4)),BJ70-35,IF(AND(LEFT('3-man'!BJ$20,3)="ST&gt;",BJ70&gt;=100,'3-man'!BJ$18&lt;=IF('3-man'!$BF$4="",999,'3-man'!$BF$4)),0,IF(AND(OR(AND('3-man'!BJ$19="ST&gt;2",BJ62&gt;=100),AND('3-man'!BJ$21="ST&gt;2",BJ78&gt;=100)),'3-man'!BJ$18&lt;=IF('3-man'!$BF$4="",999,'3-man'!$BF$4)),100,BJ70)))))</f>
        <v/>
      </c>
      <c r="BK71">
        <f>IF('3-man'!BK$20="R",MIN(100,BK70+10),IF('3-man'!BK$20="P",MIN(100,BK70+25),IF(AND('3-man'!BK$20="D",BK70&gt;=35,'3-man'!BK$18&lt;=IF('3-man'!$BF$4="",999,'3-man'!$BF$4)),BK70-35,IF(AND(LEFT('3-man'!BK$20,3)="ST&gt;",BK70&gt;=100,'3-man'!BK$18&lt;=IF('3-man'!$BF$4="",999,'3-man'!$BF$4)),0,IF(AND(OR(AND('3-man'!BK$19="ST&gt;2",BK62&gt;=100),AND('3-man'!BK$21="ST&gt;2",BK78&gt;=100)),'3-man'!BK$18&lt;=IF('3-man'!$BF$4="",999,'3-man'!$BF$4)),100,BK70)))))</f>
        <v/>
      </c>
      <c r="BL71">
        <f>IF('3-man'!BL$20="R",MIN(100,BL70+10),IF('3-man'!BL$20="P",MIN(100,BL70+25),IF(AND('3-man'!BL$20="D",BL70&gt;=35,'3-man'!BL$18&lt;=IF('3-man'!$BF$4="",999,'3-man'!$BF$4)),BL70-35,IF(AND(LEFT('3-man'!BL$20,3)="ST&gt;",BL70&gt;=100,'3-man'!BL$18&lt;=IF('3-man'!$BF$4="",999,'3-man'!$BF$4)),0,IF(AND(OR(AND('3-man'!BL$19="ST&gt;2",BL62&gt;=100),AND('3-man'!BL$21="ST&gt;2",BL78&gt;=100)),'3-man'!BL$18&lt;=IF('3-man'!$BF$4="",999,'3-man'!$BF$4)),100,BL70)))))</f>
        <v/>
      </c>
      <c r="BM71">
        <f>IF('3-man'!BM$20="R",MIN(100,BM70+10),IF('3-man'!BM$20="P",MIN(100,BM70+25),IF(AND('3-man'!BM$20="D",BM70&gt;=35,'3-man'!BM$18&lt;=IF('3-man'!$BF$4="",999,'3-man'!$BF$4)),BM70-35,IF(AND(LEFT('3-man'!BM$20,3)="ST&gt;",BM70&gt;=100,'3-man'!BM$18&lt;=IF('3-man'!$BF$4="",999,'3-man'!$BF$4)),0,IF(AND(OR(AND('3-man'!BM$19="ST&gt;2",BM62&gt;=100),AND('3-man'!BM$21="ST&gt;2",BM78&gt;=100)),'3-man'!BM$18&lt;=IF('3-man'!$BF$4="",999,'3-man'!$BF$4)),100,BM70)))))</f>
        <v/>
      </c>
      <c r="BN71">
        <f>IF('3-man'!BN$20="R",MIN(100,BN70+10),IF('3-man'!BN$20="P",MIN(100,BN70+25),IF(AND('3-man'!BN$20="D",BN70&gt;=35,'3-man'!BN$18&lt;=IF('3-man'!$BF$4="",999,'3-man'!$BF$4)),BN70-35,IF(AND(LEFT('3-man'!BN$20,3)="ST&gt;",BN70&gt;=100,'3-man'!BN$18&lt;=IF('3-man'!$BF$4="",999,'3-man'!$BF$4)),0,IF(AND(OR(AND('3-man'!BN$19="ST&gt;2",BN62&gt;=100),AND('3-man'!BN$21="ST&gt;2",BN78&gt;=100)),'3-man'!BN$18&lt;=IF('3-man'!$BF$4="",999,'3-man'!$BF$4)),100,BN70)))))</f>
        <v/>
      </c>
      <c r="BO71">
        <f>IF('3-man'!BO$20="R",MIN(100,BO70+10),IF('3-man'!BO$20="P",MIN(100,BO70+25),IF(AND('3-man'!BO$20="D",BO70&gt;=35,'3-man'!BO$18&lt;=IF('3-man'!$BF$4="",999,'3-man'!$BF$4)),BO70-35,IF(AND(LEFT('3-man'!BO$20,3)="ST&gt;",BO70&gt;=100,'3-man'!BO$18&lt;=IF('3-man'!$BF$4="",999,'3-man'!$BF$4)),0,IF(AND(OR(AND('3-man'!BO$19="ST&gt;2",BO62&gt;=100),AND('3-man'!BO$21="ST&gt;2",BO78&gt;=100)),'3-man'!BO$18&lt;=IF('3-man'!$BF$4="",999,'3-man'!$BF$4)),100,BO70)))))</f>
        <v/>
      </c>
      <c r="BP71">
        <f>IF('3-man'!BP$20="R",MIN(100,BP70+10),IF('3-man'!BP$20="P",MIN(100,BP70+25),IF(AND('3-man'!BP$20="D",BP70&gt;=35,'3-man'!BP$18&lt;=IF('3-man'!$BF$4="",999,'3-man'!$BF$4)),BP70-35,IF(AND(LEFT('3-man'!BP$20,3)="ST&gt;",BP70&gt;=100,'3-man'!BP$18&lt;=IF('3-man'!$BF$4="",999,'3-man'!$BF$4)),0,IF(AND(OR(AND('3-man'!BP$19="ST&gt;2",BP62&gt;=100),AND('3-man'!BP$21="ST&gt;2",BP78&gt;=100)),'3-man'!BP$18&lt;=IF('3-man'!$BF$4="",999,'3-man'!$BF$4)),100,BP70)))))</f>
        <v/>
      </c>
      <c r="BQ71">
        <f>IF('3-man'!BQ$20="R",MIN(100,BQ70+10),IF('3-man'!BQ$20="P",MIN(100,BQ70+25),IF(AND('3-man'!BQ$20="D",BQ70&gt;=35,'3-man'!BQ$18&lt;=IF('3-man'!$BF$4="",999,'3-man'!$BF$4)),BQ70-35,IF(AND(LEFT('3-man'!BQ$20,3)="ST&gt;",BQ70&gt;=100,'3-man'!BQ$18&lt;=IF('3-man'!$BF$4="",999,'3-man'!$BF$4)),0,IF(AND(OR(AND('3-man'!BQ$19="ST&gt;2",BQ62&gt;=100),AND('3-man'!BQ$21="ST&gt;2",BQ78&gt;=100)),'3-man'!BQ$18&lt;=IF('3-man'!$BF$4="",999,'3-man'!$BF$4)),100,BQ70)))))</f>
        <v/>
      </c>
      <c r="BR71">
        <f>IF('3-man'!BR$20="R",MIN(100,BR70+10),IF('3-man'!BR$20="P",MIN(100,BR70+25),IF(AND('3-man'!BR$20="D",BR70&gt;=35,'3-man'!BR$18&lt;=IF('3-man'!$BF$4="",999,'3-man'!$BF$4)),BR70-35,IF(AND(LEFT('3-man'!BR$20,3)="ST&gt;",BR70&gt;=100,'3-man'!BR$18&lt;=IF('3-man'!$BF$4="",999,'3-man'!$BF$4)),0,IF(AND(OR(AND('3-man'!BR$19="ST&gt;2",BR62&gt;=100),AND('3-man'!BR$21="ST&gt;2",BR78&gt;=100)),'3-man'!BR$18&lt;=IF('3-man'!$BF$4="",999,'3-man'!$BF$4)),100,BR70)))))</f>
        <v/>
      </c>
      <c r="BS71">
        <f>IF('3-man'!BS$20="R",MIN(100,BS70+10),IF('3-man'!BS$20="P",MIN(100,BS70+25),IF(AND('3-man'!BS$20="D",BS70&gt;=35,'3-man'!BS$18&lt;=IF('3-man'!$BF$4="",999,'3-man'!$BF$4)),BS70-35,IF(AND(LEFT('3-man'!BS$20,3)="ST&gt;",BS70&gt;=100,'3-man'!BS$18&lt;=IF('3-man'!$BF$4="",999,'3-man'!$BF$4)),0,IF(AND(OR(AND('3-man'!BS$19="ST&gt;2",BS62&gt;=100),AND('3-man'!BS$21="ST&gt;2",BS78&gt;=100)),'3-man'!BS$18&lt;=IF('3-man'!$BF$4="",999,'3-man'!$BF$4)),100,BS70)))))</f>
        <v/>
      </c>
      <c r="BT71">
        <f>IF('3-man'!BT$20="R",MIN(100,BT70+10),IF('3-man'!BT$20="P",MIN(100,BT70+25),IF(AND('3-man'!BT$20="D",BT70&gt;=35,'3-man'!BT$18&lt;=IF('3-man'!$BF$4="",999,'3-man'!$BF$4)),BT70-35,IF(AND(LEFT('3-man'!BT$20,3)="ST&gt;",BT70&gt;=100,'3-man'!BT$18&lt;=IF('3-man'!$BF$4="",999,'3-man'!$BF$4)),0,IF(AND(OR(AND('3-man'!BT$19="ST&gt;2",BT62&gt;=100),AND('3-man'!BT$21="ST&gt;2",BT78&gt;=100)),'3-man'!BT$18&lt;=IF('3-man'!$BF$4="",999,'3-man'!$BF$4)),100,BT70)))))</f>
        <v/>
      </c>
      <c r="BU71">
        <f>IF('3-man'!BU$20="R",MIN(100,BU70+10),IF('3-man'!BU$20="P",MIN(100,BU70+25),IF(AND('3-man'!BU$20="D",BU70&gt;=35,'3-man'!BU$18&lt;=IF('3-man'!$BF$4="",999,'3-man'!$BF$4)),BU70-35,IF(AND(LEFT('3-man'!BU$20,3)="ST&gt;",BU70&gt;=100,'3-man'!BU$18&lt;=IF('3-man'!$BF$4="",999,'3-man'!$BF$4)),0,IF(AND(OR(AND('3-man'!BU$19="ST&gt;2",BU62&gt;=100),AND('3-man'!BU$21="ST&gt;2",BU78&gt;=100)),'3-man'!BU$18&lt;=IF('3-man'!$BF$4="",999,'3-man'!$BF$4)),100,BU70)))))</f>
        <v/>
      </c>
      <c r="BV71">
        <f>IF('3-man'!BV$20="R",MIN(100,BV70+10),IF('3-man'!BV$20="P",MIN(100,BV70+25),IF(AND('3-man'!BV$20="D",BV70&gt;=35,'3-man'!BV$18&lt;=IF('3-man'!$BF$4="",999,'3-man'!$BF$4)),BV70-35,IF(AND(LEFT('3-man'!BV$20,3)="ST&gt;",BV70&gt;=100,'3-man'!BV$18&lt;=IF('3-man'!$BF$4="",999,'3-man'!$BF$4)),0,IF(AND(OR(AND('3-man'!BV$19="ST&gt;2",BV62&gt;=100),AND('3-man'!BV$21="ST&gt;2",BV78&gt;=100)),'3-man'!BV$18&lt;=IF('3-man'!$BF$4="",999,'3-man'!$BF$4)),100,BV70)))))</f>
        <v/>
      </c>
      <c r="BW71">
        <f>IF('3-man'!BW$20="R",MIN(100,BW70+10),IF('3-man'!BW$20="P",MIN(100,BW70+25),IF(AND('3-man'!BW$20="D",BW70&gt;=35,'3-man'!BW$18&lt;=IF('3-man'!$BF$4="",999,'3-man'!$BF$4)),BW70-35,IF(AND(LEFT('3-man'!BW$20,3)="ST&gt;",BW70&gt;=100,'3-man'!BW$18&lt;=IF('3-man'!$BF$4="",999,'3-man'!$BF$4)),0,IF(AND(OR(AND('3-man'!BW$19="ST&gt;2",BW62&gt;=100),AND('3-man'!BW$21="ST&gt;2",BW78&gt;=100)),'3-man'!BW$18&lt;=IF('3-man'!$BF$4="",999,'3-man'!$BF$4)),100,BW70)))))</f>
        <v/>
      </c>
      <c r="BX71">
        <f>IF('3-man'!BX$20="R",MIN(100,BX70+10),IF('3-man'!BX$20="P",MIN(100,BX70+25),IF(AND('3-man'!BX$20="D",BX70&gt;=35,'3-man'!BX$18&lt;=IF('3-man'!$BF$4="",999,'3-man'!$BF$4)),BX70-35,IF(AND(LEFT('3-man'!BX$20,3)="ST&gt;",BX70&gt;=100,'3-man'!BX$18&lt;=IF('3-man'!$BF$4="",999,'3-man'!$BF$4)),0,IF(AND(OR(AND('3-man'!BX$19="ST&gt;2",BX62&gt;=100),AND('3-man'!BX$21="ST&gt;2",BX78&gt;=100)),'3-man'!BX$18&lt;=IF('3-man'!$BF$4="",999,'3-man'!$BF$4)),100,BX70)))))</f>
        <v/>
      </c>
      <c r="BY71">
        <f>IF('3-man'!BY$20="R",MIN(100,BY70+10),IF('3-man'!BY$20="P",MIN(100,BY70+25),IF(AND('3-man'!BY$20="D",BY70&gt;=35,'3-man'!BY$18&lt;=IF('3-man'!$BF$4="",999,'3-man'!$BF$4)),BY70-35,IF(AND(LEFT('3-man'!BY$20,3)="ST&gt;",BY70&gt;=100,'3-man'!BY$18&lt;=IF('3-man'!$BF$4="",999,'3-man'!$BF$4)),0,IF(AND(OR(AND('3-man'!BY$19="ST&gt;2",BY62&gt;=100),AND('3-man'!BY$21="ST&gt;2",BY78&gt;=100)),'3-man'!BY$18&lt;=IF('3-man'!$BF$4="",999,'3-man'!$BF$4)),100,BY70)))))</f>
        <v/>
      </c>
      <c r="BZ71">
        <f>IF('3-man'!BZ$20="R",MIN(100,BZ70+10),IF('3-man'!BZ$20="P",MIN(100,BZ70+25),IF(AND('3-man'!BZ$20="D",BZ70&gt;=35,'3-man'!BZ$18&lt;=IF('3-man'!$BF$4="",999,'3-man'!$BF$4)),BZ70-35,IF(AND(LEFT('3-man'!BZ$20,3)="ST&gt;",BZ70&gt;=100,'3-man'!BZ$18&lt;=IF('3-man'!$BF$4="",999,'3-man'!$BF$4)),0,IF(AND(OR(AND('3-man'!BZ$19="ST&gt;2",BZ62&gt;=100),AND('3-man'!BZ$21="ST&gt;2",BZ78&gt;=100)),'3-man'!BZ$18&lt;=IF('3-man'!$BF$4="",999,'3-man'!$BF$4)),100,BZ70)))))</f>
        <v/>
      </c>
      <c r="CA71">
        <f>IF('3-man'!CA$20="R",MIN(100,CA70+10),IF('3-man'!CA$20="P",MIN(100,CA70+25),IF(AND('3-man'!CA$20="D",CA70&gt;=35,'3-man'!CA$18&lt;=IF('3-man'!$BF$4="",999,'3-man'!$BF$4)),CA70-35,IF(AND(LEFT('3-man'!CA$20,3)="ST&gt;",CA70&gt;=100,'3-man'!CA$18&lt;=IF('3-man'!$BF$4="",999,'3-man'!$BF$4)),0,IF(AND(OR(AND('3-man'!CA$19="ST&gt;2",CA62&gt;=100),AND('3-man'!CA$21="ST&gt;2",CA78&gt;=100)),'3-man'!CA$18&lt;=IF('3-man'!$BF$4="",999,'3-man'!$BF$4)),100,CA70)))))</f>
        <v/>
      </c>
      <c r="CB71">
        <f>IF('3-man'!CB$20="R",MIN(100,CB70+10),IF('3-man'!CB$20="P",MIN(100,CB70+25),IF(AND('3-man'!CB$20="D",CB70&gt;=35,'3-man'!CB$18&lt;=IF('3-man'!$BF$4="",999,'3-man'!$BF$4)),CB70-35,IF(AND(LEFT('3-man'!CB$20,3)="ST&gt;",CB70&gt;=100,'3-man'!CB$18&lt;=IF('3-man'!$BF$4="",999,'3-man'!$BF$4)),0,IF(AND(OR(AND('3-man'!CB$19="ST&gt;2",CB62&gt;=100),AND('3-man'!CB$21="ST&gt;2",CB78&gt;=100)),'3-man'!CB$18&lt;=IF('3-man'!$BF$4="",999,'3-man'!$BF$4)),100,CB70)))))</f>
        <v/>
      </c>
      <c r="CC71">
        <f>IF('3-man'!CC$20="R",MIN(100,CC70+10),IF('3-man'!CC$20="P",MIN(100,CC70+25),IF(AND('3-man'!CC$20="D",CC70&gt;=35,'3-man'!CC$18&lt;=IF('3-man'!$BF$4="",999,'3-man'!$BF$4)),CC70-35,IF(AND(LEFT('3-man'!CC$20,3)="ST&gt;",CC70&gt;=100,'3-man'!CC$18&lt;=IF('3-man'!$BF$4="",999,'3-man'!$BF$4)),0,IF(AND(OR(AND('3-man'!CC$19="ST&gt;2",CC62&gt;=100),AND('3-man'!CC$21="ST&gt;2",CC78&gt;=100)),'3-man'!CC$18&lt;=IF('3-man'!$BF$4="",999,'3-man'!$BF$4)),100,CC70)))))</f>
        <v/>
      </c>
      <c r="CD71">
        <f>IF('3-man'!CD$20="R",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IF('3-man'!C$20="R",0,IF(B71&gt;=100,0,IF(B72+1&gt;=IF(OR('3-man'!$F$5=TRUE,'3-man'!$F$5="TRUE",'3-man'!$F$5="Yes"),25,50),0,B72+1)))</f>
        <v/>
      </c>
      <c r="D72">
        <f>IF('3-man'!D$20="R",0,IF(C71&gt;=100,0,IF(C72+1&gt;=IF(OR('3-man'!$F$5=TRUE,'3-man'!$F$5="TRUE",'3-man'!$F$5="Yes"),25,50),0,C72+1)))</f>
        <v/>
      </c>
      <c r="E72">
        <f>IF('3-man'!E$20="R",0,IF(D71&gt;=100,0,IF(D72+1&gt;=IF(OR('3-man'!$F$5=TRUE,'3-man'!$F$5="TRUE",'3-man'!$F$5="Yes"),25,50),0,D72+1)))</f>
        <v/>
      </c>
      <c r="F72">
        <f>IF('3-man'!F$20="R",0,IF(E71&gt;=100,0,IF(E72+1&gt;=IF(OR('3-man'!$F$5=TRUE,'3-man'!$F$5="TRUE",'3-man'!$F$5="Yes"),25,50),0,E72+1)))</f>
        <v/>
      </c>
      <c r="G72">
        <f>IF('3-man'!G$20="R",0,IF(F71&gt;=100,0,IF(F72+1&gt;=IF(OR('3-man'!$F$5=TRUE,'3-man'!$F$5="TRUE",'3-man'!$F$5="Yes"),25,50),0,F72+1)))</f>
        <v/>
      </c>
      <c r="H72">
        <f>IF('3-man'!H$20="R",0,IF(G71&gt;=100,0,IF(G72+1&gt;=IF(OR('3-man'!$F$5=TRUE,'3-man'!$F$5="TRUE",'3-man'!$F$5="Yes"),25,50),0,G72+1)))</f>
        <v/>
      </c>
      <c r="I72">
        <f>IF('3-man'!I$20="R",0,IF(H71&gt;=100,0,IF(H72+1&gt;=IF(OR('3-man'!$F$5=TRUE,'3-man'!$F$5="TRUE",'3-man'!$F$5="Yes"),25,50),0,H72+1)))</f>
        <v/>
      </c>
      <c r="J72">
        <f>IF('3-man'!J$20="R",0,IF(I71&gt;=100,0,IF(I72+1&gt;=IF(OR('3-man'!$F$5=TRUE,'3-man'!$F$5="TRUE",'3-man'!$F$5="Yes"),25,50),0,I72+1)))</f>
        <v/>
      </c>
      <c r="K72">
        <f>IF('3-man'!K$20="R",0,IF(J71&gt;=100,0,IF(J72+1&gt;=IF(OR('3-man'!$F$5=TRUE,'3-man'!$F$5="TRUE",'3-man'!$F$5="Yes"),25,50),0,J72+1)))</f>
        <v/>
      </c>
      <c r="L72">
        <f>IF('3-man'!L$20="R",0,IF(K71&gt;=100,0,IF(K72+1&gt;=IF(OR('3-man'!$F$5=TRUE,'3-man'!$F$5="TRUE",'3-man'!$F$5="Yes"),25,50),0,K72+1)))</f>
        <v/>
      </c>
      <c r="M72">
        <f>IF('3-man'!M$20="R",0,IF(L71&gt;=100,0,IF(L72+1&gt;=IF(OR('3-man'!$F$5=TRUE,'3-man'!$F$5="TRUE",'3-man'!$F$5="Yes"),25,50),0,L72+1)))</f>
        <v/>
      </c>
      <c r="N72">
        <f>IF('3-man'!N$20="R",0,IF(M71&gt;=100,0,IF(M72+1&gt;=IF(OR('3-man'!$F$5=TRUE,'3-man'!$F$5="TRUE",'3-man'!$F$5="Yes"),25,50),0,M72+1)))</f>
        <v/>
      </c>
      <c r="O72">
        <f>IF('3-man'!O$20="R",0,IF(N71&gt;=100,0,IF(N72+1&gt;=IF(OR('3-man'!$F$5=TRUE,'3-man'!$F$5="TRUE",'3-man'!$F$5="Yes"),25,50),0,N72+1)))</f>
        <v/>
      </c>
      <c r="P72">
        <f>IF('3-man'!P$20="R",0,IF(O71&gt;=100,0,IF(O72+1&gt;=IF(OR('3-man'!$F$5=TRUE,'3-man'!$F$5="TRUE",'3-man'!$F$5="Yes"),25,50),0,O72+1)))</f>
        <v/>
      </c>
      <c r="Q72">
        <f>IF('3-man'!Q$20="R",0,IF(P71&gt;=100,0,IF(P72+1&gt;=IF(OR('3-man'!$F$5=TRUE,'3-man'!$F$5="TRUE",'3-man'!$F$5="Yes"),25,50),0,P72+1)))</f>
        <v/>
      </c>
      <c r="R72">
        <f>IF('3-man'!R$20="R",0,IF(Q71&gt;=100,0,IF(Q72+1&gt;=IF(OR('3-man'!$F$5=TRUE,'3-man'!$F$5="TRUE",'3-man'!$F$5="Yes"),25,50),0,Q72+1)))</f>
        <v/>
      </c>
      <c r="S72">
        <f>IF('3-man'!S$20="R",0,IF(R71&gt;=100,0,IF(R72+1&gt;=IF(OR('3-man'!$F$5=TRUE,'3-man'!$F$5="TRUE",'3-man'!$F$5="Yes"),25,50),0,R72+1)))</f>
        <v/>
      </c>
      <c r="T72">
        <f>IF('3-man'!T$20="R",0,IF(S71&gt;=100,0,IF(S72+1&gt;=IF(OR('3-man'!$F$5=TRUE,'3-man'!$F$5="TRUE",'3-man'!$F$5="Yes"),25,50),0,S72+1)))</f>
        <v/>
      </c>
      <c r="U72">
        <f>IF('3-man'!U$20="R",0,IF(T71&gt;=100,0,IF(T72+1&gt;=IF(OR('3-man'!$F$5=TRUE,'3-man'!$F$5="TRUE",'3-man'!$F$5="Yes"),25,50),0,T72+1)))</f>
        <v/>
      </c>
      <c r="V72">
        <f>IF('3-man'!V$20="R",0,IF(U71&gt;=100,0,IF(U72+1&gt;=IF(OR('3-man'!$F$5=TRUE,'3-man'!$F$5="TRUE",'3-man'!$F$5="Yes"),25,50),0,U72+1)))</f>
        <v/>
      </c>
      <c r="W72">
        <f>IF('3-man'!W$20="R",0,IF(V71&gt;=100,0,IF(V72+1&gt;=IF(OR('3-man'!$F$5=TRUE,'3-man'!$F$5="TRUE",'3-man'!$F$5="Yes"),25,50),0,V72+1)))</f>
        <v/>
      </c>
      <c r="X72">
        <f>IF('3-man'!X$20="R",0,IF(W71&gt;=100,0,IF(W72+1&gt;=IF(OR('3-man'!$F$5=TRUE,'3-man'!$F$5="TRUE",'3-man'!$F$5="Yes"),25,50),0,W72+1)))</f>
        <v/>
      </c>
      <c r="Y72">
        <f>IF('3-man'!Y$20="R",0,IF(X71&gt;=100,0,IF(X72+1&gt;=IF(OR('3-man'!$F$5=TRUE,'3-man'!$F$5="TRUE",'3-man'!$F$5="Yes"),25,50),0,X72+1)))</f>
        <v/>
      </c>
      <c r="Z72">
        <f>IF('3-man'!Z$20="R",0,IF(Y71&gt;=100,0,IF(Y72+1&gt;=IF(OR('3-man'!$F$5=TRUE,'3-man'!$F$5="TRUE",'3-man'!$F$5="Yes"),25,50),0,Y72+1)))</f>
        <v/>
      </c>
      <c r="AA72">
        <f>IF('3-man'!AA$20="R",0,IF(Z71&gt;=100,0,IF(Z72+1&gt;=IF(OR('3-man'!$F$5=TRUE,'3-man'!$F$5="TRUE",'3-man'!$F$5="Yes"),25,50),0,Z72+1)))</f>
        <v/>
      </c>
      <c r="AB72">
        <f>IF('3-man'!AB$20="R",0,IF(AA71&gt;=100,0,IF(AA72+1&gt;=IF(OR('3-man'!$F$5=TRUE,'3-man'!$F$5="TRUE",'3-man'!$F$5="Yes"),25,50),0,AA72+1)))</f>
        <v/>
      </c>
      <c r="AC72">
        <f>IF('3-man'!AC$20="R",0,IF(AB71&gt;=100,0,IF(AB72+1&gt;=IF(OR('3-man'!$F$5=TRUE,'3-man'!$F$5="TRUE",'3-man'!$F$5="Yes"),25,50),0,AB72+1)))</f>
        <v/>
      </c>
      <c r="AD72">
        <f>IF('3-man'!AD$20="R",0,IF(AC71&gt;=100,0,IF(AC72+1&gt;=IF(OR('3-man'!$F$5=TRUE,'3-man'!$F$5="TRUE",'3-man'!$F$5="Yes"),25,50),0,AC72+1)))</f>
        <v/>
      </c>
      <c r="AE72">
        <f>IF('3-man'!AE$20="R",0,IF(AD71&gt;=100,0,IF(AD72+1&gt;=IF(OR('3-man'!$F$5=TRUE,'3-man'!$F$5="TRUE",'3-man'!$F$5="Yes"),25,50),0,AD72+1)))</f>
        <v/>
      </c>
      <c r="AF72">
        <f>IF('3-man'!AF$20="R",0,IF(AE71&gt;=100,0,IF(AE72+1&gt;=IF(OR('3-man'!$F$5=TRUE,'3-man'!$F$5="TRUE",'3-man'!$F$5="Yes"),25,50),0,AE72+1)))</f>
        <v/>
      </c>
      <c r="AG72">
        <f>IF('3-man'!AG$20="R",0,IF(AF71&gt;=100,0,IF(AF72+1&gt;=IF(OR('3-man'!$F$5=TRUE,'3-man'!$F$5="TRUE",'3-man'!$F$5="Yes"),25,50),0,AF72+1)))</f>
        <v/>
      </c>
      <c r="AH72">
        <f>IF('3-man'!AH$20="R",0,IF(AG71&gt;=100,0,IF(AG72+1&gt;=IF(OR('3-man'!$F$5=TRUE,'3-man'!$F$5="TRUE",'3-man'!$F$5="Yes"),25,50),0,AG72+1)))</f>
        <v/>
      </c>
      <c r="AI72">
        <f>IF('3-man'!AI$20="R",0,IF(AH71&gt;=100,0,IF(AH72+1&gt;=IF(OR('3-man'!$F$5=TRUE,'3-man'!$F$5="TRUE",'3-man'!$F$5="Yes"),25,50),0,AH72+1)))</f>
        <v/>
      </c>
      <c r="AJ72">
        <f>IF('3-man'!AJ$20="R",0,IF(AI71&gt;=100,0,IF(AI72+1&gt;=IF(OR('3-man'!$F$5=TRUE,'3-man'!$F$5="TRUE",'3-man'!$F$5="Yes"),25,50),0,AI72+1)))</f>
        <v/>
      </c>
      <c r="AK72">
        <f>IF('3-man'!AK$20="R",0,IF(AJ71&gt;=100,0,IF(AJ72+1&gt;=IF(OR('3-man'!$F$5=TRUE,'3-man'!$F$5="TRUE",'3-man'!$F$5="Yes"),25,50),0,AJ72+1)))</f>
        <v/>
      </c>
      <c r="AL72">
        <f>IF('3-man'!AL$20="R",0,IF(AK71&gt;=100,0,IF(AK72+1&gt;=IF(OR('3-man'!$F$5=TRUE,'3-man'!$F$5="TRUE",'3-man'!$F$5="Yes"),25,50),0,AK72+1)))</f>
        <v/>
      </c>
      <c r="AM72">
        <f>IF('3-man'!AM$20="R",0,IF(AL71&gt;=100,0,IF(AL72+1&gt;=IF(OR('3-man'!$F$5=TRUE,'3-man'!$F$5="TRUE",'3-man'!$F$5="Yes"),25,50),0,AL72+1)))</f>
        <v/>
      </c>
      <c r="AN72">
        <f>IF('3-man'!AN$20="R",0,IF(AM71&gt;=100,0,IF(AM72+1&gt;=IF(OR('3-man'!$F$5=TRUE,'3-man'!$F$5="TRUE",'3-man'!$F$5="Yes"),25,50),0,AM72+1)))</f>
        <v/>
      </c>
      <c r="AO72">
        <f>IF('3-man'!AO$20="R",0,IF(AN71&gt;=100,0,IF(AN72+1&gt;=IF(OR('3-man'!$F$5=TRUE,'3-man'!$F$5="TRUE",'3-man'!$F$5="Yes"),25,50),0,AN72+1)))</f>
        <v/>
      </c>
      <c r="AP72">
        <f>IF('3-man'!AP$20="R",0,IF(AO71&gt;=100,0,IF(AO72+1&gt;=IF(OR('3-man'!$F$5=TRUE,'3-man'!$F$5="TRUE",'3-man'!$F$5="Yes"),25,50),0,AO72+1)))</f>
        <v/>
      </c>
      <c r="AQ72">
        <f>IF('3-man'!AQ$20="R",0,IF(AP71&gt;=100,0,IF(AP72+1&gt;=IF(OR('3-man'!$F$5=TRUE,'3-man'!$F$5="TRUE",'3-man'!$F$5="Yes"),25,50),0,AP72+1)))</f>
        <v/>
      </c>
      <c r="AR72">
        <f>IF('3-man'!AR$20="R",0,IF(AQ71&gt;=100,0,IF(AQ72+1&gt;=IF(OR('3-man'!$F$5=TRUE,'3-man'!$F$5="TRUE",'3-man'!$F$5="Yes"),25,50),0,AQ72+1)))</f>
        <v/>
      </c>
      <c r="AS72">
        <f>IF('3-man'!AS$20="R",0,IF(AR71&gt;=100,0,IF(AR72+1&gt;=IF(OR('3-man'!$F$5=TRUE,'3-man'!$F$5="TRUE",'3-man'!$F$5="Yes"),25,50),0,AR72+1)))</f>
        <v/>
      </c>
      <c r="AT72">
        <f>IF('3-man'!AT$20="R",0,IF(AS71&gt;=100,0,IF(AS72+1&gt;=IF(OR('3-man'!$F$5=TRUE,'3-man'!$F$5="TRUE",'3-man'!$F$5="Yes"),25,50),0,AS72+1)))</f>
        <v/>
      </c>
      <c r="AU72">
        <f>IF('3-man'!AU$20="R",0,IF(AT71&gt;=100,0,IF(AT72+1&gt;=IF(OR('3-man'!$F$5=TRUE,'3-man'!$F$5="TRUE",'3-man'!$F$5="Yes"),25,50),0,AT72+1)))</f>
        <v/>
      </c>
      <c r="AV72">
        <f>IF('3-man'!AV$20="R",0,IF(AU71&gt;=100,0,IF(AU72+1&gt;=IF(OR('3-man'!$F$5=TRUE,'3-man'!$F$5="TRUE",'3-man'!$F$5="Yes"),25,50),0,AU72+1)))</f>
        <v/>
      </c>
      <c r="AW72">
        <f>IF('3-man'!AW$20="R",0,IF(AV71&gt;=100,0,IF(AV72+1&gt;=IF(OR('3-man'!$F$5=TRUE,'3-man'!$F$5="TRUE",'3-man'!$F$5="Yes"),25,50),0,AV72+1)))</f>
        <v/>
      </c>
      <c r="AX72">
        <f>IF('3-man'!AX$20="R",0,IF(AW71&gt;=100,0,IF(AW72+1&gt;=IF(OR('3-man'!$F$5=TRUE,'3-man'!$F$5="TRUE",'3-man'!$F$5="Yes"),25,50),0,AW72+1)))</f>
        <v/>
      </c>
      <c r="AY72">
        <f>IF('3-man'!AY$20="R",0,IF(AX71&gt;=100,0,IF(AX72+1&gt;=IF(OR('3-man'!$F$5=TRUE,'3-man'!$F$5="TRUE",'3-man'!$F$5="Yes"),25,50),0,AX72+1)))</f>
        <v/>
      </c>
      <c r="AZ72">
        <f>IF('3-man'!AZ$20="R",0,IF(AY71&gt;=100,0,IF(AY72+1&gt;=IF(OR('3-man'!$F$5=TRUE,'3-man'!$F$5="TRUE",'3-man'!$F$5="Yes"),25,50),0,AY72+1)))</f>
        <v/>
      </c>
      <c r="BA72">
        <f>IF('3-man'!BA$20="R",0,IF(AZ71&gt;=100,0,IF(AZ72+1&gt;=IF(OR('3-man'!$F$5=TRUE,'3-man'!$F$5="TRUE",'3-man'!$F$5="Yes"),25,50),0,AZ72+1)))</f>
        <v/>
      </c>
      <c r="BB72">
        <f>IF('3-man'!BB$20="R",0,IF(BA71&gt;=100,0,IF(BA72+1&gt;=IF(OR('3-man'!$F$5=TRUE,'3-man'!$F$5="TRUE",'3-man'!$F$5="Yes"),25,50),0,BA72+1)))</f>
        <v/>
      </c>
      <c r="BC72">
        <f>IF('3-man'!BC$20="R",0,IF(BB71&gt;=100,0,IF(BB72+1&gt;=IF(OR('3-man'!$F$5=TRUE,'3-man'!$F$5="TRUE",'3-man'!$F$5="Yes"),25,50),0,BB72+1)))</f>
        <v/>
      </c>
      <c r="BD72">
        <f>IF('3-man'!BD$20="R",0,IF(BC71&gt;=100,0,IF(BC72+1&gt;=IF(OR('3-man'!$F$5=TRUE,'3-man'!$F$5="TRUE",'3-man'!$F$5="Yes"),25,50),0,BC72+1)))</f>
        <v/>
      </c>
      <c r="BE72">
        <f>IF('3-man'!BE$20="R",0,IF(BD71&gt;=100,0,IF(BD72+1&gt;=IF(OR('3-man'!$F$5=TRUE,'3-man'!$F$5="TRUE",'3-man'!$F$5="Yes"),25,50),0,BD72+1)))</f>
        <v/>
      </c>
      <c r="BF72">
        <f>IF('3-man'!BF$20="R",0,IF(BE71&gt;=100,0,IF(BE72+1&gt;=IF(OR('3-man'!$F$5=TRUE,'3-man'!$F$5="TRUE",'3-man'!$F$5="Yes"),25,50),0,BE72+1)))</f>
        <v/>
      </c>
      <c r="BG72">
        <f>IF('3-man'!BG$20="R",0,IF(BF71&gt;=100,0,IF(BF72+1&gt;=IF(OR('3-man'!$F$5=TRUE,'3-man'!$F$5="TRUE",'3-man'!$F$5="Yes"),25,50),0,BF72+1)))</f>
        <v/>
      </c>
      <c r="BH72">
        <f>IF('3-man'!BH$20="R",0,IF(BG71&gt;=100,0,IF(BG72+1&gt;=IF(OR('3-man'!$F$5=TRUE,'3-man'!$F$5="TRUE",'3-man'!$F$5="Yes"),25,50),0,BG72+1)))</f>
        <v/>
      </c>
      <c r="BI72">
        <f>IF('3-man'!BI$20="R",0,IF(BH71&gt;=100,0,IF(BH72+1&gt;=IF(OR('3-man'!$F$5=TRUE,'3-man'!$F$5="TRUE",'3-man'!$F$5="Yes"),25,50),0,BH72+1)))</f>
        <v/>
      </c>
      <c r="BJ72">
        <f>IF('3-man'!BJ$20="R",0,IF(BI71&gt;=100,0,IF(BI72+1&gt;=IF(OR('3-man'!$F$5=TRUE,'3-man'!$F$5="TRUE",'3-man'!$F$5="Yes"),25,50),0,BI72+1)))</f>
        <v/>
      </c>
      <c r="BK72">
        <f>IF('3-man'!BK$20="R",0,IF(BJ71&gt;=100,0,IF(BJ72+1&gt;=IF(OR('3-man'!$F$5=TRUE,'3-man'!$F$5="TRUE",'3-man'!$F$5="Yes"),25,50),0,BJ72+1)))</f>
        <v/>
      </c>
      <c r="BL72">
        <f>IF('3-man'!BL$20="R",0,IF(BK71&gt;=100,0,IF(BK72+1&gt;=IF(OR('3-man'!$F$5=TRUE,'3-man'!$F$5="TRUE",'3-man'!$F$5="Yes"),25,50),0,BK72+1)))</f>
        <v/>
      </c>
      <c r="BM72">
        <f>IF('3-man'!BM$20="R",0,IF(BL71&gt;=100,0,IF(BL72+1&gt;=IF(OR('3-man'!$F$5=TRUE,'3-man'!$F$5="TRUE",'3-man'!$F$5="Yes"),25,50),0,BL72+1)))</f>
        <v/>
      </c>
      <c r="BN72">
        <f>IF('3-man'!BN$20="R",0,IF(BM71&gt;=100,0,IF(BM72+1&gt;=IF(OR('3-man'!$F$5=TRUE,'3-man'!$F$5="TRUE",'3-man'!$F$5="Yes"),25,50),0,BM72+1)))</f>
        <v/>
      </c>
      <c r="BO72">
        <f>IF('3-man'!BO$20="R",0,IF(BN71&gt;=100,0,IF(BN72+1&gt;=IF(OR('3-man'!$F$5=TRUE,'3-man'!$F$5="TRUE",'3-man'!$F$5="Yes"),25,50),0,BN72+1)))</f>
        <v/>
      </c>
      <c r="BP72">
        <f>IF('3-man'!BP$20="R",0,IF(BO71&gt;=100,0,IF(BO72+1&gt;=IF(OR('3-man'!$F$5=TRUE,'3-man'!$F$5="TRUE",'3-man'!$F$5="Yes"),25,50),0,BO72+1)))</f>
        <v/>
      </c>
      <c r="BQ72">
        <f>IF('3-man'!BQ$20="R",0,IF(BP71&gt;=100,0,IF(BP72+1&gt;=IF(OR('3-man'!$F$5=TRUE,'3-man'!$F$5="TRUE",'3-man'!$F$5="Yes"),25,50),0,BP72+1)))</f>
        <v/>
      </c>
      <c r="BR72">
        <f>IF('3-man'!BR$20="R",0,IF(BQ71&gt;=100,0,IF(BQ72+1&gt;=IF(OR('3-man'!$F$5=TRUE,'3-man'!$F$5="TRUE",'3-man'!$F$5="Yes"),25,50),0,BQ72+1)))</f>
        <v/>
      </c>
      <c r="BS72">
        <f>IF('3-man'!BS$20="R",0,IF(BR71&gt;=100,0,IF(BR72+1&gt;=IF(OR('3-man'!$F$5=TRUE,'3-man'!$F$5="TRUE",'3-man'!$F$5="Yes"),25,50),0,BR72+1)))</f>
        <v/>
      </c>
      <c r="BT72">
        <f>IF('3-man'!BT$20="R",0,IF(BS71&gt;=100,0,IF(BS72+1&gt;=IF(OR('3-man'!$F$5=TRUE,'3-man'!$F$5="TRUE",'3-man'!$F$5="Yes"),25,50),0,BS72+1)))</f>
        <v/>
      </c>
      <c r="BU72">
        <f>IF('3-man'!BU$20="R",0,IF(BT71&gt;=100,0,IF(BT72+1&gt;=IF(OR('3-man'!$F$5=TRUE,'3-man'!$F$5="TRUE",'3-man'!$F$5="Yes"),25,50),0,BT72+1)))</f>
        <v/>
      </c>
      <c r="BV72">
        <f>IF('3-man'!BV$20="R",0,IF(BU71&gt;=100,0,IF(BU72+1&gt;=IF(OR('3-man'!$F$5=TRUE,'3-man'!$F$5="TRUE",'3-man'!$F$5="Yes"),25,50),0,BU72+1)))</f>
        <v/>
      </c>
      <c r="BW72">
        <f>IF('3-man'!BW$20="R",0,IF(BV71&gt;=100,0,IF(BV72+1&gt;=IF(OR('3-man'!$F$5=TRUE,'3-man'!$F$5="TRUE",'3-man'!$F$5="Yes"),25,50),0,BV72+1)))</f>
        <v/>
      </c>
      <c r="BX72">
        <f>IF('3-man'!BX$20="R",0,IF(BW71&gt;=100,0,IF(BW72+1&gt;=IF(OR('3-man'!$F$5=TRUE,'3-man'!$F$5="TRUE",'3-man'!$F$5="Yes"),25,50),0,BW72+1)))</f>
        <v/>
      </c>
      <c r="BY72">
        <f>IF('3-man'!BY$20="R",0,IF(BX71&gt;=100,0,IF(BX72+1&gt;=IF(OR('3-man'!$F$5=TRUE,'3-man'!$F$5="TRUE",'3-man'!$F$5="Yes"),25,50),0,BX72+1)))</f>
        <v/>
      </c>
      <c r="BZ72">
        <f>IF('3-man'!BZ$20="R",0,IF(BY71&gt;=100,0,IF(BY72+1&gt;=IF(OR('3-man'!$F$5=TRUE,'3-man'!$F$5="TRUE",'3-man'!$F$5="Yes"),25,50),0,BY72+1)))</f>
        <v/>
      </c>
      <c r="CA72">
        <f>IF('3-man'!CA$20="R",0,IF(BZ71&gt;=100,0,IF(BZ72+1&gt;=IF(OR('3-man'!$F$5=TRUE,'3-man'!$F$5="TRUE",'3-man'!$F$5="Yes"),25,50),0,BZ72+1)))</f>
        <v/>
      </c>
      <c r="CB72">
        <f>IF('3-man'!CB$20="R",0,IF(CA71&gt;=100,0,IF(CA72+1&gt;=IF(OR('3-man'!$F$5=TRUE,'3-man'!$F$5="TRUE",'3-man'!$F$5="Yes"),25,50),0,CA72+1)))</f>
        <v/>
      </c>
      <c r="CC72">
        <f>IF('3-man'!CC$20="R",0,IF(CB71&gt;=100,0,IF(CB72+1&gt;=IF(OR('3-man'!$F$5=TRUE,'3-man'!$F$5="TRUE",'3-man'!$F$5="Yes"),25,50),0,CB72+1)))</f>
        <v/>
      </c>
      <c r="CD72">
        <f>IF('3-man'!CD$20="R",0,IF(CC71&gt;=100,0,IF(CC72+1&gt;=IF(OR('3-man'!$F$5=TRUE,'3-man'!$F$5="TRUE",'3-man'!$F$5="Yes"),25,50),0,CC72+1)))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row>
    <row r="77">
      <c r="A77" t="inlineStr">
        <is>
          <t>P2 act</t>
        </is>
      </c>
      <c r="C77">
        <f>IF(OR('3-man'!C$20="P",'3-man'!C$20="R",AND('3-man'!C$18&lt;=IF('3-man'!$BF$4="",999,'3-man'!$BF$4),OR('3-man'!C$20="D",LEFT('3-man'!C$20,3)="ST&gt;",OR(AND('3-man'!C$19="ST&gt;2",C62&gt;=100),AND('3-man'!C$21="ST&gt;2",C78&gt;=100))))),'3-man'!C$18,0)</f>
        <v/>
      </c>
      <c r="D77">
        <f>IF(OR('3-man'!D$20="P",'3-man'!D$20="R",AND('3-man'!D$18&lt;=IF('3-man'!$BF$4="",999,'3-man'!$BF$4),OR('3-man'!D$20="D",LEFT('3-man'!D$20,3)="ST&gt;",OR(AND('3-man'!D$19="ST&gt;2",D62&gt;=100),AND('3-man'!D$21="ST&gt;2",D78&gt;=100))))),'3-man'!D$18,0)</f>
        <v/>
      </c>
      <c r="E77">
        <f>IF(OR('3-man'!E$20="P",'3-man'!E$20="R",AND('3-man'!E$18&lt;=IF('3-man'!$BF$4="",999,'3-man'!$BF$4),OR('3-man'!E$20="D",LEFT('3-man'!E$20,3)="ST&gt;",OR(AND('3-man'!E$19="ST&gt;2",E62&gt;=100),AND('3-man'!E$21="ST&gt;2",E78&gt;=100))))),'3-man'!E$18,0)</f>
        <v/>
      </c>
      <c r="F77">
        <f>IF(OR('3-man'!F$20="P",'3-man'!F$20="R",AND('3-man'!F$18&lt;=IF('3-man'!$BF$4="",999,'3-man'!$BF$4),OR('3-man'!F$20="D",LEFT('3-man'!F$20,3)="ST&gt;",OR(AND('3-man'!F$19="ST&gt;2",F62&gt;=100),AND('3-man'!F$21="ST&gt;2",F78&gt;=100))))),'3-man'!F$18,0)</f>
        <v/>
      </c>
      <c r="G77">
        <f>IF(OR('3-man'!G$20="P",'3-man'!G$20="R",AND('3-man'!G$18&lt;=IF('3-man'!$BF$4="",999,'3-man'!$BF$4),OR('3-man'!G$20="D",LEFT('3-man'!G$20,3)="ST&gt;",OR(AND('3-man'!G$19="ST&gt;2",G62&gt;=100),AND('3-man'!G$21="ST&gt;2",G78&gt;=100))))),'3-man'!G$18,0)</f>
        <v/>
      </c>
      <c r="H77">
        <f>IF(OR('3-man'!H$20="P",'3-man'!H$20="R",AND('3-man'!H$18&lt;=IF('3-man'!$BF$4="",999,'3-man'!$BF$4),OR('3-man'!H$20="D",LEFT('3-man'!H$20,3)="ST&gt;",OR(AND('3-man'!H$19="ST&gt;2",H62&gt;=100),AND('3-man'!H$21="ST&gt;2",H78&gt;=100))))),'3-man'!H$18,0)</f>
        <v/>
      </c>
      <c r="I77">
        <f>IF(OR('3-man'!I$20="P",'3-man'!I$20="R",AND('3-man'!I$18&lt;=IF('3-man'!$BF$4="",999,'3-man'!$BF$4),OR('3-man'!I$20="D",LEFT('3-man'!I$20,3)="ST&gt;",OR(AND('3-man'!I$19="ST&gt;2",I62&gt;=100),AND('3-man'!I$21="ST&gt;2",I78&gt;=100))))),'3-man'!I$18,0)</f>
        <v/>
      </c>
      <c r="J77">
        <f>IF(OR('3-man'!J$20="P",'3-man'!J$20="R",AND('3-man'!J$18&lt;=IF('3-man'!$BF$4="",999,'3-man'!$BF$4),OR('3-man'!J$20="D",LEFT('3-man'!J$20,3)="ST&gt;",OR(AND('3-man'!J$19="ST&gt;2",J62&gt;=100),AND('3-man'!J$21="ST&gt;2",J78&gt;=100))))),'3-man'!J$18,0)</f>
        <v/>
      </c>
      <c r="K77">
        <f>IF(OR('3-man'!K$20="P",'3-man'!K$20="R",AND('3-man'!K$18&lt;=IF('3-man'!$BF$4="",999,'3-man'!$BF$4),OR('3-man'!K$20="D",LEFT('3-man'!K$20,3)="ST&gt;",OR(AND('3-man'!K$19="ST&gt;2",K62&gt;=100),AND('3-man'!K$21="ST&gt;2",K78&gt;=100))))),'3-man'!K$18,0)</f>
        <v/>
      </c>
      <c r="L77">
        <f>IF(OR('3-man'!L$20="P",'3-man'!L$20="R",AND('3-man'!L$18&lt;=IF('3-man'!$BF$4="",999,'3-man'!$BF$4),OR('3-man'!L$20="D",LEFT('3-man'!L$20,3)="ST&gt;",OR(AND('3-man'!L$19="ST&gt;2",L62&gt;=100),AND('3-man'!L$21="ST&gt;2",L78&gt;=100))))),'3-man'!L$18,0)</f>
        <v/>
      </c>
      <c r="M77">
        <f>IF(OR('3-man'!M$20="P",'3-man'!M$20="R",AND('3-man'!M$18&lt;=IF('3-man'!$BF$4="",999,'3-man'!$BF$4),OR('3-man'!M$20="D",LEFT('3-man'!M$20,3)="ST&gt;",OR(AND('3-man'!M$19="ST&gt;2",M62&gt;=100),AND('3-man'!M$21="ST&gt;2",M78&gt;=100))))),'3-man'!M$18,0)</f>
        <v/>
      </c>
      <c r="N77">
        <f>IF(OR('3-man'!N$20="P",'3-man'!N$20="R",AND('3-man'!N$18&lt;=IF('3-man'!$BF$4="",999,'3-man'!$BF$4),OR('3-man'!N$20="D",LEFT('3-man'!N$20,3)="ST&gt;",OR(AND('3-man'!N$19="ST&gt;2",N62&gt;=100),AND('3-man'!N$21="ST&gt;2",N78&gt;=100))))),'3-man'!N$18,0)</f>
        <v/>
      </c>
      <c r="O77">
        <f>IF(OR('3-man'!O$20="P",'3-man'!O$20="R",AND('3-man'!O$18&lt;=IF('3-man'!$BF$4="",999,'3-man'!$BF$4),OR('3-man'!O$20="D",LEFT('3-man'!O$20,3)="ST&gt;",OR(AND('3-man'!O$19="ST&gt;2",O62&gt;=100),AND('3-man'!O$21="ST&gt;2",O78&gt;=100))))),'3-man'!O$18,0)</f>
        <v/>
      </c>
      <c r="P77">
        <f>IF(OR('3-man'!P$20="P",'3-man'!P$20="R",AND('3-man'!P$18&lt;=IF('3-man'!$BF$4="",999,'3-man'!$BF$4),OR('3-man'!P$20="D",LEFT('3-man'!P$20,3)="ST&gt;",OR(AND('3-man'!P$19="ST&gt;2",P62&gt;=100),AND('3-man'!P$21="ST&gt;2",P78&gt;=100))))),'3-man'!P$18,0)</f>
        <v/>
      </c>
      <c r="Q77">
        <f>IF(OR('3-man'!Q$20="P",'3-man'!Q$20="R",AND('3-man'!Q$18&lt;=IF('3-man'!$BF$4="",999,'3-man'!$BF$4),OR('3-man'!Q$20="D",LEFT('3-man'!Q$20,3)="ST&gt;",OR(AND('3-man'!Q$19="ST&gt;2",Q62&gt;=100),AND('3-man'!Q$21="ST&gt;2",Q78&gt;=100))))),'3-man'!Q$18,0)</f>
        <v/>
      </c>
      <c r="R77">
        <f>IF(OR('3-man'!R$20="P",'3-man'!R$20="R",AND('3-man'!R$18&lt;=IF('3-man'!$BF$4="",999,'3-man'!$BF$4),OR('3-man'!R$20="D",LEFT('3-man'!R$20,3)="ST&gt;",OR(AND('3-man'!R$19="ST&gt;2",R62&gt;=100),AND('3-man'!R$21="ST&gt;2",R78&gt;=100))))),'3-man'!R$18,0)</f>
        <v/>
      </c>
      <c r="S77">
        <f>IF(OR('3-man'!S$20="P",'3-man'!S$20="R",AND('3-man'!S$18&lt;=IF('3-man'!$BF$4="",999,'3-man'!$BF$4),OR('3-man'!S$20="D",LEFT('3-man'!S$20,3)="ST&gt;",OR(AND('3-man'!S$19="ST&gt;2",S62&gt;=100),AND('3-man'!S$21="ST&gt;2",S78&gt;=100))))),'3-man'!S$18,0)</f>
        <v/>
      </c>
      <c r="T77">
        <f>IF(OR('3-man'!T$20="P",'3-man'!T$20="R",AND('3-man'!T$18&lt;=IF('3-man'!$BF$4="",999,'3-man'!$BF$4),OR('3-man'!T$20="D",LEFT('3-man'!T$20,3)="ST&gt;",OR(AND('3-man'!T$19="ST&gt;2",T62&gt;=100),AND('3-man'!T$21="ST&gt;2",T78&gt;=100))))),'3-man'!T$18,0)</f>
        <v/>
      </c>
      <c r="U77">
        <f>IF(OR('3-man'!U$20="P",'3-man'!U$20="R",AND('3-man'!U$18&lt;=IF('3-man'!$BF$4="",999,'3-man'!$BF$4),OR('3-man'!U$20="D",LEFT('3-man'!U$20,3)="ST&gt;",OR(AND('3-man'!U$19="ST&gt;2",U62&gt;=100),AND('3-man'!U$21="ST&gt;2",U78&gt;=100))))),'3-man'!U$18,0)</f>
        <v/>
      </c>
      <c r="V77">
        <f>IF(OR('3-man'!V$20="P",'3-man'!V$20="R",AND('3-man'!V$18&lt;=IF('3-man'!$BF$4="",999,'3-man'!$BF$4),OR('3-man'!V$20="D",LEFT('3-man'!V$20,3)="ST&gt;",OR(AND('3-man'!V$19="ST&gt;2",V62&gt;=100),AND('3-man'!V$21="ST&gt;2",V78&gt;=100))))),'3-man'!V$18,0)</f>
        <v/>
      </c>
      <c r="W77">
        <f>IF(OR('3-man'!W$20="P",'3-man'!W$20="R",AND('3-man'!W$18&lt;=IF('3-man'!$BF$4="",999,'3-man'!$BF$4),OR('3-man'!W$20="D",LEFT('3-man'!W$20,3)="ST&gt;",OR(AND('3-man'!W$19="ST&gt;2",W62&gt;=100),AND('3-man'!W$21="ST&gt;2",W78&gt;=100))))),'3-man'!W$18,0)</f>
        <v/>
      </c>
      <c r="X77">
        <f>IF(OR('3-man'!X$20="P",'3-man'!X$20="R",AND('3-man'!X$18&lt;=IF('3-man'!$BF$4="",999,'3-man'!$BF$4),OR('3-man'!X$20="D",LEFT('3-man'!X$20,3)="ST&gt;",OR(AND('3-man'!X$19="ST&gt;2",X62&gt;=100),AND('3-man'!X$21="ST&gt;2",X78&gt;=100))))),'3-man'!X$18,0)</f>
        <v/>
      </c>
      <c r="Y77">
        <f>IF(OR('3-man'!Y$20="P",'3-man'!Y$20="R",AND('3-man'!Y$18&lt;=IF('3-man'!$BF$4="",999,'3-man'!$BF$4),OR('3-man'!Y$20="D",LEFT('3-man'!Y$20,3)="ST&gt;",OR(AND('3-man'!Y$19="ST&gt;2",Y62&gt;=100),AND('3-man'!Y$21="ST&gt;2",Y78&gt;=100))))),'3-man'!Y$18,0)</f>
        <v/>
      </c>
      <c r="Z77">
        <f>IF(OR('3-man'!Z$20="P",'3-man'!Z$20="R",AND('3-man'!Z$18&lt;=IF('3-man'!$BF$4="",999,'3-man'!$BF$4),OR('3-man'!Z$20="D",LEFT('3-man'!Z$20,3)="ST&gt;",OR(AND('3-man'!Z$19="ST&gt;2",Z62&gt;=100),AND('3-man'!Z$21="ST&gt;2",Z78&gt;=100))))),'3-man'!Z$18,0)</f>
        <v/>
      </c>
      <c r="AA77">
        <f>IF(OR('3-man'!AA$20="P",'3-man'!AA$20="R",AND('3-man'!AA$18&lt;=IF('3-man'!$BF$4="",999,'3-man'!$BF$4),OR('3-man'!AA$20="D",LEFT('3-man'!AA$20,3)="ST&gt;",OR(AND('3-man'!AA$19="ST&gt;2",AA62&gt;=100),AND('3-man'!AA$21="ST&gt;2",AA78&gt;=100))))),'3-man'!AA$18,0)</f>
        <v/>
      </c>
      <c r="AB77">
        <f>IF(OR('3-man'!AB$20="P",'3-man'!AB$20="R",AND('3-man'!AB$18&lt;=IF('3-man'!$BF$4="",999,'3-man'!$BF$4),OR('3-man'!AB$20="D",LEFT('3-man'!AB$20,3)="ST&gt;",OR(AND('3-man'!AB$19="ST&gt;2",AB62&gt;=100),AND('3-man'!AB$21="ST&gt;2",AB78&gt;=100))))),'3-man'!AB$18,0)</f>
        <v/>
      </c>
      <c r="AC77">
        <f>IF(OR('3-man'!AC$20="P",'3-man'!AC$20="R",AND('3-man'!AC$18&lt;=IF('3-man'!$BF$4="",999,'3-man'!$BF$4),OR('3-man'!AC$20="D",LEFT('3-man'!AC$20,3)="ST&gt;",OR(AND('3-man'!AC$19="ST&gt;2",AC62&gt;=100),AND('3-man'!AC$21="ST&gt;2",AC78&gt;=100))))),'3-man'!AC$18,0)</f>
        <v/>
      </c>
      <c r="AD77">
        <f>IF(OR('3-man'!AD$20="P",'3-man'!AD$20="R",AND('3-man'!AD$18&lt;=IF('3-man'!$BF$4="",999,'3-man'!$BF$4),OR('3-man'!AD$20="D",LEFT('3-man'!AD$20,3)="ST&gt;",OR(AND('3-man'!AD$19="ST&gt;2",AD62&gt;=100),AND('3-man'!AD$21="ST&gt;2",AD78&gt;=100))))),'3-man'!AD$18,0)</f>
        <v/>
      </c>
      <c r="AE77">
        <f>IF(OR('3-man'!AE$20="P",'3-man'!AE$20="R",AND('3-man'!AE$18&lt;=IF('3-man'!$BF$4="",999,'3-man'!$BF$4),OR('3-man'!AE$20="D",LEFT('3-man'!AE$20,3)="ST&gt;",OR(AND('3-man'!AE$19="ST&gt;2",AE62&gt;=100),AND('3-man'!AE$21="ST&gt;2",AE78&gt;=100))))),'3-man'!AE$18,0)</f>
        <v/>
      </c>
      <c r="AF77">
        <f>IF(OR('3-man'!AF$20="P",'3-man'!AF$20="R",AND('3-man'!AF$18&lt;=IF('3-man'!$BF$4="",999,'3-man'!$BF$4),OR('3-man'!AF$20="D",LEFT('3-man'!AF$20,3)="ST&gt;",OR(AND('3-man'!AF$19="ST&gt;2",AF62&gt;=100),AND('3-man'!AF$21="ST&gt;2",AF78&gt;=100))))),'3-man'!AF$18,0)</f>
        <v/>
      </c>
      <c r="AG77">
        <f>IF(OR('3-man'!AG$20="P",'3-man'!AG$20="R",AND('3-man'!AG$18&lt;=IF('3-man'!$BF$4="",999,'3-man'!$BF$4),OR('3-man'!AG$20="D",LEFT('3-man'!AG$20,3)="ST&gt;",OR(AND('3-man'!AG$19="ST&gt;2",AG62&gt;=100),AND('3-man'!AG$21="ST&gt;2",AG78&gt;=100))))),'3-man'!AG$18,0)</f>
        <v/>
      </c>
      <c r="AH77">
        <f>IF(OR('3-man'!AH$20="P",'3-man'!AH$20="R",AND('3-man'!AH$18&lt;=IF('3-man'!$BF$4="",999,'3-man'!$BF$4),OR('3-man'!AH$20="D",LEFT('3-man'!AH$20,3)="ST&gt;",OR(AND('3-man'!AH$19="ST&gt;2",AH62&gt;=100),AND('3-man'!AH$21="ST&gt;2",AH78&gt;=100))))),'3-man'!AH$18,0)</f>
        <v/>
      </c>
      <c r="AI77">
        <f>IF(OR('3-man'!AI$20="P",'3-man'!AI$20="R",AND('3-man'!AI$18&lt;=IF('3-man'!$BF$4="",999,'3-man'!$BF$4),OR('3-man'!AI$20="D",LEFT('3-man'!AI$20,3)="ST&gt;",OR(AND('3-man'!AI$19="ST&gt;2",AI62&gt;=100),AND('3-man'!AI$21="ST&gt;2",AI78&gt;=100))))),'3-man'!AI$18,0)</f>
        <v/>
      </c>
      <c r="AJ77">
        <f>IF(OR('3-man'!AJ$20="P",'3-man'!AJ$20="R",AND('3-man'!AJ$18&lt;=IF('3-man'!$BF$4="",999,'3-man'!$BF$4),OR('3-man'!AJ$20="D",LEFT('3-man'!AJ$20,3)="ST&gt;",OR(AND('3-man'!AJ$19="ST&gt;2",AJ62&gt;=100),AND('3-man'!AJ$21="ST&gt;2",AJ78&gt;=100))))),'3-man'!AJ$18,0)</f>
        <v/>
      </c>
      <c r="AK77">
        <f>IF(OR('3-man'!AK$20="P",'3-man'!AK$20="R",AND('3-man'!AK$18&lt;=IF('3-man'!$BF$4="",999,'3-man'!$BF$4),OR('3-man'!AK$20="D",LEFT('3-man'!AK$20,3)="ST&gt;",OR(AND('3-man'!AK$19="ST&gt;2",AK62&gt;=100),AND('3-man'!AK$21="ST&gt;2",AK78&gt;=100))))),'3-man'!AK$18,0)</f>
        <v/>
      </c>
      <c r="AL77">
        <f>IF(OR('3-man'!AL$20="P",'3-man'!AL$20="R",AND('3-man'!AL$18&lt;=IF('3-man'!$BF$4="",999,'3-man'!$BF$4),OR('3-man'!AL$20="D",LEFT('3-man'!AL$20,3)="ST&gt;",OR(AND('3-man'!AL$19="ST&gt;2",AL62&gt;=100),AND('3-man'!AL$21="ST&gt;2",AL78&gt;=100))))),'3-man'!AL$18,0)</f>
        <v/>
      </c>
      <c r="AM77">
        <f>IF(OR('3-man'!AM$20="P",'3-man'!AM$20="R",AND('3-man'!AM$18&lt;=IF('3-man'!$BF$4="",999,'3-man'!$BF$4),OR('3-man'!AM$20="D",LEFT('3-man'!AM$20,3)="ST&gt;",OR(AND('3-man'!AM$19="ST&gt;2",AM62&gt;=100),AND('3-man'!AM$21="ST&gt;2",AM78&gt;=100))))),'3-man'!AM$18,0)</f>
        <v/>
      </c>
      <c r="AN77">
        <f>IF(OR('3-man'!AN$20="P",'3-man'!AN$20="R",AND('3-man'!AN$18&lt;=IF('3-man'!$BF$4="",999,'3-man'!$BF$4),OR('3-man'!AN$20="D",LEFT('3-man'!AN$20,3)="ST&gt;",OR(AND('3-man'!AN$19="ST&gt;2",AN62&gt;=100),AND('3-man'!AN$21="ST&gt;2",AN78&gt;=100))))),'3-man'!AN$18,0)</f>
        <v/>
      </c>
      <c r="AO77">
        <f>IF(OR('3-man'!AO$20="P",'3-man'!AO$20="R",AND('3-man'!AO$18&lt;=IF('3-man'!$BF$4="",999,'3-man'!$BF$4),OR('3-man'!AO$20="D",LEFT('3-man'!AO$20,3)="ST&gt;",OR(AND('3-man'!AO$19="ST&gt;2",AO62&gt;=100),AND('3-man'!AO$21="ST&gt;2",AO78&gt;=100))))),'3-man'!AO$18,0)</f>
        <v/>
      </c>
      <c r="AP77">
        <f>IF(OR('3-man'!AP$20="P",'3-man'!AP$20="R",AND('3-man'!AP$18&lt;=IF('3-man'!$BF$4="",999,'3-man'!$BF$4),OR('3-man'!AP$20="D",LEFT('3-man'!AP$20,3)="ST&gt;",OR(AND('3-man'!AP$19="ST&gt;2",AP62&gt;=100),AND('3-man'!AP$21="ST&gt;2",AP78&gt;=100))))),'3-man'!AP$18,0)</f>
        <v/>
      </c>
      <c r="AQ77">
        <f>IF(OR('3-man'!AQ$20="P",'3-man'!AQ$20="R",AND('3-man'!AQ$18&lt;=IF('3-man'!$BF$4="",999,'3-man'!$BF$4),OR('3-man'!AQ$20="D",LEFT('3-man'!AQ$20,3)="ST&gt;",OR(AND('3-man'!AQ$19="ST&gt;2",AQ62&gt;=100),AND('3-man'!AQ$21="ST&gt;2",AQ78&gt;=100))))),'3-man'!AQ$18,0)</f>
        <v/>
      </c>
      <c r="AR77">
        <f>IF(OR('3-man'!AR$20="P",'3-man'!AR$20="R",AND('3-man'!AR$18&lt;=IF('3-man'!$BF$4="",999,'3-man'!$BF$4),OR('3-man'!AR$20="D",LEFT('3-man'!AR$20,3)="ST&gt;",OR(AND('3-man'!AR$19="ST&gt;2",AR62&gt;=100),AND('3-man'!AR$21="ST&gt;2",AR78&gt;=100))))),'3-man'!AR$18,0)</f>
        <v/>
      </c>
      <c r="AS77">
        <f>IF(OR('3-man'!AS$20="P",'3-man'!AS$20="R",AND('3-man'!AS$18&lt;=IF('3-man'!$BF$4="",999,'3-man'!$BF$4),OR('3-man'!AS$20="D",LEFT('3-man'!AS$20,3)="ST&gt;",OR(AND('3-man'!AS$19="ST&gt;2",AS62&gt;=100),AND('3-man'!AS$21="ST&gt;2",AS78&gt;=100))))),'3-man'!AS$18,0)</f>
        <v/>
      </c>
      <c r="AT77">
        <f>IF(OR('3-man'!AT$20="P",'3-man'!AT$20="R",AND('3-man'!AT$18&lt;=IF('3-man'!$BF$4="",999,'3-man'!$BF$4),OR('3-man'!AT$20="D",LEFT('3-man'!AT$20,3)="ST&gt;",OR(AND('3-man'!AT$19="ST&gt;2",AT62&gt;=100),AND('3-man'!AT$21="ST&gt;2",AT78&gt;=100))))),'3-man'!AT$18,0)</f>
        <v/>
      </c>
      <c r="AU77">
        <f>IF(OR('3-man'!AU$20="P",'3-man'!AU$20="R",AND('3-man'!AU$18&lt;=IF('3-man'!$BF$4="",999,'3-man'!$BF$4),OR('3-man'!AU$20="D",LEFT('3-man'!AU$20,3)="ST&gt;",OR(AND('3-man'!AU$19="ST&gt;2",AU62&gt;=100),AND('3-man'!AU$21="ST&gt;2",AU78&gt;=100))))),'3-man'!AU$18,0)</f>
        <v/>
      </c>
      <c r="AV77">
        <f>IF(OR('3-man'!AV$20="P",'3-man'!AV$20="R",AND('3-man'!AV$18&lt;=IF('3-man'!$BF$4="",999,'3-man'!$BF$4),OR('3-man'!AV$20="D",LEFT('3-man'!AV$20,3)="ST&gt;",OR(AND('3-man'!AV$19="ST&gt;2",AV62&gt;=100),AND('3-man'!AV$21="ST&gt;2",AV78&gt;=100))))),'3-man'!AV$18,0)</f>
        <v/>
      </c>
      <c r="AW77">
        <f>IF(OR('3-man'!AW$20="P",'3-man'!AW$20="R",AND('3-man'!AW$18&lt;=IF('3-man'!$BF$4="",999,'3-man'!$BF$4),OR('3-man'!AW$20="D",LEFT('3-man'!AW$20,3)="ST&gt;",OR(AND('3-man'!AW$19="ST&gt;2",AW62&gt;=100),AND('3-man'!AW$21="ST&gt;2",AW78&gt;=100))))),'3-man'!AW$18,0)</f>
        <v/>
      </c>
      <c r="AX77">
        <f>IF(OR('3-man'!AX$20="P",'3-man'!AX$20="R",AND('3-man'!AX$18&lt;=IF('3-man'!$BF$4="",999,'3-man'!$BF$4),OR('3-man'!AX$20="D",LEFT('3-man'!AX$20,3)="ST&gt;",OR(AND('3-man'!AX$19="ST&gt;2",AX62&gt;=100),AND('3-man'!AX$21="ST&gt;2",AX78&gt;=100))))),'3-man'!AX$18,0)</f>
        <v/>
      </c>
      <c r="AY77">
        <f>IF(OR('3-man'!AY$20="P",'3-man'!AY$20="R",AND('3-man'!AY$18&lt;=IF('3-man'!$BF$4="",999,'3-man'!$BF$4),OR('3-man'!AY$20="D",LEFT('3-man'!AY$20,3)="ST&gt;",OR(AND('3-man'!AY$19="ST&gt;2",AY62&gt;=100),AND('3-man'!AY$21="ST&gt;2",AY78&gt;=100))))),'3-man'!AY$18,0)</f>
        <v/>
      </c>
      <c r="AZ77">
        <f>IF(OR('3-man'!AZ$20="P",'3-man'!AZ$20="R",AND('3-man'!AZ$18&lt;=IF('3-man'!$BF$4="",999,'3-man'!$BF$4),OR('3-man'!AZ$20="D",LEFT('3-man'!AZ$20,3)="ST&gt;",OR(AND('3-man'!AZ$19="ST&gt;2",AZ62&gt;=100),AND('3-man'!AZ$21="ST&gt;2",AZ78&gt;=100))))),'3-man'!AZ$18,0)</f>
        <v/>
      </c>
      <c r="BA77">
        <f>IF(OR('3-man'!BA$20="P",'3-man'!BA$20="R",AND('3-man'!BA$18&lt;=IF('3-man'!$BF$4="",999,'3-man'!$BF$4),OR('3-man'!BA$20="D",LEFT('3-man'!BA$20,3)="ST&gt;",OR(AND('3-man'!BA$19="ST&gt;2",BA62&gt;=100),AND('3-man'!BA$21="ST&gt;2",BA78&gt;=100))))),'3-man'!BA$18,0)</f>
        <v/>
      </c>
      <c r="BB77">
        <f>IF(OR('3-man'!BB$20="P",'3-man'!BB$20="R",AND('3-man'!BB$18&lt;=IF('3-man'!$BF$4="",999,'3-man'!$BF$4),OR('3-man'!BB$20="D",LEFT('3-man'!BB$20,3)="ST&gt;",OR(AND('3-man'!BB$19="ST&gt;2",BB62&gt;=100),AND('3-man'!BB$21="ST&gt;2",BB78&gt;=100))))),'3-man'!BB$18,0)</f>
        <v/>
      </c>
      <c r="BC77">
        <f>IF(OR('3-man'!BC$20="P",'3-man'!BC$20="R",AND('3-man'!BC$18&lt;=IF('3-man'!$BF$4="",999,'3-man'!$BF$4),OR('3-man'!BC$20="D",LEFT('3-man'!BC$20,3)="ST&gt;",OR(AND('3-man'!BC$19="ST&gt;2",BC62&gt;=100),AND('3-man'!BC$21="ST&gt;2",BC78&gt;=100))))),'3-man'!BC$18,0)</f>
        <v/>
      </c>
      <c r="BD77">
        <f>IF(OR('3-man'!BD$20="P",'3-man'!BD$20="R",AND('3-man'!BD$18&lt;=IF('3-man'!$BF$4="",999,'3-man'!$BF$4),OR('3-man'!BD$20="D",LEFT('3-man'!BD$20,3)="ST&gt;",OR(AND('3-man'!BD$19="ST&gt;2",BD62&gt;=100),AND('3-man'!BD$21="ST&gt;2",BD78&gt;=100))))),'3-man'!BD$18,0)</f>
        <v/>
      </c>
      <c r="BE77">
        <f>IF(OR('3-man'!BE$20="P",'3-man'!BE$20="R",AND('3-man'!BE$18&lt;=IF('3-man'!$BF$4="",999,'3-man'!$BF$4),OR('3-man'!BE$20="D",LEFT('3-man'!BE$20,3)="ST&gt;",OR(AND('3-man'!BE$19="ST&gt;2",BE62&gt;=100),AND('3-man'!BE$21="ST&gt;2",BE78&gt;=100))))),'3-man'!BE$18,0)</f>
        <v/>
      </c>
      <c r="BF77">
        <f>IF(OR('3-man'!BF$20="P",'3-man'!BF$20="R",AND('3-man'!BF$18&lt;=IF('3-man'!$BF$4="",999,'3-man'!$BF$4),OR('3-man'!BF$20="D",LEFT('3-man'!BF$20,3)="ST&gt;",OR(AND('3-man'!BF$19="ST&gt;2",BF62&gt;=100),AND('3-man'!BF$21="ST&gt;2",BF78&gt;=100))))),'3-man'!BF$18,0)</f>
        <v/>
      </c>
      <c r="BG77">
        <f>IF(OR('3-man'!BG$20="P",'3-man'!BG$20="R",AND('3-man'!BG$18&lt;=IF('3-man'!$BF$4="",999,'3-man'!$BF$4),OR('3-man'!BG$20="D",LEFT('3-man'!BG$20,3)="ST&gt;",OR(AND('3-man'!BG$19="ST&gt;2",BG62&gt;=100),AND('3-man'!BG$21="ST&gt;2",BG78&gt;=100))))),'3-man'!BG$18,0)</f>
        <v/>
      </c>
      <c r="BH77">
        <f>IF(OR('3-man'!BH$20="P",'3-man'!BH$20="R",AND('3-man'!BH$18&lt;=IF('3-man'!$BF$4="",999,'3-man'!$BF$4),OR('3-man'!BH$20="D",LEFT('3-man'!BH$20,3)="ST&gt;",OR(AND('3-man'!BH$19="ST&gt;2",BH62&gt;=100),AND('3-man'!BH$21="ST&gt;2",BH78&gt;=100))))),'3-man'!BH$18,0)</f>
        <v/>
      </c>
      <c r="BI77">
        <f>IF(OR('3-man'!BI$20="P",'3-man'!BI$20="R",AND('3-man'!BI$18&lt;=IF('3-man'!$BF$4="",999,'3-man'!$BF$4),OR('3-man'!BI$20="D",LEFT('3-man'!BI$20,3)="ST&gt;",OR(AND('3-man'!BI$19="ST&gt;2",BI62&gt;=100),AND('3-man'!BI$21="ST&gt;2",BI78&gt;=100))))),'3-man'!BI$18,0)</f>
        <v/>
      </c>
      <c r="BJ77">
        <f>IF(OR('3-man'!BJ$20="P",'3-man'!BJ$20="R",AND('3-man'!BJ$18&lt;=IF('3-man'!$BF$4="",999,'3-man'!$BF$4),OR('3-man'!BJ$20="D",LEFT('3-man'!BJ$20,3)="ST&gt;",OR(AND('3-man'!BJ$19="ST&gt;2",BJ62&gt;=100),AND('3-man'!BJ$21="ST&gt;2",BJ78&gt;=100))))),'3-man'!BJ$18,0)</f>
        <v/>
      </c>
      <c r="BK77">
        <f>IF(OR('3-man'!BK$20="P",'3-man'!BK$20="R",AND('3-man'!BK$18&lt;=IF('3-man'!$BF$4="",999,'3-man'!$BF$4),OR('3-man'!BK$20="D",LEFT('3-man'!BK$20,3)="ST&gt;",OR(AND('3-man'!BK$19="ST&gt;2",BK62&gt;=100),AND('3-man'!BK$21="ST&gt;2",BK78&gt;=100))))),'3-man'!BK$18,0)</f>
        <v/>
      </c>
      <c r="BL77">
        <f>IF(OR('3-man'!BL$20="P",'3-man'!BL$20="R",AND('3-man'!BL$18&lt;=IF('3-man'!$BF$4="",999,'3-man'!$BF$4),OR('3-man'!BL$20="D",LEFT('3-man'!BL$20,3)="ST&gt;",OR(AND('3-man'!BL$19="ST&gt;2",BL62&gt;=100),AND('3-man'!BL$21="ST&gt;2",BL78&gt;=100))))),'3-man'!BL$18,0)</f>
        <v/>
      </c>
      <c r="BM77">
        <f>IF(OR('3-man'!BM$20="P",'3-man'!BM$20="R",AND('3-man'!BM$18&lt;=IF('3-man'!$BF$4="",999,'3-man'!$BF$4),OR('3-man'!BM$20="D",LEFT('3-man'!BM$20,3)="ST&gt;",OR(AND('3-man'!BM$19="ST&gt;2",BM62&gt;=100),AND('3-man'!BM$21="ST&gt;2",BM78&gt;=100))))),'3-man'!BM$18,0)</f>
        <v/>
      </c>
      <c r="BN77">
        <f>IF(OR('3-man'!BN$20="P",'3-man'!BN$20="R",AND('3-man'!BN$18&lt;=IF('3-man'!$BF$4="",999,'3-man'!$BF$4),OR('3-man'!BN$20="D",LEFT('3-man'!BN$20,3)="ST&gt;",OR(AND('3-man'!BN$19="ST&gt;2",BN62&gt;=100),AND('3-man'!BN$21="ST&gt;2",BN78&gt;=100))))),'3-man'!BN$18,0)</f>
        <v/>
      </c>
      <c r="BO77">
        <f>IF(OR('3-man'!BO$20="P",'3-man'!BO$20="R",AND('3-man'!BO$18&lt;=IF('3-man'!$BF$4="",999,'3-man'!$BF$4),OR('3-man'!BO$20="D",LEFT('3-man'!BO$20,3)="ST&gt;",OR(AND('3-man'!BO$19="ST&gt;2",BO62&gt;=100),AND('3-man'!BO$21="ST&gt;2",BO78&gt;=100))))),'3-man'!BO$18,0)</f>
        <v/>
      </c>
      <c r="BP77">
        <f>IF(OR('3-man'!BP$20="P",'3-man'!BP$20="R",AND('3-man'!BP$18&lt;=IF('3-man'!$BF$4="",999,'3-man'!$BF$4),OR('3-man'!BP$20="D",LEFT('3-man'!BP$20,3)="ST&gt;",OR(AND('3-man'!BP$19="ST&gt;2",BP62&gt;=100),AND('3-man'!BP$21="ST&gt;2",BP78&gt;=100))))),'3-man'!BP$18,0)</f>
        <v/>
      </c>
      <c r="BQ77">
        <f>IF(OR('3-man'!BQ$20="P",'3-man'!BQ$20="R",AND('3-man'!BQ$18&lt;=IF('3-man'!$BF$4="",999,'3-man'!$BF$4),OR('3-man'!BQ$20="D",LEFT('3-man'!BQ$20,3)="ST&gt;",OR(AND('3-man'!BQ$19="ST&gt;2",BQ62&gt;=100),AND('3-man'!BQ$21="ST&gt;2",BQ78&gt;=100))))),'3-man'!BQ$18,0)</f>
        <v/>
      </c>
      <c r="BR77">
        <f>IF(OR('3-man'!BR$20="P",'3-man'!BR$20="R",AND('3-man'!BR$18&lt;=IF('3-man'!$BF$4="",999,'3-man'!$BF$4),OR('3-man'!BR$20="D",LEFT('3-man'!BR$20,3)="ST&gt;",OR(AND('3-man'!BR$19="ST&gt;2",BR62&gt;=100),AND('3-man'!BR$21="ST&gt;2",BR78&gt;=100))))),'3-man'!BR$18,0)</f>
        <v/>
      </c>
      <c r="BS77">
        <f>IF(OR('3-man'!BS$20="P",'3-man'!BS$20="R",AND('3-man'!BS$18&lt;=IF('3-man'!$BF$4="",999,'3-man'!$BF$4),OR('3-man'!BS$20="D",LEFT('3-man'!BS$20,3)="ST&gt;",OR(AND('3-man'!BS$19="ST&gt;2",BS62&gt;=100),AND('3-man'!BS$21="ST&gt;2",BS78&gt;=100))))),'3-man'!BS$18,0)</f>
        <v/>
      </c>
      <c r="BT77">
        <f>IF(OR('3-man'!BT$20="P",'3-man'!BT$20="R",AND('3-man'!BT$18&lt;=IF('3-man'!$BF$4="",999,'3-man'!$BF$4),OR('3-man'!BT$20="D",LEFT('3-man'!BT$20,3)="ST&gt;",OR(AND('3-man'!BT$19="ST&gt;2",BT62&gt;=100),AND('3-man'!BT$21="ST&gt;2",BT78&gt;=100))))),'3-man'!BT$18,0)</f>
        <v/>
      </c>
      <c r="BU77">
        <f>IF(OR('3-man'!BU$20="P",'3-man'!BU$20="R",AND('3-man'!BU$18&lt;=IF('3-man'!$BF$4="",999,'3-man'!$BF$4),OR('3-man'!BU$20="D",LEFT('3-man'!BU$20,3)="ST&gt;",OR(AND('3-man'!BU$19="ST&gt;2",BU62&gt;=100),AND('3-man'!BU$21="ST&gt;2",BU78&gt;=100))))),'3-man'!BU$18,0)</f>
        <v/>
      </c>
      <c r="BV77">
        <f>IF(OR('3-man'!BV$20="P",'3-man'!BV$20="R",AND('3-man'!BV$18&lt;=IF('3-man'!$BF$4="",999,'3-man'!$BF$4),OR('3-man'!BV$20="D",LEFT('3-man'!BV$20,3)="ST&gt;",OR(AND('3-man'!BV$19="ST&gt;2",BV62&gt;=100),AND('3-man'!BV$21="ST&gt;2",BV78&gt;=100))))),'3-man'!BV$18,0)</f>
        <v/>
      </c>
      <c r="BW77">
        <f>IF(OR('3-man'!BW$20="P",'3-man'!BW$20="R",AND('3-man'!BW$18&lt;=IF('3-man'!$BF$4="",999,'3-man'!$BF$4),OR('3-man'!BW$20="D",LEFT('3-man'!BW$20,3)="ST&gt;",OR(AND('3-man'!BW$19="ST&gt;2",BW62&gt;=100),AND('3-man'!BW$21="ST&gt;2",BW78&gt;=100))))),'3-man'!BW$18,0)</f>
        <v/>
      </c>
      <c r="BX77">
        <f>IF(OR('3-man'!BX$20="P",'3-man'!BX$20="R",AND('3-man'!BX$18&lt;=IF('3-man'!$BF$4="",999,'3-man'!$BF$4),OR('3-man'!BX$20="D",LEFT('3-man'!BX$20,3)="ST&gt;",OR(AND('3-man'!BX$19="ST&gt;2",BX62&gt;=100),AND('3-man'!BX$21="ST&gt;2",BX78&gt;=100))))),'3-man'!BX$18,0)</f>
        <v/>
      </c>
      <c r="BY77">
        <f>IF(OR('3-man'!BY$20="P",'3-man'!BY$20="R",AND('3-man'!BY$18&lt;=IF('3-man'!$BF$4="",999,'3-man'!$BF$4),OR('3-man'!BY$20="D",LEFT('3-man'!BY$20,3)="ST&gt;",OR(AND('3-man'!BY$19="ST&gt;2",BY62&gt;=100),AND('3-man'!BY$21="ST&gt;2",BY78&gt;=100))))),'3-man'!BY$18,0)</f>
        <v/>
      </c>
      <c r="BZ77">
        <f>IF(OR('3-man'!BZ$20="P",'3-man'!BZ$20="R",AND('3-man'!BZ$18&lt;=IF('3-man'!$BF$4="",999,'3-man'!$BF$4),OR('3-man'!BZ$20="D",LEFT('3-man'!BZ$20,3)="ST&gt;",OR(AND('3-man'!BZ$19="ST&gt;2",BZ62&gt;=100),AND('3-man'!BZ$21="ST&gt;2",BZ78&gt;=100))))),'3-man'!BZ$18,0)</f>
        <v/>
      </c>
      <c r="CA77">
        <f>IF(OR('3-man'!CA$20="P",'3-man'!CA$20="R",AND('3-man'!CA$18&lt;=IF('3-man'!$BF$4="",999,'3-man'!$BF$4),OR('3-man'!CA$20="D",LEFT('3-man'!CA$20,3)="ST&gt;",OR(AND('3-man'!CA$19="ST&gt;2",CA62&gt;=100),AND('3-man'!CA$21="ST&gt;2",CA78&gt;=100))))),'3-man'!CA$18,0)</f>
        <v/>
      </c>
      <c r="CB77">
        <f>IF(OR('3-man'!CB$20="P",'3-man'!CB$20="R",AND('3-man'!CB$18&lt;=IF('3-man'!$BF$4="",999,'3-man'!$BF$4),OR('3-man'!CB$20="D",LEFT('3-man'!CB$20,3)="ST&gt;",OR(AND('3-man'!CB$19="ST&gt;2",CB62&gt;=100),AND('3-man'!CB$21="ST&gt;2",CB78&gt;=100))))),'3-man'!CB$18,0)</f>
        <v/>
      </c>
      <c r="CC77">
        <f>IF(OR('3-man'!CC$20="P",'3-man'!CC$20="R",AND('3-man'!CC$18&lt;=IF('3-man'!$BF$4="",999,'3-man'!$BF$4),OR('3-man'!CC$20="D",LEFT('3-man'!CC$20,3)="ST&gt;",OR(AND('3-man'!CC$19="ST&gt;2",CC62&gt;=100),AND('3-man'!CC$21="ST&gt;2",CC78&gt;=100))))),'3-man'!CC$18,0)</f>
        <v/>
      </c>
      <c r="CD77">
        <f>IF(OR('3-man'!CD$20="P",'3-man'!CD$20="R",AND('3-man'!CD$18&lt;=IF('3-man'!$BF$4="",999,'3-man'!$BF$4),OR('3-man'!CD$20="D",LEFT('3-man'!CD$20,3)="ST&gt;",OR(AND('3-man'!CD$19="ST&gt;2",CD62&gt;=100),AND('3-man'!CD$21="ST&gt;2",CD78&gt;=100))))),'3-man'!CD$18,0)</f>
        <v/>
      </c>
    </row>
    <row r="78">
      <c r="A78" t="inlineStr">
        <is>
          <t>P3 s1</t>
        </is>
      </c>
      <c r="C78">
        <f>MIN(100,B79+IF(AND(B79&lt;100,B80+1&gt;=IF(OR('3-man'!$F$6=TRUE,'3-man'!$F$6="TRUE",'3-man'!$F$6="Yes"),25,50)),10,0)+IF('3-man'!C$18=$Q$84,25,0))</f>
        <v/>
      </c>
      <c r="D78">
        <f>MIN(100,C79+IF(AND(C79&lt;100,C80+1&gt;=IF(OR('3-man'!$F$6=TRUE,'3-man'!$F$6="TRUE",'3-man'!$F$6="Yes"),25,50)),10,0)+IF('3-man'!D$18=$Q$84,25,0))</f>
        <v/>
      </c>
      <c r="E78">
        <f>MIN(100,D79+IF(AND(D79&lt;100,D80+1&gt;=IF(OR('3-man'!$F$6=TRUE,'3-man'!$F$6="TRUE",'3-man'!$F$6="Yes"),25,50)),10,0)+IF('3-man'!E$18=$Q$84,25,0))</f>
        <v/>
      </c>
      <c r="F78">
        <f>MIN(100,E79+IF(AND(E79&lt;100,E80+1&gt;=IF(OR('3-man'!$F$6=TRUE,'3-man'!$F$6="TRUE",'3-man'!$F$6="Yes"),25,50)),10,0)+IF('3-man'!F$18=$Q$84,25,0))</f>
        <v/>
      </c>
      <c r="G78">
        <f>MIN(100,F79+IF(AND(F79&lt;100,F80+1&gt;=IF(OR('3-man'!$F$6=TRUE,'3-man'!$F$6="TRUE",'3-man'!$F$6="Yes"),25,50)),10,0)+IF('3-man'!G$18=$Q$84,25,0))</f>
        <v/>
      </c>
      <c r="H78">
        <f>MIN(100,G79+IF(AND(G79&lt;100,G80+1&gt;=IF(OR('3-man'!$F$6=TRUE,'3-man'!$F$6="TRUE",'3-man'!$F$6="Yes"),25,50)),10,0)+IF('3-man'!H$18=$Q$84,25,0))</f>
        <v/>
      </c>
      <c r="I78">
        <f>MIN(100,H79+IF(AND(H79&lt;100,H80+1&gt;=IF(OR('3-man'!$F$6=TRUE,'3-man'!$F$6="TRUE",'3-man'!$F$6="Yes"),25,50)),10,0)+IF('3-man'!I$18=$Q$84,25,0))</f>
        <v/>
      </c>
      <c r="J78">
        <f>MIN(100,I79+IF(AND(I79&lt;100,I80+1&gt;=IF(OR('3-man'!$F$6=TRUE,'3-man'!$F$6="TRUE",'3-man'!$F$6="Yes"),25,50)),10,0)+IF('3-man'!J$18=$Q$84,25,0))</f>
        <v/>
      </c>
      <c r="K78">
        <f>MIN(100,J79+IF(AND(J79&lt;100,J80+1&gt;=IF(OR('3-man'!$F$6=TRUE,'3-man'!$F$6="TRUE",'3-man'!$F$6="Yes"),25,50)),10,0)+IF('3-man'!K$18=$Q$84,25,0))</f>
        <v/>
      </c>
      <c r="L78">
        <f>MIN(100,K79+IF(AND(K79&lt;100,K80+1&gt;=IF(OR('3-man'!$F$6=TRUE,'3-man'!$F$6="TRUE",'3-man'!$F$6="Yes"),25,50)),10,0)+IF('3-man'!L$18=$Q$84,25,0))</f>
        <v/>
      </c>
      <c r="M78">
        <f>MIN(100,L79+IF(AND(L79&lt;100,L80+1&gt;=IF(OR('3-man'!$F$6=TRUE,'3-man'!$F$6="TRUE",'3-man'!$F$6="Yes"),25,50)),10,0)+IF('3-man'!M$18=$Q$84,25,0))</f>
        <v/>
      </c>
      <c r="N78">
        <f>MIN(100,M79+IF(AND(M79&lt;100,M80+1&gt;=IF(OR('3-man'!$F$6=TRUE,'3-man'!$F$6="TRUE",'3-man'!$F$6="Yes"),25,50)),10,0)+IF('3-man'!N$18=$Q$84,25,0))</f>
        <v/>
      </c>
      <c r="O78">
        <f>MIN(100,N79+IF(AND(N79&lt;100,N80+1&gt;=IF(OR('3-man'!$F$6=TRUE,'3-man'!$F$6="TRUE",'3-man'!$F$6="Yes"),25,50)),10,0)+IF('3-man'!O$18=$Q$84,25,0))</f>
        <v/>
      </c>
      <c r="P78">
        <f>MIN(100,O79+IF(AND(O79&lt;100,O80+1&gt;=IF(OR('3-man'!$F$6=TRUE,'3-man'!$F$6="TRUE",'3-man'!$F$6="Yes"),25,50)),10,0)+IF('3-man'!P$18=$Q$84,25,0))</f>
        <v/>
      </c>
      <c r="Q78">
        <f>MIN(100,P79+IF(AND(P79&lt;100,P80+1&gt;=IF(OR('3-man'!$F$6=TRUE,'3-man'!$F$6="TRUE",'3-man'!$F$6="Yes"),25,50)),10,0)+IF('3-man'!Q$18=$Q$84,25,0))</f>
        <v/>
      </c>
      <c r="R78">
        <f>MIN(100,Q79+IF(AND(Q79&lt;100,Q80+1&gt;=IF(OR('3-man'!$F$6=TRUE,'3-man'!$F$6="TRUE",'3-man'!$F$6="Yes"),25,50)),10,0)+IF('3-man'!R$18=$Q$84,25,0))</f>
        <v/>
      </c>
      <c r="S78">
        <f>MIN(100,R79+IF(AND(R79&lt;100,R80+1&gt;=IF(OR('3-man'!$F$6=TRUE,'3-man'!$F$6="TRUE",'3-man'!$F$6="Yes"),25,50)),10,0)+IF('3-man'!S$18=$Q$84,25,0))</f>
        <v/>
      </c>
      <c r="T78">
        <f>MIN(100,S79+IF(AND(S79&lt;100,S80+1&gt;=IF(OR('3-man'!$F$6=TRUE,'3-man'!$F$6="TRUE",'3-man'!$F$6="Yes"),25,50)),10,0)+IF('3-man'!T$18=$Q$84,25,0))</f>
        <v/>
      </c>
      <c r="U78">
        <f>MIN(100,T79+IF(AND(T79&lt;100,T80+1&gt;=IF(OR('3-man'!$F$6=TRUE,'3-man'!$F$6="TRUE",'3-man'!$F$6="Yes"),25,50)),10,0)+IF('3-man'!U$18=$Q$84,25,0))</f>
        <v/>
      </c>
      <c r="V78">
        <f>MIN(100,U79+IF(AND(U79&lt;100,U80+1&gt;=IF(OR('3-man'!$F$6=TRUE,'3-man'!$F$6="TRUE",'3-man'!$F$6="Yes"),25,50)),10,0)+IF('3-man'!V$18=$Q$84,25,0))</f>
        <v/>
      </c>
      <c r="W78">
        <f>MIN(100,V79+IF(AND(V79&lt;100,V80+1&gt;=IF(OR('3-man'!$F$6=TRUE,'3-man'!$F$6="TRUE",'3-man'!$F$6="Yes"),25,50)),10,0)+IF('3-man'!W$18=$Q$84,25,0))</f>
        <v/>
      </c>
      <c r="X78">
        <f>MIN(100,W79+IF(AND(W79&lt;100,W80+1&gt;=IF(OR('3-man'!$F$6=TRUE,'3-man'!$F$6="TRUE",'3-man'!$F$6="Yes"),25,50)),10,0)+IF('3-man'!X$18=$Q$84,25,0))</f>
        <v/>
      </c>
      <c r="Y78">
        <f>MIN(100,X79+IF(AND(X79&lt;100,X80+1&gt;=IF(OR('3-man'!$F$6=TRUE,'3-man'!$F$6="TRUE",'3-man'!$F$6="Yes"),25,50)),10,0)+IF('3-man'!Y$18=$Q$84,25,0))</f>
        <v/>
      </c>
      <c r="Z78">
        <f>MIN(100,Y79+IF(AND(Y79&lt;100,Y80+1&gt;=IF(OR('3-man'!$F$6=TRUE,'3-man'!$F$6="TRUE",'3-man'!$F$6="Yes"),25,50)),10,0)+IF('3-man'!Z$18=$Q$84,25,0))</f>
        <v/>
      </c>
      <c r="AA78">
        <f>MIN(100,Z79+IF(AND(Z79&lt;100,Z80+1&gt;=IF(OR('3-man'!$F$6=TRUE,'3-man'!$F$6="TRUE",'3-man'!$F$6="Yes"),25,50)),10,0)+IF('3-man'!AA$18=$Q$84,25,0))</f>
        <v/>
      </c>
      <c r="AB78">
        <f>MIN(100,AA79+IF(AND(AA79&lt;100,AA80+1&gt;=IF(OR('3-man'!$F$6=TRUE,'3-man'!$F$6="TRUE",'3-man'!$F$6="Yes"),25,50)),10,0)+IF('3-man'!AB$18=$Q$84,25,0))</f>
        <v/>
      </c>
      <c r="AC78">
        <f>MIN(100,AB79+IF(AND(AB79&lt;100,AB80+1&gt;=IF(OR('3-man'!$F$6=TRUE,'3-man'!$F$6="TRUE",'3-man'!$F$6="Yes"),25,50)),10,0)+IF('3-man'!AC$18=$Q$84,25,0))</f>
        <v/>
      </c>
      <c r="AD78">
        <f>MIN(100,AC79+IF(AND(AC79&lt;100,AC80+1&gt;=IF(OR('3-man'!$F$6=TRUE,'3-man'!$F$6="TRUE",'3-man'!$F$6="Yes"),25,50)),10,0)+IF('3-man'!AD$18=$Q$84,25,0))</f>
        <v/>
      </c>
      <c r="AE78">
        <f>MIN(100,AD79+IF(AND(AD79&lt;100,AD80+1&gt;=IF(OR('3-man'!$F$6=TRUE,'3-man'!$F$6="TRUE",'3-man'!$F$6="Yes"),25,50)),10,0)+IF('3-man'!AE$18=$Q$84,25,0))</f>
        <v/>
      </c>
      <c r="AF78">
        <f>MIN(100,AE79+IF(AND(AE79&lt;100,AE80+1&gt;=IF(OR('3-man'!$F$6=TRUE,'3-man'!$F$6="TRUE",'3-man'!$F$6="Yes"),25,50)),10,0)+IF('3-man'!AF$18=$Q$84,25,0))</f>
        <v/>
      </c>
      <c r="AG78">
        <f>MIN(100,AF79+IF(AND(AF79&lt;100,AF80+1&gt;=IF(OR('3-man'!$F$6=TRUE,'3-man'!$F$6="TRUE",'3-man'!$F$6="Yes"),25,50)),10,0)+IF('3-man'!AG$18=$Q$84,25,0))</f>
        <v/>
      </c>
      <c r="AH78">
        <f>MIN(100,AG79+IF(AND(AG79&lt;100,AG80+1&gt;=IF(OR('3-man'!$F$6=TRUE,'3-man'!$F$6="TRUE",'3-man'!$F$6="Yes"),25,50)),10,0)+IF('3-man'!AH$18=$Q$84,25,0))</f>
        <v/>
      </c>
      <c r="AI78">
        <f>MIN(100,AH79+IF(AND(AH79&lt;100,AH80+1&gt;=IF(OR('3-man'!$F$6=TRUE,'3-man'!$F$6="TRUE",'3-man'!$F$6="Yes"),25,50)),10,0)+IF('3-man'!AI$18=$Q$84,25,0))</f>
        <v/>
      </c>
      <c r="AJ78">
        <f>MIN(100,AI79+IF(AND(AI79&lt;100,AI80+1&gt;=IF(OR('3-man'!$F$6=TRUE,'3-man'!$F$6="TRUE",'3-man'!$F$6="Yes"),25,50)),10,0)+IF('3-man'!AJ$18=$Q$84,25,0))</f>
        <v/>
      </c>
      <c r="AK78">
        <f>MIN(100,AJ79+IF(AND(AJ79&lt;100,AJ80+1&gt;=IF(OR('3-man'!$F$6=TRUE,'3-man'!$F$6="TRUE",'3-man'!$F$6="Yes"),25,50)),10,0)+IF('3-man'!AK$18=$Q$84,25,0))</f>
        <v/>
      </c>
      <c r="AL78">
        <f>MIN(100,AK79+IF(AND(AK79&lt;100,AK80+1&gt;=IF(OR('3-man'!$F$6=TRUE,'3-man'!$F$6="TRUE",'3-man'!$F$6="Yes"),25,50)),10,0)+IF('3-man'!AL$18=$Q$84,25,0))</f>
        <v/>
      </c>
      <c r="AM78">
        <f>MIN(100,AL79+IF(AND(AL79&lt;100,AL80+1&gt;=IF(OR('3-man'!$F$6=TRUE,'3-man'!$F$6="TRUE",'3-man'!$F$6="Yes"),25,50)),10,0)+IF('3-man'!AM$18=$Q$84,25,0))</f>
        <v/>
      </c>
      <c r="AN78">
        <f>MIN(100,AM79+IF(AND(AM79&lt;100,AM80+1&gt;=IF(OR('3-man'!$F$6=TRUE,'3-man'!$F$6="TRUE",'3-man'!$F$6="Yes"),25,50)),10,0)+IF('3-man'!AN$18=$Q$84,25,0))</f>
        <v/>
      </c>
      <c r="AO78">
        <f>MIN(100,AN79+IF(AND(AN79&lt;100,AN80+1&gt;=IF(OR('3-man'!$F$6=TRUE,'3-man'!$F$6="TRUE",'3-man'!$F$6="Yes"),25,50)),10,0)+IF('3-man'!AO$18=$Q$84,25,0))</f>
        <v/>
      </c>
      <c r="AP78">
        <f>MIN(100,AO79+IF(AND(AO79&lt;100,AO80+1&gt;=IF(OR('3-man'!$F$6=TRUE,'3-man'!$F$6="TRUE",'3-man'!$F$6="Yes"),25,50)),10,0)+IF('3-man'!AP$18=$Q$84,25,0))</f>
        <v/>
      </c>
      <c r="AQ78">
        <f>MIN(100,AP79+IF(AND(AP79&lt;100,AP80+1&gt;=IF(OR('3-man'!$F$6=TRUE,'3-man'!$F$6="TRUE",'3-man'!$F$6="Yes"),25,50)),10,0)+IF('3-man'!AQ$18=$Q$84,25,0))</f>
        <v/>
      </c>
      <c r="AR78">
        <f>MIN(100,AQ79+IF(AND(AQ79&lt;100,AQ80+1&gt;=IF(OR('3-man'!$F$6=TRUE,'3-man'!$F$6="TRUE",'3-man'!$F$6="Yes"),25,50)),10,0)+IF('3-man'!AR$18=$Q$84,25,0))</f>
        <v/>
      </c>
      <c r="AS78">
        <f>MIN(100,AR79+IF(AND(AR79&lt;100,AR80+1&gt;=IF(OR('3-man'!$F$6=TRUE,'3-man'!$F$6="TRUE",'3-man'!$F$6="Yes"),25,50)),10,0)+IF('3-man'!AS$18=$Q$84,25,0))</f>
        <v/>
      </c>
      <c r="AT78">
        <f>MIN(100,AS79+IF(AND(AS79&lt;100,AS80+1&gt;=IF(OR('3-man'!$F$6=TRUE,'3-man'!$F$6="TRUE",'3-man'!$F$6="Yes"),25,50)),10,0)+IF('3-man'!AT$18=$Q$84,25,0))</f>
        <v/>
      </c>
      <c r="AU78">
        <f>MIN(100,AT79+IF(AND(AT79&lt;100,AT80+1&gt;=IF(OR('3-man'!$F$6=TRUE,'3-man'!$F$6="TRUE",'3-man'!$F$6="Yes"),25,50)),10,0)+IF('3-man'!AU$18=$Q$84,25,0))</f>
        <v/>
      </c>
      <c r="AV78">
        <f>MIN(100,AU79+IF(AND(AU79&lt;100,AU80+1&gt;=IF(OR('3-man'!$F$6=TRUE,'3-man'!$F$6="TRUE",'3-man'!$F$6="Yes"),25,50)),10,0)+IF('3-man'!AV$18=$Q$84,25,0))</f>
        <v/>
      </c>
      <c r="AW78">
        <f>MIN(100,AV79+IF(AND(AV79&lt;100,AV80+1&gt;=IF(OR('3-man'!$F$6=TRUE,'3-man'!$F$6="TRUE",'3-man'!$F$6="Yes"),25,50)),10,0)+IF('3-man'!AW$18=$Q$84,25,0))</f>
        <v/>
      </c>
      <c r="AX78">
        <f>MIN(100,AW79+IF(AND(AW79&lt;100,AW80+1&gt;=IF(OR('3-man'!$F$6=TRUE,'3-man'!$F$6="TRUE",'3-man'!$F$6="Yes"),25,50)),10,0)+IF('3-man'!AX$18=$Q$84,25,0))</f>
        <v/>
      </c>
      <c r="AY78">
        <f>MIN(100,AX79+IF(AND(AX79&lt;100,AX80+1&gt;=IF(OR('3-man'!$F$6=TRUE,'3-man'!$F$6="TRUE",'3-man'!$F$6="Yes"),25,50)),10,0)+IF('3-man'!AY$18=$Q$84,25,0))</f>
        <v/>
      </c>
      <c r="AZ78">
        <f>MIN(100,AY79+IF(AND(AY79&lt;100,AY80+1&gt;=IF(OR('3-man'!$F$6=TRUE,'3-man'!$F$6="TRUE",'3-man'!$F$6="Yes"),25,50)),10,0)+IF('3-man'!AZ$18=$Q$84,25,0))</f>
        <v/>
      </c>
      <c r="BA78">
        <f>MIN(100,AZ79+IF(AND(AZ79&lt;100,AZ80+1&gt;=IF(OR('3-man'!$F$6=TRUE,'3-man'!$F$6="TRUE",'3-man'!$F$6="Yes"),25,50)),10,0)+IF('3-man'!BA$18=$Q$84,25,0))</f>
        <v/>
      </c>
      <c r="BB78">
        <f>MIN(100,BA79+IF(AND(BA79&lt;100,BA80+1&gt;=IF(OR('3-man'!$F$6=TRUE,'3-man'!$F$6="TRUE",'3-man'!$F$6="Yes"),25,50)),10,0)+IF('3-man'!BB$18=$Q$84,25,0))</f>
        <v/>
      </c>
      <c r="BC78">
        <f>MIN(100,BB79+IF(AND(BB79&lt;100,BB80+1&gt;=IF(OR('3-man'!$F$6=TRUE,'3-man'!$F$6="TRUE",'3-man'!$F$6="Yes"),25,50)),10,0)+IF('3-man'!BC$18=$Q$84,25,0))</f>
        <v/>
      </c>
      <c r="BD78">
        <f>MIN(100,BC79+IF(AND(BC79&lt;100,BC80+1&gt;=IF(OR('3-man'!$F$6=TRUE,'3-man'!$F$6="TRUE",'3-man'!$F$6="Yes"),25,50)),10,0)+IF('3-man'!BD$18=$Q$84,25,0))</f>
        <v/>
      </c>
      <c r="BE78">
        <f>MIN(100,BD79+IF(AND(BD79&lt;100,BD80+1&gt;=IF(OR('3-man'!$F$6=TRUE,'3-man'!$F$6="TRUE",'3-man'!$F$6="Yes"),25,50)),10,0)+IF('3-man'!BE$18=$Q$84,25,0))</f>
        <v/>
      </c>
      <c r="BF78">
        <f>MIN(100,BE79+IF(AND(BE79&lt;100,BE80+1&gt;=IF(OR('3-man'!$F$6=TRUE,'3-man'!$F$6="TRUE",'3-man'!$F$6="Yes"),25,50)),10,0)+IF('3-man'!BF$18=$Q$84,25,0))</f>
        <v/>
      </c>
      <c r="BG78">
        <f>MIN(100,BF79+IF(AND(BF79&lt;100,BF80+1&gt;=IF(OR('3-man'!$F$6=TRUE,'3-man'!$F$6="TRUE",'3-man'!$F$6="Yes"),25,50)),10,0)+IF('3-man'!BG$18=$Q$84,25,0))</f>
        <v/>
      </c>
      <c r="BH78">
        <f>MIN(100,BG79+IF(AND(BG79&lt;100,BG80+1&gt;=IF(OR('3-man'!$F$6=TRUE,'3-man'!$F$6="TRUE",'3-man'!$F$6="Yes"),25,50)),10,0)+IF('3-man'!BH$18=$Q$84,25,0))</f>
        <v/>
      </c>
      <c r="BI78">
        <f>MIN(100,BH79+IF(AND(BH79&lt;100,BH80+1&gt;=IF(OR('3-man'!$F$6=TRUE,'3-man'!$F$6="TRUE",'3-man'!$F$6="Yes"),25,50)),10,0)+IF('3-man'!BI$18=$Q$84,25,0))</f>
        <v/>
      </c>
      <c r="BJ78">
        <f>MIN(100,BI79+IF(AND(BI79&lt;100,BI80+1&gt;=IF(OR('3-man'!$F$6=TRUE,'3-man'!$F$6="TRUE",'3-man'!$F$6="Yes"),25,50)),10,0)+IF('3-man'!BJ$18=$Q$84,25,0))</f>
        <v/>
      </c>
      <c r="BK78">
        <f>MIN(100,BJ79+IF(AND(BJ79&lt;100,BJ80+1&gt;=IF(OR('3-man'!$F$6=TRUE,'3-man'!$F$6="TRUE",'3-man'!$F$6="Yes"),25,50)),10,0)+IF('3-man'!BK$18=$Q$84,25,0))</f>
        <v/>
      </c>
      <c r="BL78">
        <f>MIN(100,BK79+IF(AND(BK79&lt;100,BK80+1&gt;=IF(OR('3-man'!$F$6=TRUE,'3-man'!$F$6="TRUE",'3-man'!$F$6="Yes"),25,50)),10,0)+IF('3-man'!BL$18=$Q$84,25,0))</f>
        <v/>
      </c>
      <c r="BM78">
        <f>MIN(100,BL79+IF(AND(BL79&lt;100,BL80+1&gt;=IF(OR('3-man'!$F$6=TRUE,'3-man'!$F$6="TRUE",'3-man'!$F$6="Yes"),25,50)),10,0)+IF('3-man'!BM$18=$Q$84,25,0))</f>
        <v/>
      </c>
      <c r="BN78">
        <f>MIN(100,BM79+IF(AND(BM79&lt;100,BM80+1&gt;=IF(OR('3-man'!$F$6=TRUE,'3-man'!$F$6="TRUE",'3-man'!$F$6="Yes"),25,50)),10,0)+IF('3-man'!BN$18=$Q$84,25,0))</f>
        <v/>
      </c>
      <c r="BO78">
        <f>MIN(100,BN79+IF(AND(BN79&lt;100,BN80+1&gt;=IF(OR('3-man'!$F$6=TRUE,'3-man'!$F$6="TRUE",'3-man'!$F$6="Yes"),25,50)),10,0)+IF('3-man'!BO$18=$Q$84,25,0))</f>
        <v/>
      </c>
      <c r="BP78">
        <f>MIN(100,BO79+IF(AND(BO79&lt;100,BO80+1&gt;=IF(OR('3-man'!$F$6=TRUE,'3-man'!$F$6="TRUE",'3-man'!$F$6="Yes"),25,50)),10,0)+IF('3-man'!BP$18=$Q$84,25,0))</f>
        <v/>
      </c>
      <c r="BQ78">
        <f>MIN(100,BP79+IF(AND(BP79&lt;100,BP80+1&gt;=IF(OR('3-man'!$F$6=TRUE,'3-man'!$F$6="TRUE",'3-man'!$F$6="Yes"),25,50)),10,0)+IF('3-man'!BQ$18=$Q$84,25,0))</f>
        <v/>
      </c>
      <c r="BR78">
        <f>MIN(100,BQ79+IF(AND(BQ79&lt;100,BQ80+1&gt;=IF(OR('3-man'!$F$6=TRUE,'3-man'!$F$6="TRUE",'3-man'!$F$6="Yes"),25,50)),10,0)+IF('3-man'!BR$18=$Q$84,25,0))</f>
        <v/>
      </c>
      <c r="BS78">
        <f>MIN(100,BR79+IF(AND(BR79&lt;100,BR80+1&gt;=IF(OR('3-man'!$F$6=TRUE,'3-man'!$F$6="TRUE",'3-man'!$F$6="Yes"),25,50)),10,0)+IF('3-man'!BS$18=$Q$84,25,0))</f>
        <v/>
      </c>
      <c r="BT78">
        <f>MIN(100,BS79+IF(AND(BS79&lt;100,BS80+1&gt;=IF(OR('3-man'!$F$6=TRUE,'3-man'!$F$6="TRUE",'3-man'!$F$6="Yes"),25,50)),10,0)+IF('3-man'!BT$18=$Q$84,25,0))</f>
        <v/>
      </c>
      <c r="BU78">
        <f>MIN(100,BT79+IF(AND(BT79&lt;100,BT80+1&gt;=IF(OR('3-man'!$F$6=TRUE,'3-man'!$F$6="TRUE",'3-man'!$F$6="Yes"),25,50)),10,0)+IF('3-man'!BU$18=$Q$84,25,0))</f>
        <v/>
      </c>
      <c r="BV78">
        <f>MIN(100,BU79+IF(AND(BU79&lt;100,BU80+1&gt;=IF(OR('3-man'!$F$6=TRUE,'3-man'!$F$6="TRUE",'3-man'!$F$6="Yes"),25,50)),10,0)+IF('3-man'!BV$18=$Q$84,25,0))</f>
        <v/>
      </c>
      <c r="BW78">
        <f>MIN(100,BV79+IF(AND(BV79&lt;100,BV80+1&gt;=IF(OR('3-man'!$F$6=TRUE,'3-man'!$F$6="TRUE",'3-man'!$F$6="Yes"),25,50)),10,0)+IF('3-man'!BW$18=$Q$84,25,0))</f>
        <v/>
      </c>
      <c r="BX78">
        <f>MIN(100,BW79+IF(AND(BW79&lt;100,BW80+1&gt;=IF(OR('3-man'!$F$6=TRUE,'3-man'!$F$6="TRUE",'3-man'!$F$6="Yes"),25,50)),10,0)+IF('3-man'!BX$18=$Q$84,25,0))</f>
        <v/>
      </c>
      <c r="BY78">
        <f>MIN(100,BX79+IF(AND(BX79&lt;100,BX80+1&gt;=IF(OR('3-man'!$F$6=TRUE,'3-man'!$F$6="TRUE",'3-man'!$F$6="Yes"),25,50)),10,0)+IF('3-man'!BY$18=$Q$84,25,0))</f>
        <v/>
      </c>
      <c r="BZ78">
        <f>MIN(100,BY79+IF(AND(BY79&lt;100,BY80+1&gt;=IF(OR('3-man'!$F$6=TRUE,'3-man'!$F$6="TRUE",'3-man'!$F$6="Yes"),25,50)),10,0)+IF('3-man'!BZ$18=$Q$84,25,0))</f>
        <v/>
      </c>
      <c r="CA78">
        <f>MIN(100,BZ79+IF(AND(BZ79&lt;100,BZ80+1&gt;=IF(OR('3-man'!$F$6=TRUE,'3-man'!$F$6="TRUE",'3-man'!$F$6="Yes"),25,50)),10,0)+IF('3-man'!CA$18=$Q$84,25,0))</f>
        <v/>
      </c>
      <c r="CB78">
        <f>MIN(100,CA79+IF(AND(CA79&lt;100,CA80+1&gt;=IF(OR('3-man'!$F$6=TRUE,'3-man'!$F$6="TRUE",'3-man'!$F$6="Yes"),25,50)),10,0)+IF('3-man'!CB$18=$Q$84,25,0))</f>
        <v/>
      </c>
      <c r="CC78">
        <f>MIN(100,CB79+IF(AND(CB79&lt;100,CB80+1&gt;=IF(OR('3-man'!$F$6=TRUE,'3-man'!$F$6="TRUE",'3-man'!$F$6="Yes"),25,50)),10,0)+IF('3-man'!CC$18=$Q$84,25,0))</f>
        <v/>
      </c>
      <c r="CD78">
        <f>MIN(100,CC79+IF(AND(CC79&lt;100,CC80+1&gt;=IF(OR('3-man'!$F$6=TRUE,'3-man'!$F$6="TRUE",'3-man'!$F$6="Yes"),25,50)),10,0)+IF('3-man'!CD$18=$Q$84,25,0))</f>
        <v/>
      </c>
    </row>
    <row r="79">
      <c r="A79" t="inlineStr">
        <is>
          <t>P3 spec</t>
        </is>
      </c>
      <c r="B79">
        <f>IF('3-man'!$C$6="",100,'3-man'!$C$6)</f>
        <v/>
      </c>
      <c r="C79">
        <f>IF('3-man'!C$21="R",MIN(100,C78+10),IF('3-man'!C$21="P",MIN(100,C78+25),IF(AND('3-man'!C$21="D",C78&gt;=35,'3-man'!C$18&lt;=IF('3-man'!$BF$4="",999,'3-man'!$BF$4)),C78-35,IF(AND(LEFT('3-man'!C$21,3)="ST&gt;",C78&gt;=100,'3-man'!C$18&lt;=IF('3-man'!$BF$4="",999,'3-man'!$BF$4)),0,IF(AND(OR(AND('3-man'!C$19="ST&gt;3",C62&gt;=100),AND('3-man'!C$20="ST&gt;3",C70&gt;=100)),'3-man'!C$18&lt;=IF('3-man'!$BF$4="",999,'3-man'!$BF$4)),100,C78)))))</f>
        <v/>
      </c>
      <c r="D79">
        <f>IF('3-man'!D$21="R",MIN(100,D78+10),IF('3-man'!D$21="P",MIN(100,D78+25),IF(AND('3-man'!D$21="D",D78&gt;=35,'3-man'!D$18&lt;=IF('3-man'!$BF$4="",999,'3-man'!$BF$4)),D78-35,IF(AND(LEFT('3-man'!D$21,3)="ST&gt;",D78&gt;=100,'3-man'!D$18&lt;=IF('3-man'!$BF$4="",999,'3-man'!$BF$4)),0,IF(AND(OR(AND('3-man'!D$19="ST&gt;3",D62&gt;=100),AND('3-man'!D$20="ST&gt;3",D70&gt;=100)),'3-man'!D$18&lt;=IF('3-man'!$BF$4="",999,'3-man'!$BF$4)),100,D78)))))</f>
        <v/>
      </c>
      <c r="E79">
        <f>IF('3-man'!E$21="R",MIN(100,E78+10),IF('3-man'!E$21="P",MIN(100,E78+25),IF(AND('3-man'!E$21="D",E78&gt;=35,'3-man'!E$18&lt;=IF('3-man'!$BF$4="",999,'3-man'!$BF$4)),E78-35,IF(AND(LEFT('3-man'!E$21,3)="ST&gt;",E78&gt;=100,'3-man'!E$18&lt;=IF('3-man'!$BF$4="",999,'3-man'!$BF$4)),0,IF(AND(OR(AND('3-man'!E$19="ST&gt;3",E62&gt;=100),AND('3-man'!E$20="ST&gt;3",E70&gt;=100)),'3-man'!E$18&lt;=IF('3-man'!$BF$4="",999,'3-man'!$BF$4)),100,E78)))))</f>
        <v/>
      </c>
      <c r="F79">
        <f>IF('3-man'!F$21="R",MIN(100,F78+10),IF('3-man'!F$21="P",MIN(100,F78+25),IF(AND('3-man'!F$21="D",F78&gt;=35,'3-man'!F$18&lt;=IF('3-man'!$BF$4="",999,'3-man'!$BF$4)),F78-35,IF(AND(LEFT('3-man'!F$21,3)="ST&gt;",F78&gt;=100,'3-man'!F$18&lt;=IF('3-man'!$BF$4="",999,'3-man'!$BF$4)),0,IF(AND(OR(AND('3-man'!F$19="ST&gt;3",F62&gt;=100),AND('3-man'!F$20="ST&gt;3",F70&gt;=100)),'3-man'!F$18&lt;=IF('3-man'!$BF$4="",999,'3-man'!$BF$4)),100,F78)))))</f>
        <v/>
      </c>
      <c r="G79">
        <f>IF('3-man'!G$21="R",MIN(100,G78+10),IF('3-man'!G$21="P",MIN(100,G78+25),IF(AND('3-man'!G$21="D",G78&gt;=35,'3-man'!G$18&lt;=IF('3-man'!$BF$4="",999,'3-man'!$BF$4)),G78-35,IF(AND(LEFT('3-man'!G$21,3)="ST&gt;",G78&gt;=100,'3-man'!G$18&lt;=IF('3-man'!$BF$4="",999,'3-man'!$BF$4)),0,IF(AND(OR(AND('3-man'!G$19="ST&gt;3",G62&gt;=100),AND('3-man'!G$20="ST&gt;3",G70&gt;=100)),'3-man'!G$18&lt;=IF('3-man'!$BF$4="",999,'3-man'!$BF$4)),100,G78)))))</f>
        <v/>
      </c>
      <c r="H79">
        <f>IF('3-man'!H$21="R",MIN(100,H78+10),IF('3-man'!H$21="P",MIN(100,H78+25),IF(AND('3-man'!H$21="D",H78&gt;=35,'3-man'!H$18&lt;=IF('3-man'!$BF$4="",999,'3-man'!$BF$4)),H78-35,IF(AND(LEFT('3-man'!H$21,3)="ST&gt;",H78&gt;=100,'3-man'!H$18&lt;=IF('3-man'!$BF$4="",999,'3-man'!$BF$4)),0,IF(AND(OR(AND('3-man'!H$19="ST&gt;3",H62&gt;=100),AND('3-man'!H$20="ST&gt;3",H70&gt;=100)),'3-man'!H$18&lt;=IF('3-man'!$BF$4="",999,'3-man'!$BF$4)),100,H78)))))</f>
        <v/>
      </c>
      <c r="I79">
        <f>IF('3-man'!I$21="R",MIN(100,I78+10),IF('3-man'!I$21="P",MIN(100,I78+25),IF(AND('3-man'!I$21="D",I78&gt;=35,'3-man'!I$18&lt;=IF('3-man'!$BF$4="",999,'3-man'!$BF$4)),I78-35,IF(AND(LEFT('3-man'!I$21,3)="ST&gt;",I78&gt;=100,'3-man'!I$18&lt;=IF('3-man'!$BF$4="",999,'3-man'!$BF$4)),0,IF(AND(OR(AND('3-man'!I$19="ST&gt;3",I62&gt;=100),AND('3-man'!I$20="ST&gt;3",I70&gt;=100)),'3-man'!I$18&lt;=IF('3-man'!$BF$4="",999,'3-man'!$BF$4)),100,I78)))))</f>
        <v/>
      </c>
      <c r="J79">
        <f>IF('3-man'!J$21="R",MIN(100,J78+10),IF('3-man'!J$21="P",MIN(100,J78+25),IF(AND('3-man'!J$21="D",J78&gt;=35,'3-man'!J$18&lt;=IF('3-man'!$BF$4="",999,'3-man'!$BF$4)),J78-35,IF(AND(LEFT('3-man'!J$21,3)="ST&gt;",J78&gt;=100,'3-man'!J$18&lt;=IF('3-man'!$BF$4="",999,'3-man'!$BF$4)),0,IF(AND(OR(AND('3-man'!J$19="ST&gt;3",J62&gt;=100),AND('3-man'!J$20="ST&gt;3",J70&gt;=100)),'3-man'!J$18&lt;=IF('3-man'!$BF$4="",999,'3-man'!$BF$4)),100,J78)))))</f>
        <v/>
      </c>
      <c r="K79">
        <f>IF('3-man'!K$21="R",MIN(100,K78+10),IF('3-man'!K$21="P",MIN(100,K78+25),IF(AND('3-man'!K$21="D",K78&gt;=35,'3-man'!K$18&lt;=IF('3-man'!$BF$4="",999,'3-man'!$BF$4)),K78-35,IF(AND(LEFT('3-man'!K$21,3)="ST&gt;",K78&gt;=100,'3-man'!K$18&lt;=IF('3-man'!$BF$4="",999,'3-man'!$BF$4)),0,IF(AND(OR(AND('3-man'!K$19="ST&gt;3",K62&gt;=100),AND('3-man'!K$20="ST&gt;3",K70&gt;=100)),'3-man'!K$18&lt;=IF('3-man'!$BF$4="",999,'3-man'!$BF$4)),100,K78)))))</f>
        <v/>
      </c>
      <c r="L79">
        <f>IF('3-man'!L$21="R",MIN(100,L78+10),IF('3-man'!L$21="P",MIN(100,L78+25),IF(AND('3-man'!L$21="D",L78&gt;=35,'3-man'!L$18&lt;=IF('3-man'!$BF$4="",999,'3-man'!$BF$4)),L78-35,IF(AND(LEFT('3-man'!L$21,3)="ST&gt;",L78&gt;=100,'3-man'!L$18&lt;=IF('3-man'!$BF$4="",999,'3-man'!$BF$4)),0,IF(AND(OR(AND('3-man'!L$19="ST&gt;3",L62&gt;=100),AND('3-man'!L$20="ST&gt;3",L70&gt;=100)),'3-man'!L$18&lt;=IF('3-man'!$BF$4="",999,'3-man'!$BF$4)),100,L78)))))</f>
        <v/>
      </c>
      <c r="M79">
        <f>IF('3-man'!M$21="R",MIN(100,M78+10),IF('3-man'!M$21="P",MIN(100,M78+25),IF(AND('3-man'!M$21="D",M78&gt;=35,'3-man'!M$18&lt;=IF('3-man'!$BF$4="",999,'3-man'!$BF$4)),M78-35,IF(AND(LEFT('3-man'!M$21,3)="ST&gt;",M78&gt;=100,'3-man'!M$18&lt;=IF('3-man'!$BF$4="",999,'3-man'!$BF$4)),0,IF(AND(OR(AND('3-man'!M$19="ST&gt;3",M62&gt;=100),AND('3-man'!M$20="ST&gt;3",M70&gt;=100)),'3-man'!M$18&lt;=IF('3-man'!$BF$4="",999,'3-man'!$BF$4)),100,M78)))))</f>
        <v/>
      </c>
      <c r="N79">
        <f>IF('3-man'!N$21="R",MIN(100,N78+10),IF('3-man'!N$21="P",MIN(100,N78+25),IF(AND('3-man'!N$21="D",N78&gt;=35,'3-man'!N$18&lt;=IF('3-man'!$BF$4="",999,'3-man'!$BF$4)),N78-35,IF(AND(LEFT('3-man'!N$21,3)="ST&gt;",N78&gt;=100,'3-man'!N$18&lt;=IF('3-man'!$BF$4="",999,'3-man'!$BF$4)),0,IF(AND(OR(AND('3-man'!N$19="ST&gt;3",N62&gt;=100),AND('3-man'!N$20="ST&gt;3",N70&gt;=100)),'3-man'!N$18&lt;=IF('3-man'!$BF$4="",999,'3-man'!$BF$4)),100,N78)))))</f>
        <v/>
      </c>
      <c r="O79">
        <f>IF('3-man'!O$21="R",MIN(100,O78+10),IF('3-man'!O$21="P",MIN(100,O78+25),IF(AND('3-man'!O$21="D",O78&gt;=35,'3-man'!O$18&lt;=IF('3-man'!$BF$4="",999,'3-man'!$BF$4)),O78-35,IF(AND(LEFT('3-man'!O$21,3)="ST&gt;",O78&gt;=100,'3-man'!O$18&lt;=IF('3-man'!$BF$4="",999,'3-man'!$BF$4)),0,IF(AND(OR(AND('3-man'!O$19="ST&gt;3",O62&gt;=100),AND('3-man'!O$20="ST&gt;3",O70&gt;=100)),'3-man'!O$18&lt;=IF('3-man'!$BF$4="",999,'3-man'!$BF$4)),100,O78)))))</f>
        <v/>
      </c>
      <c r="P79">
        <f>IF('3-man'!P$21="R",MIN(100,P78+10),IF('3-man'!P$21="P",MIN(100,P78+25),IF(AND('3-man'!P$21="D",P78&gt;=35,'3-man'!P$18&lt;=IF('3-man'!$BF$4="",999,'3-man'!$BF$4)),P78-35,IF(AND(LEFT('3-man'!P$21,3)="ST&gt;",P78&gt;=100,'3-man'!P$18&lt;=IF('3-man'!$BF$4="",999,'3-man'!$BF$4)),0,IF(AND(OR(AND('3-man'!P$19="ST&gt;3",P62&gt;=100),AND('3-man'!P$20="ST&gt;3",P70&gt;=100)),'3-man'!P$18&lt;=IF('3-man'!$BF$4="",999,'3-man'!$BF$4)),100,P78)))))</f>
        <v/>
      </c>
      <c r="Q79">
        <f>IF('3-man'!Q$21="R",MIN(100,Q78+10),IF('3-man'!Q$21="P",MIN(100,Q78+25),IF(AND('3-man'!Q$21="D",Q78&gt;=35,'3-man'!Q$18&lt;=IF('3-man'!$BF$4="",999,'3-man'!$BF$4)),Q78-35,IF(AND(LEFT('3-man'!Q$21,3)="ST&gt;",Q78&gt;=100,'3-man'!Q$18&lt;=IF('3-man'!$BF$4="",999,'3-man'!$BF$4)),0,IF(AND(OR(AND('3-man'!Q$19="ST&gt;3",Q62&gt;=100),AND('3-man'!Q$20="ST&gt;3",Q70&gt;=100)),'3-man'!Q$18&lt;=IF('3-man'!$BF$4="",999,'3-man'!$BF$4)),100,Q78)))))</f>
        <v/>
      </c>
      <c r="R79">
        <f>IF('3-man'!R$21="R",MIN(100,R78+10),IF('3-man'!R$21="P",MIN(100,R78+25),IF(AND('3-man'!R$21="D",R78&gt;=35,'3-man'!R$18&lt;=IF('3-man'!$BF$4="",999,'3-man'!$BF$4)),R78-35,IF(AND(LEFT('3-man'!R$21,3)="ST&gt;",R78&gt;=100,'3-man'!R$18&lt;=IF('3-man'!$BF$4="",999,'3-man'!$BF$4)),0,IF(AND(OR(AND('3-man'!R$19="ST&gt;3",R62&gt;=100),AND('3-man'!R$20="ST&gt;3",R70&gt;=100)),'3-man'!R$18&lt;=IF('3-man'!$BF$4="",999,'3-man'!$BF$4)),100,R78)))))</f>
        <v/>
      </c>
      <c r="S79">
        <f>IF('3-man'!S$21="R",MIN(100,S78+10),IF('3-man'!S$21="P",MIN(100,S78+25),IF(AND('3-man'!S$21="D",S78&gt;=35,'3-man'!S$18&lt;=IF('3-man'!$BF$4="",999,'3-man'!$BF$4)),S78-35,IF(AND(LEFT('3-man'!S$21,3)="ST&gt;",S78&gt;=100,'3-man'!S$18&lt;=IF('3-man'!$BF$4="",999,'3-man'!$BF$4)),0,IF(AND(OR(AND('3-man'!S$19="ST&gt;3",S62&gt;=100),AND('3-man'!S$20="ST&gt;3",S70&gt;=100)),'3-man'!S$18&lt;=IF('3-man'!$BF$4="",999,'3-man'!$BF$4)),100,S78)))))</f>
        <v/>
      </c>
      <c r="T79">
        <f>IF('3-man'!T$21="R",MIN(100,T78+10),IF('3-man'!T$21="P",MIN(100,T78+25),IF(AND('3-man'!T$21="D",T78&gt;=35,'3-man'!T$18&lt;=IF('3-man'!$BF$4="",999,'3-man'!$BF$4)),T78-35,IF(AND(LEFT('3-man'!T$21,3)="ST&gt;",T78&gt;=100,'3-man'!T$18&lt;=IF('3-man'!$BF$4="",999,'3-man'!$BF$4)),0,IF(AND(OR(AND('3-man'!T$19="ST&gt;3",T62&gt;=100),AND('3-man'!T$20="ST&gt;3",T70&gt;=100)),'3-man'!T$18&lt;=IF('3-man'!$BF$4="",999,'3-man'!$BF$4)),100,T78)))))</f>
        <v/>
      </c>
      <c r="U79">
        <f>IF('3-man'!U$21="R",MIN(100,U78+10),IF('3-man'!U$21="P",MIN(100,U78+25),IF(AND('3-man'!U$21="D",U78&gt;=35,'3-man'!U$18&lt;=IF('3-man'!$BF$4="",999,'3-man'!$BF$4)),U78-35,IF(AND(LEFT('3-man'!U$21,3)="ST&gt;",U78&gt;=100,'3-man'!U$18&lt;=IF('3-man'!$BF$4="",999,'3-man'!$BF$4)),0,IF(AND(OR(AND('3-man'!U$19="ST&gt;3",U62&gt;=100),AND('3-man'!U$20="ST&gt;3",U70&gt;=100)),'3-man'!U$18&lt;=IF('3-man'!$BF$4="",999,'3-man'!$BF$4)),100,U78)))))</f>
        <v/>
      </c>
      <c r="V79">
        <f>IF('3-man'!V$21="R",MIN(100,V78+10),IF('3-man'!V$21="P",MIN(100,V78+25),IF(AND('3-man'!V$21="D",V78&gt;=35,'3-man'!V$18&lt;=IF('3-man'!$BF$4="",999,'3-man'!$BF$4)),V78-35,IF(AND(LEFT('3-man'!V$21,3)="ST&gt;",V78&gt;=100,'3-man'!V$18&lt;=IF('3-man'!$BF$4="",999,'3-man'!$BF$4)),0,IF(AND(OR(AND('3-man'!V$19="ST&gt;3",V62&gt;=100),AND('3-man'!V$20="ST&gt;3",V70&gt;=100)),'3-man'!V$18&lt;=IF('3-man'!$BF$4="",999,'3-man'!$BF$4)),100,V78)))))</f>
        <v/>
      </c>
      <c r="W79">
        <f>IF('3-man'!W$21="R",MIN(100,W78+10),IF('3-man'!W$21="P",MIN(100,W78+25),IF(AND('3-man'!W$21="D",W78&gt;=35,'3-man'!W$18&lt;=IF('3-man'!$BF$4="",999,'3-man'!$BF$4)),W78-35,IF(AND(LEFT('3-man'!W$21,3)="ST&gt;",W78&gt;=100,'3-man'!W$18&lt;=IF('3-man'!$BF$4="",999,'3-man'!$BF$4)),0,IF(AND(OR(AND('3-man'!W$19="ST&gt;3",W62&gt;=100),AND('3-man'!W$20="ST&gt;3",W70&gt;=100)),'3-man'!W$18&lt;=IF('3-man'!$BF$4="",999,'3-man'!$BF$4)),100,W78)))))</f>
        <v/>
      </c>
      <c r="X79">
        <f>IF('3-man'!X$21="R",MIN(100,X78+10),IF('3-man'!X$21="P",MIN(100,X78+25),IF(AND('3-man'!X$21="D",X78&gt;=35,'3-man'!X$18&lt;=IF('3-man'!$BF$4="",999,'3-man'!$BF$4)),X78-35,IF(AND(LEFT('3-man'!X$21,3)="ST&gt;",X78&gt;=100,'3-man'!X$18&lt;=IF('3-man'!$BF$4="",999,'3-man'!$BF$4)),0,IF(AND(OR(AND('3-man'!X$19="ST&gt;3",X62&gt;=100),AND('3-man'!X$20="ST&gt;3",X70&gt;=100)),'3-man'!X$18&lt;=IF('3-man'!$BF$4="",999,'3-man'!$BF$4)),100,X78)))))</f>
        <v/>
      </c>
      <c r="Y79">
        <f>IF('3-man'!Y$21="R",MIN(100,Y78+10),IF('3-man'!Y$21="P",MIN(100,Y78+25),IF(AND('3-man'!Y$21="D",Y78&gt;=35,'3-man'!Y$18&lt;=IF('3-man'!$BF$4="",999,'3-man'!$BF$4)),Y78-35,IF(AND(LEFT('3-man'!Y$21,3)="ST&gt;",Y78&gt;=100,'3-man'!Y$18&lt;=IF('3-man'!$BF$4="",999,'3-man'!$BF$4)),0,IF(AND(OR(AND('3-man'!Y$19="ST&gt;3",Y62&gt;=100),AND('3-man'!Y$20="ST&gt;3",Y70&gt;=100)),'3-man'!Y$18&lt;=IF('3-man'!$BF$4="",999,'3-man'!$BF$4)),100,Y78)))))</f>
        <v/>
      </c>
      <c r="Z79">
        <f>IF('3-man'!Z$21="R",MIN(100,Z78+10),IF('3-man'!Z$21="P",MIN(100,Z78+25),IF(AND('3-man'!Z$21="D",Z78&gt;=35,'3-man'!Z$18&lt;=IF('3-man'!$BF$4="",999,'3-man'!$BF$4)),Z78-35,IF(AND(LEFT('3-man'!Z$21,3)="ST&gt;",Z78&gt;=100,'3-man'!Z$18&lt;=IF('3-man'!$BF$4="",999,'3-man'!$BF$4)),0,IF(AND(OR(AND('3-man'!Z$19="ST&gt;3",Z62&gt;=100),AND('3-man'!Z$20="ST&gt;3",Z70&gt;=100)),'3-man'!Z$18&lt;=IF('3-man'!$BF$4="",999,'3-man'!$BF$4)),100,Z78)))))</f>
        <v/>
      </c>
      <c r="AA79">
        <f>IF('3-man'!AA$21="R",MIN(100,AA78+10),IF('3-man'!AA$21="P",MIN(100,AA78+25),IF(AND('3-man'!AA$21="D",AA78&gt;=35,'3-man'!AA$18&lt;=IF('3-man'!$BF$4="",999,'3-man'!$BF$4)),AA78-35,IF(AND(LEFT('3-man'!AA$21,3)="ST&gt;",AA78&gt;=100,'3-man'!AA$18&lt;=IF('3-man'!$BF$4="",999,'3-man'!$BF$4)),0,IF(AND(OR(AND('3-man'!AA$19="ST&gt;3",AA62&gt;=100),AND('3-man'!AA$20="ST&gt;3",AA70&gt;=100)),'3-man'!AA$18&lt;=IF('3-man'!$BF$4="",999,'3-man'!$BF$4)),100,AA78)))))</f>
        <v/>
      </c>
      <c r="AB79">
        <f>IF('3-man'!AB$21="R",MIN(100,AB78+10),IF('3-man'!AB$21="P",MIN(100,AB78+25),IF(AND('3-man'!AB$21="D",AB78&gt;=35,'3-man'!AB$18&lt;=IF('3-man'!$BF$4="",999,'3-man'!$BF$4)),AB78-35,IF(AND(LEFT('3-man'!AB$21,3)="ST&gt;",AB78&gt;=100,'3-man'!AB$18&lt;=IF('3-man'!$BF$4="",999,'3-man'!$BF$4)),0,IF(AND(OR(AND('3-man'!AB$19="ST&gt;3",AB62&gt;=100),AND('3-man'!AB$20="ST&gt;3",AB70&gt;=100)),'3-man'!AB$18&lt;=IF('3-man'!$BF$4="",999,'3-man'!$BF$4)),100,AB78)))))</f>
        <v/>
      </c>
      <c r="AC79">
        <f>IF('3-man'!AC$21="R",MIN(100,AC78+10),IF('3-man'!AC$21="P",MIN(100,AC78+25),IF(AND('3-man'!AC$21="D",AC78&gt;=35,'3-man'!AC$18&lt;=IF('3-man'!$BF$4="",999,'3-man'!$BF$4)),AC78-35,IF(AND(LEFT('3-man'!AC$21,3)="ST&gt;",AC78&gt;=100,'3-man'!AC$18&lt;=IF('3-man'!$BF$4="",999,'3-man'!$BF$4)),0,IF(AND(OR(AND('3-man'!AC$19="ST&gt;3",AC62&gt;=100),AND('3-man'!AC$20="ST&gt;3",AC70&gt;=100)),'3-man'!AC$18&lt;=IF('3-man'!$BF$4="",999,'3-man'!$BF$4)),100,AC78)))))</f>
        <v/>
      </c>
      <c r="AD79">
        <f>IF('3-man'!AD$21="R",MIN(100,AD78+10),IF('3-man'!AD$21="P",MIN(100,AD78+25),IF(AND('3-man'!AD$21="D",AD78&gt;=35,'3-man'!AD$18&lt;=IF('3-man'!$BF$4="",999,'3-man'!$BF$4)),AD78-35,IF(AND(LEFT('3-man'!AD$21,3)="ST&gt;",AD78&gt;=100,'3-man'!AD$18&lt;=IF('3-man'!$BF$4="",999,'3-man'!$BF$4)),0,IF(AND(OR(AND('3-man'!AD$19="ST&gt;3",AD62&gt;=100),AND('3-man'!AD$20="ST&gt;3",AD70&gt;=100)),'3-man'!AD$18&lt;=IF('3-man'!$BF$4="",999,'3-man'!$BF$4)),100,AD78)))))</f>
        <v/>
      </c>
      <c r="AE79">
        <f>IF('3-man'!AE$21="R",MIN(100,AE78+10),IF('3-man'!AE$21="P",MIN(100,AE78+25),IF(AND('3-man'!AE$21="D",AE78&gt;=35,'3-man'!AE$18&lt;=IF('3-man'!$BF$4="",999,'3-man'!$BF$4)),AE78-35,IF(AND(LEFT('3-man'!AE$21,3)="ST&gt;",AE78&gt;=100,'3-man'!AE$18&lt;=IF('3-man'!$BF$4="",999,'3-man'!$BF$4)),0,IF(AND(OR(AND('3-man'!AE$19="ST&gt;3",AE62&gt;=100),AND('3-man'!AE$20="ST&gt;3",AE70&gt;=100)),'3-man'!AE$18&lt;=IF('3-man'!$BF$4="",999,'3-man'!$BF$4)),100,AE78)))))</f>
        <v/>
      </c>
      <c r="AF79">
        <f>IF('3-man'!AF$21="R",MIN(100,AF78+10),IF('3-man'!AF$21="P",MIN(100,AF78+25),IF(AND('3-man'!AF$21="D",AF78&gt;=35,'3-man'!AF$18&lt;=IF('3-man'!$BF$4="",999,'3-man'!$BF$4)),AF78-35,IF(AND(LEFT('3-man'!AF$21,3)="ST&gt;",AF78&gt;=100,'3-man'!AF$18&lt;=IF('3-man'!$BF$4="",999,'3-man'!$BF$4)),0,IF(AND(OR(AND('3-man'!AF$19="ST&gt;3",AF62&gt;=100),AND('3-man'!AF$20="ST&gt;3",AF70&gt;=100)),'3-man'!AF$18&lt;=IF('3-man'!$BF$4="",999,'3-man'!$BF$4)),100,AF78)))))</f>
        <v/>
      </c>
      <c r="AG79">
        <f>IF('3-man'!AG$21="R",MIN(100,AG78+10),IF('3-man'!AG$21="P",MIN(100,AG78+25),IF(AND('3-man'!AG$21="D",AG78&gt;=35,'3-man'!AG$18&lt;=IF('3-man'!$BF$4="",999,'3-man'!$BF$4)),AG78-35,IF(AND(LEFT('3-man'!AG$21,3)="ST&gt;",AG78&gt;=100,'3-man'!AG$18&lt;=IF('3-man'!$BF$4="",999,'3-man'!$BF$4)),0,IF(AND(OR(AND('3-man'!AG$19="ST&gt;3",AG62&gt;=100),AND('3-man'!AG$20="ST&gt;3",AG70&gt;=100)),'3-man'!AG$18&lt;=IF('3-man'!$BF$4="",999,'3-man'!$BF$4)),100,AG78)))))</f>
        <v/>
      </c>
      <c r="AH79">
        <f>IF('3-man'!AH$21="R",MIN(100,AH78+10),IF('3-man'!AH$21="P",MIN(100,AH78+25),IF(AND('3-man'!AH$21="D",AH78&gt;=35,'3-man'!AH$18&lt;=IF('3-man'!$BF$4="",999,'3-man'!$BF$4)),AH78-35,IF(AND(LEFT('3-man'!AH$21,3)="ST&gt;",AH78&gt;=100,'3-man'!AH$18&lt;=IF('3-man'!$BF$4="",999,'3-man'!$BF$4)),0,IF(AND(OR(AND('3-man'!AH$19="ST&gt;3",AH62&gt;=100),AND('3-man'!AH$20="ST&gt;3",AH70&gt;=100)),'3-man'!AH$18&lt;=IF('3-man'!$BF$4="",999,'3-man'!$BF$4)),100,AH78)))))</f>
        <v/>
      </c>
      <c r="AI79">
        <f>IF('3-man'!AI$21="R",MIN(100,AI78+10),IF('3-man'!AI$21="P",MIN(100,AI78+25),IF(AND('3-man'!AI$21="D",AI78&gt;=35,'3-man'!AI$18&lt;=IF('3-man'!$BF$4="",999,'3-man'!$BF$4)),AI78-35,IF(AND(LEFT('3-man'!AI$21,3)="ST&gt;",AI78&gt;=100,'3-man'!AI$18&lt;=IF('3-man'!$BF$4="",999,'3-man'!$BF$4)),0,IF(AND(OR(AND('3-man'!AI$19="ST&gt;3",AI62&gt;=100),AND('3-man'!AI$20="ST&gt;3",AI70&gt;=100)),'3-man'!AI$18&lt;=IF('3-man'!$BF$4="",999,'3-man'!$BF$4)),100,AI78)))))</f>
        <v/>
      </c>
      <c r="AJ79">
        <f>IF('3-man'!AJ$21="R",MIN(100,AJ78+10),IF('3-man'!AJ$21="P",MIN(100,AJ78+25),IF(AND('3-man'!AJ$21="D",AJ78&gt;=35,'3-man'!AJ$18&lt;=IF('3-man'!$BF$4="",999,'3-man'!$BF$4)),AJ78-35,IF(AND(LEFT('3-man'!AJ$21,3)="ST&gt;",AJ78&gt;=100,'3-man'!AJ$18&lt;=IF('3-man'!$BF$4="",999,'3-man'!$BF$4)),0,IF(AND(OR(AND('3-man'!AJ$19="ST&gt;3",AJ62&gt;=100),AND('3-man'!AJ$20="ST&gt;3",AJ70&gt;=100)),'3-man'!AJ$18&lt;=IF('3-man'!$BF$4="",999,'3-man'!$BF$4)),100,AJ78)))))</f>
        <v/>
      </c>
      <c r="AK79">
        <f>IF('3-man'!AK$21="R",MIN(100,AK78+10),IF('3-man'!AK$21="P",MIN(100,AK78+25),IF(AND('3-man'!AK$21="D",AK78&gt;=35,'3-man'!AK$18&lt;=IF('3-man'!$BF$4="",999,'3-man'!$BF$4)),AK78-35,IF(AND(LEFT('3-man'!AK$21,3)="ST&gt;",AK78&gt;=100,'3-man'!AK$18&lt;=IF('3-man'!$BF$4="",999,'3-man'!$BF$4)),0,IF(AND(OR(AND('3-man'!AK$19="ST&gt;3",AK62&gt;=100),AND('3-man'!AK$20="ST&gt;3",AK70&gt;=100)),'3-man'!AK$18&lt;=IF('3-man'!$BF$4="",999,'3-man'!$BF$4)),100,AK78)))))</f>
        <v/>
      </c>
      <c r="AL79">
        <f>IF('3-man'!AL$21="R",MIN(100,AL78+10),IF('3-man'!AL$21="P",MIN(100,AL78+25),IF(AND('3-man'!AL$21="D",AL78&gt;=35,'3-man'!AL$18&lt;=IF('3-man'!$BF$4="",999,'3-man'!$BF$4)),AL78-35,IF(AND(LEFT('3-man'!AL$21,3)="ST&gt;",AL78&gt;=100,'3-man'!AL$18&lt;=IF('3-man'!$BF$4="",999,'3-man'!$BF$4)),0,IF(AND(OR(AND('3-man'!AL$19="ST&gt;3",AL62&gt;=100),AND('3-man'!AL$20="ST&gt;3",AL70&gt;=100)),'3-man'!AL$18&lt;=IF('3-man'!$BF$4="",999,'3-man'!$BF$4)),100,AL78)))))</f>
        <v/>
      </c>
      <c r="AM79">
        <f>IF('3-man'!AM$21="R",MIN(100,AM78+10),IF('3-man'!AM$21="P",MIN(100,AM78+25),IF(AND('3-man'!AM$21="D",AM78&gt;=35,'3-man'!AM$18&lt;=IF('3-man'!$BF$4="",999,'3-man'!$BF$4)),AM78-35,IF(AND(LEFT('3-man'!AM$21,3)="ST&gt;",AM78&gt;=100,'3-man'!AM$18&lt;=IF('3-man'!$BF$4="",999,'3-man'!$BF$4)),0,IF(AND(OR(AND('3-man'!AM$19="ST&gt;3",AM62&gt;=100),AND('3-man'!AM$20="ST&gt;3",AM70&gt;=100)),'3-man'!AM$18&lt;=IF('3-man'!$BF$4="",999,'3-man'!$BF$4)),100,AM78)))))</f>
        <v/>
      </c>
      <c r="AN79">
        <f>IF('3-man'!AN$21="R",MIN(100,AN78+10),IF('3-man'!AN$21="P",MIN(100,AN78+25),IF(AND('3-man'!AN$21="D",AN78&gt;=35,'3-man'!AN$18&lt;=IF('3-man'!$BF$4="",999,'3-man'!$BF$4)),AN78-35,IF(AND(LEFT('3-man'!AN$21,3)="ST&gt;",AN78&gt;=100,'3-man'!AN$18&lt;=IF('3-man'!$BF$4="",999,'3-man'!$BF$4)),0,IF(AND(OR(AND('3-man'!AN$19="ST&gt;3",AN62&gt;=100),AND('3-man'!AN$20="ST&gt;3",AN70&gt;=100)),'3-man'!AN$18&lt;=IF('3-man'!$BF$4="",999,'3-man'!$BF$4)),100,AN78)))))</f>
        <v/>
      </c>
      <c r="AO79">
        <f>IF('3-man'!AO$21="R",MIN(100,AO78+10),IF('3-man'!AO$21="P",MIN(100,AO78+25),IF(AND('3-man'!AO$21="D",AO78&gt;=35,'3-man'!AO$18&lt;=IF('3-man'!$BF$4="",999,'3-man'!$BF$4)),AO78-35,IF(AND(LEFT('3-man'!AO$21,3)="ST&gt;",AO78&gt;=100,'3-man'!AO$18&lt;=IF('3-man'!$BF$4="",999,'3-man'!$BF$4)),0,IF(AND(OR(AND('3-man'!AO$19="ST&gt;3",AO62&gt;=100),AND('3-man'!AO$20="ST&gt;3",AO70&gt;=100)),'3-man'!AO$18&lt;=IF('3-man'!$BF$4="",999,'3-man'!$BF$4)),100,AO78)))))</f>
        <v/>
      </c>
      <c r="AP79">
        <f>IF('3-man'!AP$21="R",MIN(100,AP78+10),IF('3-man'!AP$21="P",MIN(100,AP78+25),IF(AND('3-man'!AP$21="D",AP78&gt;=35,'3-man'!AP$18&lt;=IF('3-man'!$BF$4="",999,'3-man'!$BF$4)),AP78-35,IF(AND(LEFT('3-man'!AP$21,3)="ST&gt;",AP78&gt;=100,'3-man'!AP$18&lt;=IF('3-man'!$BF$4="",999,'3-man'!$BF$4)),0,IF(AND(OR(AND('3-man'!AP$19="ST&gt;3",AP62&gt;=100),AND('3-man'!AP$20="ST&gt;3",AP70&gt;=100)),'3-man'!AP$18&lt;=IF('3-man'!$BF$4="",999,'3-man'!$BF$4)),100,AP78)))))</f>
        <v/>
      </c>
      <c r="AQ79">
        <f>IF('3-man'!AQ$21="R",MIN(100,AQ78+10),IF('3-man'!AQ$21="P",MIN(100,AQ78+25),IF(AND('3-man'!AQ$21="D",AQ78&gt;=35,'3-man'!AQ$18&lt;=IF('3-man'!$BF$4="",999,'3-man'!$BF$4)),AQ78-35,IF(AND(LEFT('3-man'!AQ$21,3)="ST&gt;",AQ78&gt;=100,'3-man'!AQ$18&lt;=IF('3-man'!$BF$4="",999,'3-man'!$BF$4)),0,IF(AND(OR(AND('3-man'!AQ$19="ST&gt;3",AQ62&gt;=100),AND('3-man'!AQ$20="ST&gt;3",AQ70&gt;=100)),'3-man'!AQ$18&lt;=IF('3-man'!$BF$4="",999,'3-man'!$BF$4)),100,AQ78)))))</f>
        <v/>
      </c>
      <c r="AR79">
        <f>IF('3-man'!AR$21="R",MIN(100,AR78+10),IF('3-man'!AR$21="P",MIN(100,AR78+25),IF(AND('3-man'!AR$21="D",AR78&gt;=35,'3-man'!AR$18&lt;=IF('3-man'!$BF$4="",999,'3-man'!$BF$4)),AR78-35,IF(AND(LEFT('3-man'!AR$21,3)="ST&gt;",AR78&gt;=100,'3-man'!AR$18&lt;=IF('3-man'!$BF$4="",999,'3-man'!$BF$4)),0,IF(AND(OR(AND('3-man'!AR$19="ST&gt;3",AR62&gt;=100),AND('3-man'!AR$20="ST&gt;3",AR70&gt;=100)),'3-man'!AR$18&lt;=IF('3-man'!$BF$4="",999,'3-man'!$BF$4)),100,AR78)))))</f>
        <v/>
      </c>
      <c r="AS79">
        <f>IF('3-man'!AS$21="R",MIN(100,AS78+10),IF('3-man'!AS$21="P",MIN(100,AS78+25),IF(AND('3-man'!AS$21="D",AS78&gt;=35,'3-man'!AS$18&lt;=IF('3-man'!$BF$4="",999,'3-man'!$BF$4)),AS78-35,IF(AND(LEFT('3-man'!AS$21,3)="ST&gt;",AS78&gt;=100,'3-man'!AS$18&lt;=IF('3-man'!$BF$4="",999,'3-man'!$BF$4)),0,IF(AND(OR(AND('3-man'!AS$19="ST&gt;3",AS62&gt;=100),AND('3-man'!AS$20="ST&gt;3",AS70&gt;=100)),'3-man'!AS$18&lt;=IF('3-man'!$BF$4="",999,'3-man'!$BF$4)),100,AS78)))))</f>
        <v/>
      </c>
      <c r="AT79">
        <f>IF('3-man'!AT$21="R",MIN(100,AT78+10),IF('3-man'!AT$21="P",MIN(100,AT78+25),IF(AND('3-man'!AT$21="D",AT78&gt;=35,'3-man'!AT$18&lt;=IF('3-man'!$BF$4="",999,'3-man'!$BF$4)),AT78-35,IF(AND(LEFT('3-man'!AT$21,3)="ST&gt;",AT78&gt;=100,'3-man'!AT$18&lt;=IF('3-man'!$BF$4="",999,'3-man'!$BF$4)),0,IF(AND(OR(AND('3-man'!AT$19="ST&gt;3",AT62&gt;=100),AND('3-man'!AT$20="ST&gt;3",AT70&gt;=100)),'3-man'!AT$18&lt;=IF('3-man'!$BF$4="",999,'3-man'!$BF$4)),100,AT78)))))</f>
        <v/>
      </c>
      <c r="AU79">
        <f>IF('3-man'!AU$21="R",MIN(100,AU78+10),IF('3-man'!AU$21="P",MIN(100,AU78+25),IF(AND('3-man'!AU$21="D",AU78&gt;=35,'3-man'!AU$18&lt;=IF('3-man'!$BF$4="",999,'3-man'!$BF$4)),AU78-35,IF(AND(LEFT('3-man'!AU$21,3)="ST&gt;",AU78&gt;=100,'3-man'!AU$18&lt;=IF('3-man'!$BF$4="",999,'3-man'!$BF$4)),0,IF(AND(OR(AND('3-man'!AU$19="ST&gt;3",AU62&gt;=100),AND('3-man'!AU$20="ST&gt;3",AU70&gt;=100)),'3-man'!AU$18&lt;=IF('3-man'!$BF$4="",999,'3-man'!$BF$4)),100,AU78)))))</f>
        <v/>
      </c>
      <c r="AV79">
        <f>IF('3-man'!AV$21="R",MIN(100,AV78+10),IF('3-man'!AV$21="P",MIN(100,AV78+25),IF(AND('3-man'!AV$21="D",AV78&gt;=35,'3-man'!AV$18&lt;=IF('3-man'!$BF$4="",999,'3-man'!$BF$4)),AV78-35,IF(AND(LEFT('3-man'!AV$21,3)="ST&gt;",AV78&gt;=100,'3-man'!AV$18&lt;=IF('3-man'!$BF$4="",999,'3-man'!$BF$4)),0,IF(AND(OR(AND('3-man'!AV$19="ST&gt;3",AV62&gt;=100),AND('3-man'!AV$20="ST&gt;3",AV70&gt;=100)),'3-man'!AV$18&lt;=IF('3-man'!$BF$4="",999,'3-man'!$BF$4)),100,AV78)))))</f>
        <v/>
      </c>
      <c r="AW79">
        <f>IF('3-man'!AW$21="R",MIN(100,AW78+10),IF('3-man'!AW$21="P",MIN(100,AW78+25),IF(AND('3-man'!AW$21="D",AW78&gt;=35,'3-man'!AW$18&lt;=IF('3-man'!$BF$4="",999,'3-man'!$BF$4)),AW78-35,IF(AND(LEFT('3-man'!AW$21,3)="ST&gt;",AW78&gt;=100,'3-man'!AW$18&lt;=IF('3-man'!$BF$4="",999,'3-man'!$BF$4)),0,IF(AND(OR(AND('3-man'!AW$19="ST&gt;3",AW62&gt;=100),AND('3-man'!AW$20="ST&gt;3",AW70&gt;=100)),'3-man'!AW$18&lt;=IF('3-man'!$BF$4="",999,'3-man'!$BF$4)),100,AW78)))))</f>
        <v/>
      </c>
      <c r="AX79">
        <f>IF('3-man'!AX$21="R",MIN(100,AX78+10),IF('3-man'!AX$21="P",MIN(100,AX78+25),IF(AND('3-man'!AX$21="D",AX78&gt;=35,'3-man'!AX$18&lt;=IF('3-man'!$BF$4="",999,'3-man'!$BF$4)),AX78-35,IF(AND(LEFT('3-man'!AX$21,3)="ST&gt;",AX78&gt;=100,'3-man'!AX$18&lt;=IF('3-man'!$BF$4="",999,'3-man'!$BF$4)),0,IF(AND(OR(AND('3-man'!AX$19="ST&gt;3",AX62&gt;=100),AND('3-man'!AX$20="ST&gt;3",AX70&gt;=100)),'3-man'!AX$18&lt;=IF('3-man'!$BF$4="",999,'3-man'!$BF$4)),100,AX78)))))</f>
        <v/>
      </c>
      <c r="AY79">
        <f>IF('3-man'!AY$21="R",MIN(100,AY78+10),IF('3-man'!AY$21="P",MIN(100,AY78+25),IF(AND('3-man'!AY$21="D",AY78&gt;=35,'3-man'!AY$18&lt;=IF('3-man'!$BF$4="",999,'3-man'!$BF$4)),AY78-35,IF(AND(LEFT('3-man'!AY$21,3)="ST&gt;",AY78&gt;=100,'3-man'!AY$18&lt;=IF('3-man'!$BF$4="",999,'3-man'!$BF$4)),0,IF(AND(OR(AND('3-man'!AY$19="ST&gt;3",AY62&gt;=100),AND('3-man'!AY$20="ST&gt;3",AY70&gt;=100)),'3-man'!AY$18&lt;=IF('3-man'!$BF$4="",999,'3-man'!$BF$4)),100,AY78)))))</f>
        <v/>
      </c>
      <c r="AZ79">
        <f>IF('3-man'!AZ$21="R",MIN(100,AZ78+10),IF('3-man'!AZ$21="P",MIN(100,AZ78+25),IF(AND('3-man'!AZ$21="D",AZ78&gt;=35,'3-man'!AZ$18&lt;=IF('3-man'!$BF$4="",999,'3-man'!$BF$4)),AZ78-35,IF(AND(LEFT('3-man'!AZ$21,3)="ST&gt;",AZ78&gt;=100,'3-man'!AZ$18&lt;=IF('3-man'!$BF$4="",999,'3-man'!$BF$4)),0,IF(AND(OR(AND('3-man'!AZ$19="ST&gt;3",AZ62&gt;=100),AND('3-man'!AZ$20="ST&gt;3",AZ70&gt;=100)),'3-man'!AZ$18&lt;=IF('3-man'!$BF$4="",999,'3-man'!$BF$4)),100,AZ78)))))</f>
        <v/>
      </c>
      <c r="BA79">
        <f>IF('3-man'!BA$21="R",MIN(100,BA78+10),IF('3-man'!BA$21="P",MIN(100,BA78+25),IF(AND('3-man'!BA$21="D",BA78&gt;=35,'3-man'!BA$18&lt;=IF('3-man'!$BF$4="",999,'3-man'!$BF$4)),BA78-35,IF(AND(LEFT('3-man'!BA$21,3)="ST&gt;",BA78&gt;=100,'3-man'!BA$18&lt;=IF('3-man'!$BF$4="",999,'3-man'!$BF$4)),0,IF(AND(OR(AND('3-man'!BA$19="ST&gt;3",BA62&gt;=100),AND('3-man'!BA$20="ST&gt;3",BA70&gt;=100)),'3-man'!BA$18&lt;=IF('3-man'!$BF$4="",999,'3-man'!$BF$4)),100,BA78)))))</f>
        <v/>
      </c>
      <c r="BB79">
        <f>IF('3-man'!BB$21="R",MIN(100,BB78+10),IF('3-man'!BB$21="P",MIN(100,BB78+25),IF(AND('3-man'!BB$21="D",BB78&gt;=35,'3-man'!BB$18&lt;=IF('3-man'!$BF$4="",999,'3-man'!$BF$4)),BB78-35,IF(AND(LEFT('3-man'!BB$21,3)="ST&gt;",BB78&gt;=100,'3-man'!BB$18&lt;=IF('3-man'!$BF$4="",999,'3-man'!$BF$4)),0,IF(AND(OR(AND('3-man'!BB$19="ST&gt;3",BB62&gt;=100),AND('3-man'!BB$20="ST&gt;3",BB70&gt;=100)),'3-man'!BB$18&lt;=IF('3-man'!$BF$4="",999,'3-man'!$BF$4)),100,BB78)))))</f>
        <v/>
      </c>
      <c r="BC79">
        <f>IF('3-man'!BC$21="R",MIN(100,BC78+10),IF('3-man'!BC$21="P",MIN(100,BC78+25),IF(AND('3-man'!BC$21="D",BC78&gt;=35,'3-man'!BC$18&lt;=IF('3-man'!$BF$4="",999,'3-man'!$BF$4)),BC78-35,IF(AND(LEFT('3-man'!BC$21,3)="ST&gt;",BC78&gt;=100,'3-man'!BC$18&lt;=IF('3-man'!$BF$4="",999,'3-man'!$BF$4)),0,IF(AND(OR(AND('3-man'!BC$19="ST&gt;3",BC62&gt;=100),AND('3-man'!BC$20="ST&gt;3",BC70&gt;=100)),'3-man'!BC$18&lt;=IF('3-man'!$BF$4="",999,'3-man'!$BF$4)),100,BC78)))))</f>
        <v/>
      </c>
      <c r="BD79">
        <f>IF('3-man'!BD$21="R",MIN(100,BD78+10),IF('3-man'!BD$21="P",MIN(100,BD78+25),IF(AND('3-man'!BD$21="D",BD78&gt;=35,'3-man'!BD$18&lt;=IF('3-man'!$BF$4="",999,'3-man'!$BF$4)),BD78-35,IF(AND(LEFT('3-man'!BD$21,3)="ST&gt;",BD78&gt;=100,'3-man'!BD$18&lt;=IF('3-man'!$BF$4="",999,'3-man'!$BF$4)),0,IF(AND(OR(AND('3-man'!BD$19="ST&gt;3",BD62&gt;=100),AND('3-man'!BD$20="ST&gt;3",BD70&gt;=100)),'3-man'!BD$18&lt;=IF('3-man'!$BF$4="",999,'3-man'!$BF$4)),100,BD78)))))</f>
        <v/>
      </c>
      <c r="BE79">
        <f>IF('3-man'!BE$21="R",MIN(100,BE78+10),IF('3-man'!BE$21="P",MIN(100,BE78+25),IF(AND('3-man'!BE$21="D",BE78&gt;=35,'3-man'!BE$18&lt;=IF('3-man'!$BF$4="",999,'3-man'!$BF$4)),BE78-35,IF(AND(LEFT('3-man'!BE$21,3)="ST&gt;",BE78&gt;=100,'3-man'!BE$18&lt;=IF('3-man'!$BF$4="",999,'3-man'!$BF$4)),0,IF(AND(OR(AND('3-man'!BE$19="ST&gt;3",BE62&gt;=100),AND('3-man'!BE$20="ST&gt;3",BE70&gt;=100)),'3-man'!BE$18&lt;=IF('3-man'!$BF$4="",999,'3-man'!$BF$4)),100,BE78)))))</f>
        <v/>
      </c>
      <c r="BF79">
        <f>IF('3-man'!BF$21="R",MIN(100,BF78+10),IF('3-man'!BF$21="P",MIN(100,BF78+25),IF(AND('3-man'!BF$21="D",BF78&gt;=35,'3-man'!BF$18&lt;=IF('3-man'!$BF$4="",999,'3-man'!$BF$4)),BF78-35,IF(AND(LEFT('3-man'!BF$21,3)="ST&gt;",BF78&gt;=100,'3-man'!BF$18&lt;=IF('3-man'!$BF$4="",999,'3-man'!$BF$4)),0,IF(AND(OR(AND('3-man'!BF$19="ST&gt;3",BF62&gt;=100),AND('3-man'!BF$20="ST&gt;3",BF70&gt;=100)),'3-man'!BF$18&lt;=IF('3-man'!$BF$4="",999,'3-man'!$BF$4)),100,BF78)))))</f>
        <v/>
      </c>
      <c r="BG79">
        <f>IF('3-man'!BG$21="R",MIN(100,BG78+10),IF('3-man'!BG$21="P",MIN(100,BG78+25),IF(AND('3-man'!BG$21="D",BG78&gt;=35,'3-man'!BG$18&lt;=IF('3-man'!$BF$4="",999,'3-man'!$BF$4)),BG78-35,IF(AND(LEFT('3-man'!BG$21,3)="ST&gt;",BG78&gt;=100,'3-man'!BG$18&lt;=IF('3-man'!$BF$4="",999,'3-man'!$BF$4)),0,IF(AND(OR(AND('3-man'!BG$19="ST&gt;3",BG62&gt;=100),AND('3-man'!BG$20="ST&gt;3",BG70&gt;=100)),'3-man'!BG$18&lt;=IF('3-man'!$BF$4="",999,'3-man'!$BF$4)),100,BG78)))))</f>
        <v/>
      </c>
      <c r="BH79">
        <f>IF('3-man'!BH$21="R",MIN(100,BH78+10),IF('3-man'!BH$21="P",MIN(100,BH78+25),IF(AND('3-man'!BH$21="D",BH78&gt;=35,'3-man'!BH$18&lt;=IF('3-man'!$BF$4="",999,'3-man'!$BF$4)),BH78-35,IF(AND(LEFT('3-man'!BH$21,3)="ST&gt;",BH78&gt;=100,'3-man'!BH$18&lt;=IF('3-man'!$BF$4="",999,'3-man'!$BF$4)),0,IF(AND(OR(AND('3-man'!BH$19="ST&gt;3",BH62&gt;=100),AND('3-man'!BH$20="ST&gt;3",BH70&gt;=100)),'3-man'!BH$18&lt;=IF('3-man'!$BF$4="",999,'3-man'!$BF$4)),100,BH78)))))</f>
        <v/>
      </c>
      <c r="BI79">
        <f>IF('3-man'!BI$21="R",MIN(100,BI78+10),IF('3-man'!BI$21="P",MIN(100,BI78+25),IF(AND('3-man'!BI$21="D",BI78&gt;=35,'3-man'!BI$18&lt;=IF('3-man'!$BF$4="",999,'3-man'!$BF$4)),BI78-35,IF(AND(LEFT('3-man'!BI$21,3)="ST&gt;",BI78&gt;=100,'3-man'!BI$18&lt;=IF('3-man'!$BF$4="",999,'3-man'!$BF$4)),0,IF(AND(OR(AND('3-man'!BI$19="ST&gt;3",BI62&gt;=100),AND('3-man'!BI$20="ST&gt;3",BI70&gt;=100)),'3-man'!BI$18&lt;=IF('3-man'!$BF$4="",999,'3-man'!$BF$4)),100,BI78)))))</f>
        <v/>
      </c>
      <c r="BJ79">
        <f>IF('3-man'!BJ$21="R",MIN(100,BJ78+10),IF('3-man'!BJ$21="P",MIN(100,BJ78+25),IF(AND('3-man'!BJ$21="D",BJ78&gt;=35,'3-man'!BJ$18&lt;=IF('3-man'!$BF$4="",999,'3-man'!$BF$4)),BJ78-35,IF(AND(LEFT('3-man'!BJ$21,3)="ST&gt;",BJ78&gt;=100,'3-man'!BJ$18&lt;=IF('3-man'!$BF$4="",999,'3-man'!$BF$4)),0,IF(AND(OR(AND('3-man'!BJ$19="ST&gt;3",BJ62&gt;=100),AND('3-man'!BJ$20="ST&gt;3",BJ70&gt;=100)),'3-man'!BJ$18&lt;=IF('3-man'!$BF$4="",999,'3-man'!$BF$4)),100,BJ78)))))</f>
        <v/>
      </c>
      <c r="BK79">
        <f>IF('3-man'!BK$21="R",MIN(100,BK78+10),IF('3-man'!BK$21="P",MIN(100,BK78+25),IF(AND('3-man'!BK$21="D",BK78&gt;=35,'3-man'!BK$18&lt;=IF('3-man'!$BF$4="",999,'3-man'!$BF$4)),BK78-35,IF(AND(LEFT('3-man'!BK$21,3)="ST&gt;",BK78&gt;=100,'3-man'!BK$18&lt;=IF('3-man'!$BF$4="",999,'3-man'!$BF$4)),0,IF(AND(OR(AND('3-man'!BK$19="ST&gt;3",BK62&gt;=100),AND('3-man'!BK$20="ST&gt;3",BK70&gt;=100)),'3-man'!BK$18&lt;=IF('3-man'!$BF$4="",999,'3-man'!$BF$4)),100,BK78)))))</f>
        <v/>
      </c>
      <c r="BL79">
        <f>IF('3-man'!BL$21="R",MIN(100,BL78+10),IF('3-man'!BL$21="P",MIN(100,BL78+25),IF(AND('3-man'!BL$21="D",BL78&gt;=35,'3-man'!BL$18&lt;=IF('3-man'!$BF$4="",999,'3-man'!$BF$4)),BL78-35,IF(AND(LEFT('3-man'!BL$21,3)="ST&gt;",BL78&gt;=100,'3-man'!BL$18&lt;=IF('3-man'!$BF$4="",999,'3-man'!$BF$4)),0,IF(AND(OR(AND('3-man'!BL$19="ST&gt;3",BL62&gt;=100),AND('3-man'!BL$20="ST&gt;3",BL70&gt;=100)),'3-man'!BL$18&lt;=IF('3-man'!$BF$4="",999,'3-man'!$BF$4)),100,BL78)))))</f>
        <v/>
      </c>
      <c r="BM79">
        <f>IF('3-man'!BM$21="R",MIN(100,BM78+10),IF('3-man'!BM$21="P",MIN(100,BM78+25),IF(AND('3-man'!BM$21="D",BM78&gt;=35,'3-man'!BM$18&lt;=IF('3-man'!$BF$4="",999,'3-man'!$BF$4)),BM78-35,IF(AND(LEFT('3-man'!BM$21,3)="ST&gt;",BM78&gt;=100,'3-man'!BM$18&lt;=IF('3-man'!$BF$4="",999,'3-man'!$BF$4)),0,IF(AND(OR(AND('3-man'!BM$19="ST&gt;3",BM62&gt;=100),AND('3-man'!BM$20="ST&gt;3",BM70&gt;=100)),'3-man'!BM$18&lt;=IF('3-man'!$BF$4="",999,'3-man'!$BF$4)),100,BM78)))))</f>
        <v/>
      </c>
      <c r="BN79">
        <f>IF('3-man'!BN$21="R",MIN(100,BN78+10),IF('3-man'!BN$21="P",MIN(100,BN78+25),IF(AND('3-man'!BN$21="D",BN78&gt;=35,'3-man'!BN$18&lt;=IF('3-man'!$BF$4="",999,'3-man'!$BF$4)),BN78-35,IF(AND(LEFT('3-man'!BN$21,3)="ST&gt;",BN78&gt;=100,'3-man'!BN$18&lt;=IF('3-man'!$BF$4="",999,'3-man'!$BF$4)),0,IF(AND(OR(AND('3-man'!BN$19="ST&gt;3",BN62&gt;=100),AND('3-man'!BN$20="ST&gt;3",BN70&gt;=100)),'3-man'!BN$18&lt;=IF('3-man'!$BF$4="",999,'3-man'!$BF$4)),100,BN78)))))</f>
        <v/>
      </c>
      <c r="BO79">
        <f>IF('3-man'!BO$21="R",MIN(100,BO78+10),IF('3-man'!BO$21="P",MIN(100,BO78+25),IF(AND('3-man'!BO$21="D",BO78&gt;=35,'3-man'!BO$18&lt;=IF('3-man'!$BF$4="",999,'3-man'!$BF$4)),BO78-35,IF(AND(LEFT('3-man'!BO$21,3)="ST&gt;",BO78&gt;=100,'3-man'!BO$18&lt;=IF('3-man'!$BF$4="",999,'3-man'!$BF$4)),0,IF(AND(OR(AND('3-man'!BO$19="ST&gt;3",BO62&gt;=100),AND('3-man'!BO$20="ST&gt;3",BO70&gt;=100)),'3-man'!BO$18&lt;=IF('3-man'!$BF$4="",999,'3-man'!$BF$4)),100,BO78)))))</f>
        <v/>
      </c>
      <c r="BP79">
        <f>IF('3-man'!BP$21="R",MIN(100,BP78+10),IF('3-man'!BP$21="P",MIN(100,BP78+25),IF(AND('3-man'!BP$21="D",BP78&gt;=35,'3-man'!BP$18&lt;=IF('3-man'!$BF$4="",999,'3-man'!$BF$4)),BP78-35,IF(AND(LEFT('3-man'!BP$21,3)="ST&gt;",BP78&gt;=100,'3-man'!BP$18&lt;=IF('3-man'!$BF$4="",999,'3-man'!$BF$4)),0,IF(AND(OR(AND('3-man'!BP$19="ST&gt;3",BP62&gt;=100),AND('3-man'!BP$20="ST&gt;3",BP70&gt;=100)),'3-man'!BP$18&lt;=IF('3-man'!$BF$4="",999,'3-man'!$BF$4)),100,BP78)))))</f>
        <v/>
      </c>
      <c r="BQ79">
        <f>IF('3-man'!BQ$21="R",MIN(100,BQ78+10),IF('3-man'!BQ$21="P",MIN(100,BQ78+25),IF(AND('3-man'!BQ$21="D",BQ78&gt;=35,'3-man'!BQ$18&lt;=IF('3-man'!$BF$4="",999,'3-man'!$BF$4)),BQ78-35,IF(AND(LEFT('3-man'!BQ$21,3)="ST&gt;",BQ78&gt;=100,'3-man'!BQ$18&lt;=IF('3-man'!$BF$4="",999,'3-man'!$BF$4)),0,IF(AND(OR(AND('3-man'!BQ$19="ST&gt;3",BQ62&gt;=100),AND('3-man'!BQ$20="ST&gt;3",BQ70&gt;=100)),'3-man'!BQ$18&lt;=IF('3-man'!$BF$4="",999,'3-man'!$BF$4)),100,BQ78)))))</f>
        <v/>
      </c>
      <c r="BR79">
        <f>IF('3-man'!BR$21="R",MIN(100,BR78+10),IF('3-man'!BR$21="P",MIN(100,BR78+25),IF(AND('3-man'!BR$21="D",BR78&gt;=35,'3-man'!BR$18&lt;=IF('3-man'!$BF$4="",999,'3-man'!$BF$4)),BR78-35,IF(AND(LEFT('3-man'!BR$21,3)="ST&gt;",BR78&gt;=100,'3-man'!BR$18&lt;=IF('3-man'!$BF$4="",999,'3-man'!$BF$4)),0,IF(AND(OR(AND('3-man'!BR$19="ST&gt;3",BR62&gt;=100),AND('3-man'!BR$20="ST&gt;3",BR70&gt;=100)),'3-man'!BR$18&lt;=IF('3-man'!$BF$4="",999,'3-man'!$BF$4)),100,BR78)))))</f>
        <v/>
      </c>
      <c r="BS79">
        <f>IF('3-man'!BS$21="R",MIN(100,BS78+10),IF('3-man'!BS$21="P",MIN(100,BS78+25),IF(AND('3-man'!BS$21="D",BS78&gt;=35,'3-man'!BS$18&lt;=IF('3-man'!$BF$4="",999,'3-man'!$BF$4)),BS78-35,IF(AND(LEFT('3-man'!BS$21,3)="ST&gt;",BS78&gt;=100,'3-man'!BS$18&lt;=IF('3-man'!$BF$4="",999,'3-man'!$BF$4)),0,IF(AND(OR(AND('3-man'!BS$19="ST&gt;3",BS62&gt;=100),AND('3-man'!BS$20="ST&gt;3",BS70&gt;=100)),'3-man'!BS$18&lt;=IF('3-man'!$BF$4="",999,'3-man'!$BF$4)),100,BS78)))))</f>
        <v/>
      </c>
      <c r="BT79">
        <f>IF('3-man'!BT$21="R",MIN(100,BT78+10),IF('3-man'!BT$21="P",MIN(100,BT78+25),IF(AND('3-man'!BT$21="D",BT78&gt;=35,'3-man'!BT$18&lt;=IF('3-man'!$BF$4="",999,'3-man'!$BF$4)),BT78-35,IF(AND(LEFT('3-man'!BT$21,3)="ST&gt;",BT78&gt;=100,'3-man'!BT$18&lt;=IF('3-man'!$BF$4="",999,'3-man'!$BF$4)),0,IF(AND(OR(AND('3-man'!BT$19="ST&gt;3",BT62&gt;=100),AND('3-man'!BT$20="ST&gt;3",BT70&gt;=100)),'3-man'!BT$18&lt;=IF('3-man'!$BF$4="",999,'3-man'!$BF$4)),100,BT78)))))</f>
        <v/>
      </c>
      <c r="BU79">
        <f>IF('3-man'!BU$21="R",MIN(100,BU78+10),IF('3-man'!BU$21="P",MIN(100,BU78+25),IF(AND('3-man'!BU$21="D",BU78&gt;=35,'3-man'!BU$18&lt;=IF('3-man'!$BF$4="",999,'3-man'!$BF$4)),BU78-35,IF(AND(LEFT('3-man'!BU$21,3)="ST&gt;",BU78&gt;=100,'3-man'!BU$18&lt;=IF('3-man'!$BF$4="",999,'3-man'!$BF$4)),0,IF(AND(OR(AND('3-man'!BU$19="ST&gt;3",BU62&gt;=100),AND('3-man'!BU$20="ST&gt;3",BU70&gt;=100)),'3-man'!BU$18&lt;=IF('3-man'!$BF$4="",999,'3-man'!$BF$4)),100,BU78)))))</f>
        <v/>
      </c>
      <c r="BV79">
        <f>IF('3-man'!BV$21="R",MIN(100,BV78+10),IF('3-man'!BV$21="P",MIN(100,BV78+25),IF(AND('3-man'!BV$21="D",BV78&gt;=35,'3-man'!BV$18&lt;=IF('3-man'!$BF$4="",999,'3-man'!$BF$4)),BV78-35,IF(AND(LEFT('3-man'!BV$21,3)="ST&gt;",BV78&gt;=100,'3-man'!BV$18&lt;=IF('3-man'!$BF$4="",999,'3-man'!$BF$4)),0,IF(AND(OR(AND('3-man'!BV$19="ST&gt;3",BV62&gt;=100),AND('3-man'!BV$20="ST&gt;3",BV70&gt;=100)),'3-man'!BV$18&lt;=IF('3-man'!$BF$4="",999,'3-man'!$BF$4)),100,BV78)))))</f>
        <v/>
      </c>
      <c r="BW79">
        <f>IF('3-man'!BW$21="R",MIN(100,BW78+10),IF('3-man'!BW$21="P",MIN(100,BW78+25),IF(AND('3-man'!BW$21="D",BW78&gt;=35,'3-man'!BW$18&lt;=IF('3-man'!$BF$4="",999,'3-man'!$BF$4)),BW78-35,IF(AND(LEFT('3-man'!BW$21,3)="ST&gt;",BW78&gt;=100,'3-man'!BW$18&lt;=IF('3-man'!$BF$4="",999,'3-man'!$BF$4)),0,IF(AND(OR(AND('3-man'!BW$19="ST&gt;3",BW62&gt;=100),AND('3-man'!BW$20="ST&gt;3",BW70&gt;=100)),'3-man'!BW$18&lt;=IF('3-man'!$BF$4="",999,'3-man'!$BF$4)),100,BW78)))))</f>
        <v/>
      </c>
      <c r="BX79">
        <f>IF('3-man'!BX$21="R",MIN(100,BX78+10),IF('3-man'!BX$21="P",MIN(100,BX78+25),IF(AND('3-man'!BX$21="D",BX78&gt;=35,'3-man'!BX$18&lt;=IF('3-man'!$BF$4="",999,'3-man'!$BF$4)),BX78-35,IF(AND(LEFT('3-man'!BX$21,3)="ST&gt;",BX78&gt;=100,'3-man'!BX$18&lt;=IF('3-man'!$BF$4="",999,'3-man'!$BF$4)),0,IF(AND(OR(AND('3-man'!BX$19="ST&gt;3",BX62&gt;=100),AND('3-man'!BX$20="ST&gt;3",BX70&gt;=100)),'3-man'!BX$18&lt;=IF('3-man'!$BF$4="",999,'3-man'!$BF$4)),100,BX78)))))</f>
        <v/>
      </c>
      <c r="BY79">
        <f>IF('3-man'!BY$21="R",MIN(100,BY78+10),IF('3-man'!BY$21="P",MIN(100,BY78+25),IF(AND('3-man'!BY$21="D",BY78&gt;=35,'3-man'!BY$18&lt;=IF('3-man'!$BF$4="",999,'3-man'!$BF$4)),BY78-35,IF(AND(LEFT('3-man'!BY$21,3)="ST&gt;",BY78&gt;=100,'3-man'!BY$18&lt;=IF('3-man'!$BF$4="",999,'3-man'!$BF$4)),0,IF(AND(OR(AND('3-man'!BY$19="ST&gt;3",BY62&gt;=100),AND('3-man'!BY$20="ST&gt;3",BY70&gt;=100)),'3-man'!BY$18&lt;=IF('3-man'!$BF$4="",999,'3-man'!$BF$4)),100,BY78)))))</f>
        <v/>
      </c>
      <c r="BZ79">
        <f>IF('3-man'!BZ$21="R",MIN(100,BZ78+10),IF('3-man'!BZ$21="P",MIN(100,BZ78+25),IF(AND('3-man'!BZ$21="D",BZ78&gt;=35,'3-man'!BZ$18&lt;=IF('3-man'!$BF$4="",999,'3-man'!$BF$4)),BZ78-35,IF(AND(LEFT('3-man'!BZ$21,3)="ST&gt;",BZ78&gt;=100,'3-man'!BZ$18&lt;=IF('3-man'!$BF$4="",999,'3-man'!$BF$4)),0,IF(AND(OR(AND('3-man'!BZ$19="ST&gt;3",BZ62&gt;=100),AND('3-man'!BZ$20="ST&gt;3",BZ70&gt;=100)),'3-man'!BZ$18&lt;=IF('3-man'!$BF$4="",999,'3-man'!$BF$4)),100,BZ78)))))</f>
        <v/>
      </c>
      <c r="CA79">
        <f>IF('3-man'!CA$21="R",MIN(100,CA78+10),IF('3-man'!CA$21="P",MIN(100,CA78+25),IF(AND('3-man'!CA$21="D",CA78&gt;=35,'3-man'!CA$18&lt;=IF('3-man'!$BF$4="",999,'3-man'!$BF$4)),CA78-35,IF(AND(LEFT('3-man'!CA$21,3)="ST&gt;",CA78&gt;=100,'3-man'!CA$18&lt;=IF('3-man'!$BF$4="",999,'3-man'!$BF$4)),0,IF(AND(OR(AND('3-man'!CA$19="ST&gt;3",CA62&gt;=100),AND('3-man'!CA$20="ST&gt;3",CA70&gt;=100)),'3-man'!CA$18&lt;=IF('3-man'!$BF$4="",999,'3-man'!$BF$4)),100,CA78)))))</f>
        <v/>
      </c>
      <c r="CB79">
        <f>IF('3-man'!CB$21="R",MIN(100,CB78+10),IF('3-man'!CB$21="P",MIN(100,CB78+25),IF(AND('3-man'!CB$21="D",CB78&gt;=35,'3-man'!CB$18&lt;=IF('3-man'!$BF$4="",999,'3-man'!$BF$4)),CB78-35,IF(AND(LEFT('3-man'!CB$21,3)="ST&gt;",CB78&gt;=100,'3-man'!CB$18&lt;=IF('3-man'!$BF$4="",999,'3-man'!$BF$4)),0,IF(AND(OR(AND('3-man'!CB$19="ST&gt;3",CB62&gt;=100),AND('3-man'!CB$20="ST&gt;3",CB70&gt;=100)),'3-man'!CB$18&lt;=IF('3-man'!$BF$4="",999,'3-man'!$BF$4)),100,CB78)))))</f>
        <v/>
      </c>
      <c r="CC79">
        <f>IF('3-man'!CC$21="R",MIN(100,CC78+10),IF('3-man'!CC$21="P",MIN(100,CC78+25),IF(AND('3-man'!CC$21="D",CC78&gt;=35,'3-man'!CC$18&lt;=IF('3-man'!$BF$4="",999,'3-man'!$BF$4)),CC78-35,IF(AND(LEFT('3-man'!CC$21,3)="ST&gt;",CC78&gt;=100,'3-man'!CC$18&lt;=IF('3-man'!$BF$4="",999,'3-man'!$BF$4)),0,IF(AND(OR(AND('3-man'!CC$19="ST&gt;3",CC62&gt;=100),AND('3-man'!CC$20="ST&gt;3",CC70&gt;=100)),'3-man'!CC$18&lt;=IF('3-man'!$BF$4="",999,'3-man'!$BF$4)),100,CC78)))))</f>
        <v/>
      </c>
      <c r="CD79">
        <f>IF('3-man'!CD$21="R",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IF('3-man'!C$21="R",0,IF(B79&gt;=100,0,IF(B80+1&gt;=IF(OR('3-man'!$F$6=TRUE,'3-man'!$F$6="TRUE",'3-man'!$F$6="Yes"),25,50),0,B80+1)))</f>
        <v/>
      </c>
      <c r="D80">
        <f>IF('3-man'!D$21="R",0,IF(C79&gt;=100,0,IF(C80+1&gt;=IF(OR('3-man'!$F$6=TRUE,'3-man'!$F$6="TRUE",'3-man'!$F$6="Yes"),25,50),0,C80+1)))</f>
        <v/>
      </c>
      <c r="E80">
        <f>IF('3-man'!E$21="R",0,IF(D79&gt;=100,0,IF(D80+1&gt;=IF(OR('3-man'!$F$6=TRUE,'3-man'!$F$6="TRUE",'3-man'!$F$6="Yes"),25,50),0,D80+1)))</f>
        <v/>
      </c>
      <c r="F80">
        <f>IF('3-man'!F$21="R",0,IF(E79&gt;=100,0,IF(E80+1&gt;=IF(OR('3-man'!$F$6=TRUE,'3-man'!$F$6="TRUE",'3-man'!$F$6="Yes"),25,50),0,E80+1)))</f>
        <v/>
      </c>
      <c r="G80">
        <f>IF('3-man'!G$21="R",0,IF(F79&gt;=100,0,IF(F80+1&gt;=IF(OR('3-man'!$F$6=TRUE,'3-man'!$F$6="TRUE",'3-man'!$F$6="Yes"),25,50),0,F80+1)))</f>
        <v/>
      </c>
      <c r="H80">
        <f>IF('3-man'!H$21="R",0,IF(G79&gt;=100,0,IF(G80+1&gt;=IF(OR('3-man'!$F$6=TRUE,'3-man'!$F$6="TRUE",'3-man'!$F$6="Yes"),25,50),0,G80+1)))</f>
        <v/>
      </c>
      <c r="I80">
        <f>IF('3-man'!I$21="R",0,IF(H79&gt;=100,0,IF(H80+1&gt;=IF(OR('3-man'!$F$6=TRUE,'3-man'!$F$6="TRUE",'3-man'!$F$6="Yes"),25,50),0,H80+1)))</f>
        <v/>
      </c>
      <c r="J80">
        <f>IF('3-man'!J$21="R",0,IF(I79&gt;=100,0,IF(I80+1&gt;=IF(OR('3-man'!$F$6=TRUE,'3-man'!$F$6="TRUE",'3-man'!$F$6="Yes"),25,50),0,I80+1)))</f>
        <v/>
      </c>
      <c r="K80">
        <f>IF('3-man'!K$21="R",0,IF(J79&gt;=100,0,IF(J80+1&gt;=IF(OR('3-man'!$F$6=TRUE,'3-man'!$F$6="TRUE",'3-man'!$F$6="Yes"),25,50),0,J80+1)))</f>
        <v/>
      </c>
      <c r="L80">
        <f>IF('3-man'!L$21="R",0,IF(K79&gt;=100,0,IF(K80+1&gt;=IF(OR('3-man'!$F$6=TRUE,'3-man'!$F$6="TRUE",'3-man'!$F$6="Yes"),25,50),0,K80+1)))</f>
        <v/>
      </c>
      <c r="M80">
        <f>IF('3-man'!M$21="R",0,IF(L79&gt;=100,0,IF(L80+1&gt;=IF(OR('3-man'!$F$6=TRUE,'3-man'!$F$6="TRUE",'3-man'!$F$6="Yes"),25,50),0,L80+1)))</f>
        <v/>
      </c>
      <c r="N80">
        <f>IF('3-man'!N$21="R",0,IF(M79&gt;=100,0,IF(M80+1&gt;=IF(OR('3-man'!$F$6=TRUE,'3-man'!$F$6="TRUE",'3-man'!$F$6="Yes"),25,50),0,M80+1)))</f>
        <v/>
      </c>
      <c r="O80">
        <f>IF('3-man'!O$21="R",0,IF(N79&gt;=100,0,IF(N80+1&gt;=IF(OR('3-man'!$F$6=TRUE,'3-man'!$F$6="TRUE",'3-man'!$F$6="Yes"),25,50),0,N80+1)))</f>
        <v/>
      </c>
      <c r="P80">
        <f>IF('3-man'!P$21="R",0,IF(O79&gt;=100,0,IF(O80+1&gt;=IF(OR('3-man'!$F$6=TRUE,'3-man'!$F$6="TRUE",'3-man'!$F$6="Yes"),25,50),0,O80+1)))</f>
        <v/>
      </c>
      <c r="Q80">
        <f>IF('3-man'!Q$21="R",0,IF(P79&gt;=100,0,IF(P80+1&gt;=IF(OR('3-man'!$F$6=TRUE,'3-man'!$F$6="TRUE",'3-man'!$F$6="Yes"),25,50),0,P80+1)))</f>
        <v/>
      </c>
      <c r="R80">
        <f>IF('3-man'!R$21="R",0,IF(Q79&gt;=100,0,IF(Q80+1&gt;=IF(OR('3-man'!$F$6=TRUE,'3-man'!$F$6="TRUE",'3-man'!$F$6="Yes"),25,50),0,Q80+1)))</f>
        <v/>
      </c>
      <c r="S80">
        <f>IF('3-man'!S$21="R",0,IF(R79&gt;=100,0,IF(R80+1&gt;=IF(OR('3-man'!$F$6=TRUE,'3-man'!$F$6="TRUE",'3-man'!$F$6="Yes"),25,50),0,R80+1)))</f>
        <v/>
      </c>
      <c r="T80">
        <f>IF('3-man'!T$21="R",0,IF(S79&gt;=100,0,IF(S80+1&gt;=IF(OR('3-man'!$F$6=TRUE,'3-man'!$F$6="TRUE",'3-man'!$F$6="Yes"),25,50),0,S80+1)))</f>
        <v/>
      </c>
      <c r="U80">
        <f>IF('3-man'!U$21="R",0,IF(T79&gt;=100,0,IF(T80+1&gt;=IF(OR('3-man'!$F$6=TRUE,'3-man'!$F$6="TRUE",'3-man'!$F$6="Yes"),25,50),0,T80+1)))</f>
        <v/>
      </c>
      <c r="V80">
        <f>IF('3-man'!V$21="R",0,IF(U79&gt;=100,0,IF(U80+1&gt;=IF(OR('3-man'!$F$6=TRUE,'3-man'!$F$6="TRUE",'3-man'!$F$6="Yes"),25,50),0,U80+1)))</f>
        <v/>
      </c>
      <c r="W80">
        <f>IF('3-man'!W$21="R",0,IF(V79&gt;=100,0,IF(V80+1&gt;=IF(OR('3-man'!$F$6=TRUE,'3-man'!$F$6="TRUE",'3-man'!$F$6="Yes"),25,50),0,V80+1)))</f>
        <v/>
      </c>
      <c r="X80">
        <f>IF('3-man'!X$21="R",0,IF(W79&gt;=100,0,IF(W80+1&gt;=IF(OR('3-man'!$F$6=TRUE,'3-man'!$F$6="TRUE",'3-man'!$F$6="Yes"),25,50),0,W80+1)))</f>
        <v/>
      </c>
      <c r="Y80">
        <f>IF('3-man'!Y$21="R",0,IF(X79&gt;=100,0,IF(X80+1&gt;=IF(OR('3-man'!$F$6=TRUE,'3-man'!$F$6="TRUE",'3-man'!$F$6="Yes"),25,50),0,X80+1)))</f>
        <v/>
      </c>
      <c r="Z80">
        <f>IF('3-man'!Z$21="R",0,IF(Y79&gt;=100,0,IF(Y80+1&gt;=IF(OR('3-man'!$F$6=TRUE,'3-man'!$F$6="TRUE",'3-man'!$F$6="Yes"),25,50),0,Y80+1)))</f>
        <v/>
      </c>
      <c r="AA80">
        <f>IF('3-man'!AA$21="R",0,IF(Z79&gt;=100,0,IF(Z80+1&gt;=IF(OR('3-man'!$F$6=TRUE,'3-man'!$F$6="TRUE",'3-man'!$F$6="Yes"),25,50),0,Z80+1)))</f>
        <v/>
      </c>
      <c r="AB80">
        <f>IF('3-man'!AB$21="R",0,IF(AA79&gt;=100,0,IF(AA80+1&gt;=IF(OR('3-man'!$F$6=TRUE,'3-man'!$F$6="TRUE",'3-man'!$F$6="Yes"),25,50),0,AA80+1)))</f>
        <v/>
      </c>
      <c r="AC80">
        <f>IF('3-man'!AC$21="R",0,IF(AB79&gt;=100,0,IF(AB80+1&gt;=IF(OR('3-man'!$F$6=TRUE,'3-man'!$F$6="TRUE",'3-man'!$F$6="Yes"),25,50),0,AB80+1)))</f>
        <v/>
      </c>
      <c r="AD80">
        <f>IF('3-man'!AD$21="R",0,IF(AC79&gt;=100,0,IF(AC80+1&gt;=IF(OR('3-man'!$F$6=TRUE,'3-man'!$F$6="TRUE",'3-man'!$F$6="Yes"),25,50),0,AC80+1)))</f>
        <v/>
      </c>
      <c r="AE80">
        <f>IF('3-man'!AE$21="R",0,IF(AD79&gt;=100,0,IF(AD80+1&gt;=IF(OR('3-man'!$F$6=TRUE,'3-man'!$F$6="TRUE",'3-man'!$F$6="Yes"),25,50),0,AD80+1)))</f>
        <v/>
      </c>
      <c r="AF80">
        <f>IF('3-man'!AF$21="R",0,IF(AE79&gt;=100,0,IF(AE80+1&gt;=IF(OR('3-man'!$F$6=TRUE,'3-man'!$F$6="TRUE",'3-man'!$F$6="Yes"),25,50),0,AE80+1)))</f>
        <v/>
      </c>
      <c r="AG80">
        <f>IF('3-man'!AG$21="R",0,IF(AF79&gt;=100,0,IF(AF80+1&gt;=IF(OR('3-man'!$F$6=TRUE,'3-man'!$F$6="TRUE",'3-man'!$F$6="Yes"),25,50),0,AF80+1)))</f>
        <v/>
      </c>
      <c r="AH80">
        <f>IF('3-man'!AH$21="R",0,IF(AG79&gt;=100,0,IF(AG80+1&gt;=IF(OR('3-man'!$F$6=TRUE,'3-man'!$F$6="TRUE",'3-man'!$F$6="Yes"),25,50),0,AG80+1)))</f>
        <v/>
      </c>
      <c r="AI80">
        <f>IF('3-man'!AI$21="R",0,IF(AH79&gt;=100,0,IF(AH80+1&gt;=IF(OR('3-man'!$F$6=TRUE,'3-man'!$F$6="TRUE",'3-man'!$F$6="Yes"),25,50),0,AH80+1)))</f>
        <v/>
      </c>
      <c r="AJ80">
        <f>IF('3-man'!AJ$21="R",0,IF(AI79&gt;=100,0,IF(AI80+1&gt;=IF(OR('3-man'!$F$6=TRUE,'3-man'!$F$6="TRUE",'3-man'!$F$6="Yes"),25,50),0,AI80+1)))</f>
        <v/>
      </c>
      <c r="AK80">
        <f>IF('3-man'!AK$21="R",0,IF(AJ79&gt;=100,0,IF(AJ80+1&gt;=IF(OR('3-man'!$F$6=TRUE,'3-man'!$F$6="TRUE",'3-man'!$F$6="Yes"),25,50),0,AJ80+1)))</f>
        <v/>
      </c>
      <c r="AL80">
        <f>IF('3-man'!AL$21="R",0,IF(AK79&gt;=100,0,IF(AK80+1&gt;=IF(OR('3-man'!$F$6=TRUE,'3-man'!$F$6="TRUE",'3-man'!$F$6="Yes"),25,50),0,AK80+1)))</f>
        <v/>
      </c>
      <c r="AM80">
        <f>IF('3-man'!AM$21="R",0,IF(AL79&gt;=100,0,IF(AL80+1&gt;=IF(OR('3-man'!$F$6=TRUE,'3-man'!$F$6="TRUE",'3-man'!$F$6="Yes"),25,50),0,AL80+1)))</f>
        <v/>
      </c>
      <c r="AN80">
        <f>IF('3-man'!AN$21="R",0,IF(AM79&gt;=100,0,IF(AM80+1&gt;=IF(OR('3-man'!$F$6=TRUE,'3-man'!$F$6="TRUE",'3-man'!$F$6="Yes"),25,50),0,AM80+1)))</f>
        <v/>
      </c>
      <c r="AO80">
        <f>IF('3-man'!AO$21="R",0,IF(AN79&gt;=100,0,IF(AN80+1&gt;=IF(OR('3-man'!$F$6=TRUE,'3-man'!$F$6="TRUE",'3-man'!$F$6="Yes"),25,50),0,AN80+1)))</f>
        <v/>
      </c>
      <c r="AP80">
        <f>IF('3-man'!AP$21="R",0,IF(AO79&gt;=100,0,IF(AO80+1&gt;=IF(OR('3-man'!$F$6=TRUE,'3-man'!$F$6="TRUE",'3-man'!$F$6="Yes"),25,50),0,AO80+1)))</f>
        <v/>
      </c>
      <c r="AQ80">
        <f>IF('3-man'!AQ$21="R",0,IF(AP79&gt;=100,0,IF(AP80+1&gt;=IF(OR('3-man'!$F$6=TRUE,'3-man'!$F$6="TRUE",'3-man'!$F$6="Yes"),25,50),0,AP80+1)))</f>
        <v/>
      </c>
      <c r="AR80">
        <f>IF('3-man'!AR$21="R",0,IF(AQ79&gt;=100,0,IF(AQ80+1&gt;=IF(OR('3-man'!$F$6=TRUE,'3-man'!$F$6="TRUE",'3-man'!$F$6="Yes"),25,50),0,AQ80+1)))</f>
        <v/>
      </c>
      <c r="AS80">
        <f>IF('3-man'!AS$21="R",0,IF(AR79&gt;=100,0,IF(AR80+1&gt;=IF(OR('3-man'!$F$6=TRUE,'3-man'!$F$6="TRUE",'3-man'!$F$6="Yes"),25,50),0,AR80+1)))</f>
        <v/>
      </c>
      <c r="AT80">
        <f>IF('3-man'!AT$21="R",0,IF(AS79&gt;=100,0,IF(AS80+1&gt;=IF(OR('3-man'!$F$6=TRUE,'3-man'!$F$6="TRUE",'3-man'!$F$6="Yes"),25,50),0,AS80+1)))</f>
        <v/>
      </c>
      <c r="AU80">
        <f>IF('3-man'!AU$21="R",0,IF(AT79&gt;=100,0,IF(AT80+1&gt;=IF(OR('3-man'!$F$6=TRUE,'3-man'!$F$6="TRUE",'3-man'!$F$6="Yes"),25,50),0,AT80+1)))</f>
        <v/>
      </c>
      <c r="AV80">
        <f>IF('3-man'!AV$21="R",0,IF(AU79&gt;=100,0,IF(AU80+1&gt;=IF(OR('3-man'!$F$6=TRUE,'3-man'!$F$6="TRUE",'3-man'!$F$6="Yes"),25,50),0,AU80+1)))</f>
        <v/>
      </c>
      <c r="AW80">
        <f>IF('3-man'!AW$21="R",0,IF(AV79&gt;=100,0,IF(AV80+1&gt;=IF(OR('3-man'!$F$6=TRUE,'3-man'!$F$6="TRUE",'3-man'!$F$6="Yes"),25,50),0,AV80+1)))</f>
        <v/>
      </c>
      <c r="AX80">
        <f>IF('3-man'!AX$21="R",0,IF(AW79&gt;=100,0,IF(AW80+1&gt;=IF(OR('3-man'!$F$6=TRUE,'3-man'!$F$6="TRUE",'3-man'!$F$6="Yes"),25,50),0,AW80+1)))</f>
        <v/>
      </c>
      <c r="AY80">
        <f>IF('3-man'!AY$21="R",0,IF(AX79&gt;=100,0,IF(AX80+1&gt;=IF(OR('3-man'!$F$6=TRUE,'3-man'!$F$6="TRUE",'3-man'!$F$6="Yes"),25,50),0,AX80+1)))</f>
        <v/>
      </c>
      <c r="AZ80">
        <f>IF('3-man'!AZ$21="R",0,IF(AY79&gt;=100,0,IF(AY80+1&gt;=IF(OR('3-man'!$F$6=TRUE,'3-man'!$F$6="TRUE",'3-man'!$F$6="Yes"),25,50),0,AY80+1)))</f>
        <v/>
      </c>
      <c r="BA80">
        <f>IF('3-man'!BA$21="R",0,IF(AZ79&gt;=100,0,IF(AZ80+1&gt;=IF(OR('3-man'!$F$6=TRUE,'3-man'!$F$6="TRUE",'3-man'!$F$6="Yes"),25,50),0,AZ80+1)))</f>
        <v/>
      </c>
      <c r="BB80">
        <f>IF('3-man'!BB$21="R",0,IF(BA79&gt;=100,0,IF(BA80+1&gt;=IF(OR('3-man'!$F$6=TRUE,'3-man'!$F$6="TRUE",'3-man'!$F$6="Yes"),25,50),0,BA80+1)))</f>
        <v/>
      </c>
      <c r="BC80">
        <f>IF('3-man'!BC$21="R",0,IF(BB79&gt;=100,0,IF(BB80+1&gt;=IF(OR('3-man'!$F$6=TRUE,'3-man'!$F$6="TRUE",'3-man'!$F$6="Yes"),25,50),0,BB80+1)))</f>
        <v/>
      </c>
      <c r="BD80">
        <f>IF('3-man'!BD$21="R",0,IF(BC79&gt;=100,0,IF(BC80+1&gt;=IF(OR('3-man'!$F$6=TRUE,'3-man'!$F$6="TRUE",'3-man'!$F$6="Yes"),25,50),0,BC80+1)))</f>
        <v/>
      </c>
      <c r="BE80">
        <f>IF('3-man'!BE$21="R",0,IF(BD79&gt;=100,0,IF(BD80+1&gt;=IF(OR('3-man'!$F$6=TRUE,'3-man'!$F$6="TRUE",'3-man'!$F$6="Yes"),25,50),0,BD80+1)))</f>
        <v/>
      </c>
      <c r="BF80">
        <f>IF('3-man'!BF$21="R",0,IF(BE79&gt;=100,0,IF(BE80+1&gt;=IF(OR('3-man'!$F$6=TRUE,'3-man'!$F$6="TRUE",'3-man'!$F$6="Yes"),25,50),0,BE80+1)))</f>
        <v/>
      </c>
      <c r="BG80">
        <f>IF('3-man'!BG$21="R",0,IF(BF79&gt;=100,0,IF(BF80+1&gt;=IF(OR('3-man'!$F$6=TRUE,'3-man'!$F$6="TRUE",'3-man'!$F$6="Yes"),25,50),0,BF80+1)))</f>
        <v/>
      </c>
      <c r="BH80">
        <f>IF('3-man'!BH$21="R",0,IF(BG79&gt;=100,0,IF(BG80+1&gt;=IF(OR('3-man'!$F$6=TRUE,'3-man'!$F$6="TRUE",'3-man'!$F$6="Yes"),25,50),0,BG80+1)))</f>
        <v/>
      </c>
      <c r="BI80">
        <f>IF('3-man'!BI$21="R",0,IF(BH79&gt;=100,0,IF(BH80+1&gt;=IF(OR('3-man'!$F$6=TRUE,'3-man'!$F$6="TRUE",'3-man'!$F$6="Yes"),25,50),0,BH80+1)))</f>
        <v/>
      </c>
      <c r="BJ80">
        <f>IF('3-man'!BJ$21="R",0,IF(BI79&gt;=100,0,IF(BI80+1&gt;=IF(OR('3-man'!$F$6=TRUE,'3-man'!$F$6="TRUE",'3-man'!$F$6="Yes"),25,50),0,BI80+1)))</f>
        <v/>
      </c>
      <c r="BK80">
        <f>IF('3-man'!BK$21="R",0,IF(BJ79&gt;=100,0,IF(BJ80+1&gt;=IF(OR('3-man'!$F$6=TRUE,'3-man'!$F$6="TRUE",'3-man'!$F$6="Yes"),25,50),0,BJ80+1)))</f>
        <v/>
      </c>
      <c r="BL80">
        <f>IF('3-man'!BL$21="R",0,IF(BK79&gt;=100,0,IF(BK80+1&gt;=IF(OR('3-man'!$F$6=TRUE,'3-man'!$F$6="TRUE",'3-man'!$F$6="Yes"),25,50),0,BK80+1)))</f>
        <v/>
      </c>
      <c r="BM80">
        <f>IF('3-man'!BM$21="R",0,IF(BL79&gt;=100,0,IF(BL80+1&gt;=IF(OR('3-man'!$F$6=TRUE,'3-man'!$F$6="TRUE",'3-man'!$F$6="Yes"),25,50),0,BL80+1)))</f>
        <v/>
      </c>
      <c r="BN80">
        <f>IF('3-man'!BN$21="R",0,IF(BM79&gt;=100,0,IF(BM80+1&gt;=IF(OR('3-man'!$F$6=TRUE,'3-man'!$F$6="TRUE",'3-man'!$F$6="Yes"),25,50),0,BM80+1)))</f>
        <v/>
      </c>
      <c r="BO80">
        <f>IF('3-man'!BO$21="R",0,IF(BN79&gt;=100,0,IF(BN80+1&gt;=IF(OR('3-man'!$F$6=TRUE,'3-man'!$F$6="TRUE",'3-man'!$F$6="Yes"),25,50),0,BN80+1)))</f>
        <v/>
      </c>
      <c r="BP80">
        <f>IF('3-man'!BP$21="R",0,IF(BO79&gt;=100,0,IF(BO80+1&gt;=IF(OR('3-man'!$F$6=TRUE,'3-man'!$F$6="TRUE",'3-man'!$F$6="Yes"),25,50),0,BO80+1)))</f>
        <v/>
      </c>
      <c r="BQ80">
        <f>IF('3-man'!BQ$21="R",0,IF(BP79&gt;=100,0,IF(BP80+1&gt;=IF(OR('3-man'!$F$6=TRUE,'3-man'!$F$6="TRUE",'3-man'!$F$6="Yes"),25,50),0,BP80+1)))</f>
        <v/>
      </c>
      <c r="BR80">
        <f>IF('3-man'!BR$21="R",0,IF(BQ79&gt;=100,0,IF(BQ80+1&gt;=IF(OR('3-man'!$F$6=TRUE,'3-man'!$F$6="TRUE",'3-man'!$F$6="Yes"),25,50),0,BQ80+1)))</f>
        <v/>
      </c>
      <c r="BS80">
        <f>IF('3-man'!BS$21="R",0,IF(BR79&gt;=100,0,IF(BR80+1&gt;=IF(OR('3-man'!$F$6=TRUE,'3-man'!$F$6="TRUE",'3-man'!$F$6="Yes"),25,50),0,BR80+1)))</f>
        <v/>
      </c>
      <c r="BT80">
        <f>IF('3-man'!BT$21="R",0,IF(BS79&gt;=100,0,IF(BS80+1&gt;=IF(OR('3-man'!$F$6=TRUE,'3-man'!$F$6="TRUE",'3-man'!$F$6="Yes"),25,50),0,BS80+1)))</f>
        <v/>
      </c>
      <c r="BU80">
        <f>IF('3-man'!BU$21="R",0,IF(BT79&gt;=100,0,IF(BT80+1&gt;=IF(OR('3-man'!$F$6=TRUE,'3-man'!$F$6="TRUE",'3-man'!$F$6="Yes"),25,50),0,BT80+1)))</f>
        <v/>
      </c>
      <c r="BV80">
        <f>IF('3-man'!BV$21="R",0,IF(BU79&gt;=100,0,IF(BU80+1&gt;=IF(OR('3-man'!$F$6=TRUE,'3-man'!$F$6="TRUE",'3-man'!$F$6="Yes"),25,50),0,BU80+1)))</f>
        <v/>
      </c>
      <c r="BW80">
        <f>IF('3-man'!BW$21="R",0,IF(BV79&gt;=100,0,IF(BV80+1&gt;=IF(OR('3-man'!$F$6=TRUE,'3-man'!$F$6="TRUE",'3-man'!$F$6="Yes"),25,50),0,BV80+1)))</f>
        <v/>
      </c>
      <c r="BX80">
        <f>IF('3-man'!BX$21="R",0,IF(BW79&gt;=100,0,IF(BW80+1&gt;=IF(OR('3-man'!$F$6=TRUE,'3-man'!$F$6="TRUE",'3-man'!$F$6="Yes"),25,50),0,BW80+1)))</f>
        <v/>
      </c>
      <c r="BY80">
        <f>IF('3-man'!BY$21="R",0,IF(BX79&gt;=100,0,IF(BX80+1&gt;=IF(OR('3-man'!$F$6=TRUE,'3-man'!$F$6="TRUE",'3-man'!$F$6="Yes"),25,50),0,BX80+1)))</f>
        <v/>
      </c>
      <c r="BZ80">
        <f>IF('3-man'!BZ$21="R",0,IF(BY79&gt;=100,0,IF(BY80+1&gt;=IF(OR('3-man'!$F$6=TRUE,'3-man'!$F$6="TRUE",'3-man'!$F$6="Yes"),25,50),0,BY80+1)))</f>
        <v/>
      </c>
      <c r="CA80">
        <f>IF('3-man'!CA$21="R",0,IF(BZ79&gt;=100,0,IF(BZ80+1&gt;=IF(OR('3-man'!$F$6=TRUE,'3-man'!$F$6="TRUE",'3-man'!$F$6="Yes"),25,50),0,BZ80+1)))</f>
        <v/>
      </c>
      <c r="CB80">
        <f>IF('3-man'!CB$21="R",0,IF(CA79&gt;=100,0,IF(CA80+1&gt;=IF(OR('3-man'!$F$6=TRUE,'3-man'!$F$6="TRUE",'3-man'!$F$6="Yes"),25,50),0,CA80+1)))</f>
        <v/>
      </c>
      <c r="CC80">
        <f>IF('3-man'!CC$21="R",0,IF(CB79&gt;=100,0,IF(CB80+1&gt;=IF(OR('3-man'!$F$6=TRUE,'3-man'!$F$6="TRUE",'3-man'!$F$6="Yes"),25,50),0,CB80+1)))</f>
        <v/>
      </c>
      <c r="CD80">
        <f>IF('3-man'!CD$21="R",0,IF(CC79&gt;=100,0,IF(CC80+1&gt;=IF(OR('3-man'!$F$6=TRUE,'3-man'!$F$6="TRUE",'3-man'!$F$6="Yes"),25,50),0,CC80+1)))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row>
    <row r="85">
      <c r="A85" t="inlineStr">
        <is>
          <t>P3 act</t>
        </is>
      </c>
      <c r="C85">
        <f>IF(OR('3-man'!C$21="P",'3-man'!C$21="R",AND('3-man'!C$18&lt;=IF('3-man'!$BF$4="",999,'3-man'!$BF$4),OR('3-man'!C$21="D",LEFT('3-man'!C$21,3)="ST&gt;",OR(AND('3-man'!C$19="ST&gt;3",C62&gt;=100),AND('3-man'!C$20="ST&gt;3",C70&gt;=100))))),'3-man'!C$18,0)</f>
        <v/>
      </c>
      <c r="D85">
        <f>IF(OR('3-man'!D$21="P",'3-man'!D$21="R",AND('3-man'!D$18&lt;=IF('3-man'!$BF$4="",999,'3-man'!$BF$4),OR('3-man'!D$21="D",LEFT('3-man'!D$21,3)="ST&gt;",OR(AND('3-man'!D$19="ST&gt;3",D62&gt;=100),AND('3-man'!D$20="ST&gt;3",D70&gt;=100))))),'3-man'!D$18,0)</f>
        <v/>
      </c>
      <c r="E85">
        <f>IF(OR('3-man'!E$21="P",'3-man'!E$21="R",AND('3-man'!E$18&lt;=IF('3-man'!$BF$4="",999,'3-man'!$BF$4),OR('3-man'!E$21="D",LEFT('3-man'!E$21,3)="ST&gt;",OR(AND('3-man'!E$19="ST&gt;3",E62&gt;=100),AND('3-man'!E$20="ST&gt;3",E70&gt;=100))))),'3-man'!E$18,0)</f>
        <v/>
      </c>
      <c r="F85">
        <f>IF(OR('3-man'!F$21="P",'3-man'!F$21="R",AND('3-man'!F$18&lt;=IF('3-man'!$BF$4="",999,'3-man'!$BF$4),OR('3-man'!F$21="D",LEFT('3-man'!F$21,3)="ST&gt;",OR(AND('3-man'!F$19="ST&gt;3",F62&gt;=100),AND('3-man'!F$20="ST&gt;3",F70&gt;=100))))),'3-man'!F$18,0)</f>
        <v/>
      </c>
      <c r="G85">
        <f>IF(OR('3-man'!G$21="P",'3-man'!G$21="R",AND('3-man'!G$18&lt;=IF('3-man'!$BF$4="",999,'3-man'!$BF$4),OR('3-man'!G$21="D",LEFT('3-man'!G$21,3)="ST&gt;",OR(AND('3-man'!G$19="ST&gt;3",G62&gt;=100),AND('3-man'!G$20="ST&gt;3",G70&gt;=100))))),'3-man'!G$18,0)</f>
        <v/>
      </c>
      <c r="H85">
        <f>IF(OR('3-man'!H$21="P",'3-man'!H$21="R",AND('3-man'!H$18&lt;=IF('3-man'!$BF$4="",999,'3-man'!$BF$4),OR('3-man'!H$21="D",LEFT('3-man'!H$21,3)="ST&gt;",OR(AND('3-man'!H$19="ST&gt;3",H62&gt;=100),AND('3-man'!H$20="ST&gt;3",H70&gt;=100))))),'3-man'!H$18,0)</f>
        <v/>
      </c>
      <c r="I85">
        <f>IF(OR('3-man'!I$21="P",'3-man'!I$21="R",AND('3-man'!I$18&lt;=IF('3-man'!$BF$4="",999,'3-man'!$BF$4),OR('3-man'!I$21="D",LEFT('3-man'!I$21,3)="ST&gt;",OR(AND('3-man'!I$19="ST&gt;3",I62&gt;=100),AND('3-man'!I$20="ST&gt;3",I70&gt;=100))))),'3-man'!I$18,0)</f>
        <v/>
      </c>
      <c r="J85">
        <f>IF(OR('3-man'!J$21="P",'3-man'!J$21="R",AND('3-man'!J$18&lt;=IF('3-man'!$BF$4="",999,'3-man'!$BF$4),OR('3-man'!J$21="D",LEFT('3-man'!J$21,3)="ST&gt;",OR(AND('3-man'!J$19="ST&gt;3",J62&gt;=100),AND('3-man'!J$20="ST&gt;3",J70&gt;=100))))),'3-man'!J$18,0)</f>
        <v/>
      </c>
      <c r="K85">
        <f>IF(OR('3-man'!K$21="P",'3-man'!K$21="R",AND('3-man'!K$18&lt;=IF('3-man'!$BF$4="",999,'3-man'!$BF$4),OR('3-man'!K$21="D",LEFT('3-man'!K$21,3)="ST&gt;",OR(AND('3-man'!K$19="ST&gt;3",K62&gt;=100),AND('3-man'!K$20="ST&gt;3",K70&gt;=100))))),'3-man'!K$18,0)</f>
        <v/>
      </c>
      <c r="L85">
        <f>IF(OR('3-man'!L$21="P",'3-man'!L$21="R",AND('3-man'!L$18&lt;=IF('3-man'!$BF$4="",999,'3-man'!$BF$4),OR('3-man'!L$21="D",LEFT('3-man'!L$21,3)="ST&gt;",OR(AND('3-man'!L$19="ST&gt;3",L62&gt;=100),AND('3-man'!L$20="ST&gt;3",L70&gt;=100))))),'3-man'!L$18,0)</f>
        <v/>
      </c>
      <c r="M85">
        <f>IF(OR('3-man'!M$21="P",'3-man'!M$21="R",AND('3-man'!M$18&lt;=IF('3-man'!$BF$4="",999,'3-man'!$BF$4),OR('3-man'!M$21="D",LEFT('3-man'!M$21,3)="ST&gt;",OR(AND('3-man'!M$19="ST&gt;3",M62&gt;=100),AND('3-man'!M$20="ST&gt;3",M70&gt;=100))))),'3-man'!M$18,0)</f>
        <v/>
      </c>
      <c r="N85">
        <f>IF(OR('3-man'!N$21="P",'3-man'!N$21="R",AND('3-man'!N$18&lt;=IF('3-man'!$BF$4="",999,'3-man'!$BF$4),OR('3-man'!N$21="D",LEFT('3-man'!N$21,3)="ST&gt;",OR(AND('3-man'!N$19="ST&gt;3",N62&gt;=100),AND('3-man'!N$20="ST&gt;3",N70&gt;=100))))),'3-man'!N$18,0)</f>
        <v/>
      </c>
      <c r="O85">
        <f>IF(OR('3-man'!O$21="P",'3-man'!O$21="R",AND('3-man'!O$18&lt;=IF('3-man'!$BF$4="",999,'3-man'!$BF$4),OR('3-man'!O$21="D",LEFT('3-man'!O$21,3)="ST&gt;",OR(AND('3-man'!O$19="ST&gt;3",O62&gt;=100),AND('3-man'!O$20="ST&gt;3",O70&gt;=100))))),'3-man'!O$18,0)</f>
        <v/>
      </c>
      <c r="P85">
        <f>IF(OR('3-man'!P$21="P",'3-man'!P$21="R",AND('3-man'!P$18&lt;=IF('3-man'!$BF$4="",999,'3-man'!$BF$4),OR('3-man'!P$21="D",LEFT('3-man'!P$21,3)="ST&gt;",OR(AND('3-man'!P$19="ST&gt;3",P62&gt;=100),AND('3-man'!P$20="ST&gt;3",P70&gt;=100))))),'3-man'!P$18,0)</f>
        <v/>
      </c>
      <c r="Q85">
        <f>IF(OR('3-man'!Q$21="P",'3-man'!Q$21="R",AND('3-man'!Q$18&lt;=IF('3-man'!$BF$4="",999,'3-man'!$BF$4),OR('3-man'!Q$21="D",LEFT('3-man'!Q$21,3)="ST&gt;",OR(AND('3-man'!Q$19="ST&gt;3",Q62&gt;=100),AND('3-man'!Q$20="ST&gt;3",Q70&gt;=100))))),'3-man'!Q$18,0)</f>
        <v/>
      </c>
      <c r="R85">
        <f>IF(OR('3-man'!R$21="P",'3-man'!R$21="R",AND('3-man'!R$18&lt;=IF('3-man'!$BF$4="",999,'3-man'!$BF$4),OR('3-man'!R$21="D",LEFT('3-man'!R$21,3)="ST&gt;",OR(AND('3-man'!R$19="ST&gt;3",R62&gt;=100),AND('3-man'!R$20="ST&gt;3",R70&gt;=100))))),'3-man'!R$18,0)</f>
        <v/>
      </c>
      <c r="S85">
        <f>IF(OR('3-man'!S$21="P",'3-man'!S$21="R",AND('3-man'!S$18&lt;=IF('3-man'!$BF$4="",999,'3-man'!$BF$4),OR('3-man'!S$21="D",LEFT('3-man'!S$21,3)="ST&gt;",OR(AND('3-man'!S$19="ST&gt;3",S62&gt;=100),AND('3-man'!S$20="ST&gt;3",S70&gt;=100))))),'3-man'!S$18,0)</f>
        <v/>
      </c>
      <c r="T85">
        <f>IF(OR('3-man'!T$21="P",'3-man'!T$21="R",AND('3-man'!T$18&lt;=IF('3-man'!$BF$4="",999,'3-man'!$BF$4),OR('3-man'!T$21="D",LEFT('3-man'!T$21,3)="ST&gt;",OR(AND('3-man'!T$19="ST&gt;3",T62&gt;=100),AND('3-man'!T$20="ST&gt;3",T70&gt;=100))))),'3-man'!T$18,0)</f>
        <v/>
      </c>
      <c r="U85">
        <f>IF(OR('3-man'!U$21="P",'3-man'!U$21="R",AND('3-man'!U$18&lt;=IF('3-man'!$BF$4="",999,'3-man'!$BF$4),OR('3-man'!U$21="D",LEFT('3-man'!U$21,3)="ST&gt;",OR(AND('3-man'!U$19="ST&gt;3",U62&gt;=100),AND('3-man'!U$20="ST&gt;3",U70&gt;=100))))),'3-man'!U$18,0)</f>
        <v/>
      </c>
      <c r="V85">
        <f>IF(OR('3-man'!V$21="P",'3-man'!V$21="R",AND('3-man'!V$18&lt;=IF('3-man'!$BF$4="",999,'3-man'!$BF$4),OR('3-man'!V$21="D",LEFT('3-man'!V$21,3)="ST&gt;",OR(AND('3-man'!V$19="ST&gt;3",V62&gt;=100),AND('3-man'!V$20="ST&gt;3",V70&gt;=100))))),'3-man'!V$18,0)</f>
        <v/>
      </c>
      <c r="W85">
        <f>IF(OR('3-man'!W$21="P",'3-man'!W$21="R",AND('3-man'!W$18&lt;=IF('3-man'!$BF$4="",999,'3-man'!$BF$4),OR('3-man'!W$21="D",LEFT('3-man'!W$21,3)="ST&gt;",OR(AND('3-man'!W$19="ST&gt;3",W62&gt;=100),AND('3-man'!W$20="ST&gt;3",W70&gt;=100))))),'3-man'!W$18,0)</f>
        <v/>
      </c>
      <c r="X85">
        <f>IF(OR('3-man'!X$21="P",'3-man'!X$21="R",AND('3-man'!X$18&lt;=IF('3-man'!$BF$4="",999,'3-man'!$BF$4),OR('3-man'!X$21="D",LEFT('3-man'!X$21,3)="ST&gt;",OR(AND('3-man'!X$19="ST&gt;3",X62&gt;=100),AND('3-man'!X$20="ST&gt;3",X70&gt;=100))))),'3-man'!X$18,0)</f>
        <v/>
      </c>
      <c r="Y85">
        <f>IF(OR('3-man'!Y$21="P",'3-man'!Y$21="R",AND('3-man'!Y$18&lt;=IF('3-man'!$BF$4="",999,'3-man'!$BF$4),OR('3-man'!Y$21="D",LEFT('3-man'!Y$21,3)="ST&gt;",OR(AND('3-man'!Y$19="ST&gt;3",Y62&gt;=100),AND('3-man'!Y$20="ST&gt;3",Y70&gt;=100))))),'3-man'!Y$18,0)</f>
        <v/>
      </c>
      <c r="Z85">
        <f>IF(OR('3-man'!Z$21="P",'3-man'!Z$21="R",AND('3-man'!Z$18&lt;=IF('3-man'!$BF$4="",999,'3-man'!$BF$4),OR('3-man'!Z$21="D",LEFT('3-man'!Z$21,3)="ST&gt;",OR(AND('3-man'!Z$19="ST&gt;3",Z62&gt;=100),AND('3-man'!Z$20="ST&gt;3",Z70&gt;=100))))),'3-man'!Z$18,0)</f>
        <v/>
      </c>
      <c r="AA85">
        <f>IF(OR('3-man'!AA$21="P",'3-man'!AA$21="R",AND('3-man'!AA$18&lt;=IF('3-man'!$BF$4="",999,'3-man'!$BF$4),OR('3-man'!AA$21="D",LEFT('3-man'!AA$21,3)="ST&gt;",OR(AND('3-man'!AA$19="ST&gt;3",AA62&gt;=100),AND('3-man'!AA$20="ST&gt;3",AA70&gt;=100))))),'3-man'!AA$18,0)</f>
        <v/>
      </c>
      <c r="AB85">
        <f>IF(OR('3-man'!AB$21="P",'3-man'!AB$21="R",AND('3-man'!AB$18&lt;=IF('3-man'!$BF$4="",999,'3-man'!$BF$4),OR('3-man'!AB$21="D",LEFT('3-man'!AB$21,3)="ST&gt;",OR(AND('3-man'!AB$19="ST&gt;3",AB62&gt;=100),AND('3-man'!AB$20="ST&gt;3",AB70&gt;=100))))),'3-man'!AB$18,0)</f>
        <v/>
      </c>
      <c r="AC85">
        <f>IF(OR('3-man'!AC$21="P",'3-man'!AC$21="R",AND('3-man'!AC$18&lt;=IF('3-man'!$BF$4="",999,'3-man'!$BF$4),OR('3-man'!AC$21="D",LEFT('3-man'!AC$21,3)="ST&gt;",OR(AND('3-man'!AC$19="ST&gt;3",AC62&gt;=100),AND('3-man'!AC$20="ST&gt;3",AC70&gt;=100))))),'3-man'!AC$18,0)</f>
        <v/>
      </c>
      <c r="AD85">
        <f>IF(OR('3-man'!AD$21="P",'3-man'!AD$21="R",AND('3-man'!AD$18&lt;=IF('3-man'!$BF$4="",999,'3-man'!$BF$4),OR('3-man'!AD$21="D",LEFT('3-man'!AD$21,3)="ST&gt;",OR(AND('3-man'!AD$19="ST&gt;3",AD62&gt;=100),AND('3-man'!AD$20="ST&gt;3",AD70&gt;=100))))),'3-man'!AD$18,0)</f>
        <v/>
      </c>
      <c r="AE85">
        <f>IF(OR('3-man'!AE$21="P",'3-man'!AE$21="R",AND('3-man'!AE$18&lt;=IF('3-man'!$BF$4="",999,'3-man'!$BF$4),OR('3-man'!AE$21="D",LEFT('3-man'!AE$21,3)="ST&gt;",OR(AND('3-man'!AE$19="ST&gt;3",AE62&gt;=100),AND('3-man'!AE$20="ST&gt;3",AE70&gt;=100))))),'3-man'!AE$18,0)</f>
        <v/>
      </c>
      <c r="AF85">
        <f>IF(OR('3-man'!AF$21="P",'3-man'!AF$21="R",AND('3-man'!AF$18&lt;=IF('3-man'!$BF$4="",999,'3-man'!$BF$4),OR('3-man'!AF$21="D",LEFT('3-man'!AF$21,3)="ST&gt;",OR(AND('3-man'!AF$19="ST&gt;3",AF62&gt;=100),AND('3-man'!AF$20="ST&gt;3",AF70&gt;=100))))),'3-man'!AF$18,0)</f>
        <v/>
      </c>
      <c r="AG85">
        <f>IF(OR('3-man'!AG$21="P",'3-man'!AG$21="R",AND('3-man'!AG$18&lt;=IF('3-man'!$BF$4="",999,'3-man'!$BF$4),OR('3-man'!AG$21="D",LEFT('3-man'!AG$21,3)="ST&gt;",OR(AND('3-man'!AG$19="ST&gt;3",AG62&gt;=100),AND('3-man'!AG$20="ST&gt;3",AG70&gt;=100))))),'3-man'!AG$18,0)</f>
        <v/>
      </c>
      <c r="AH85">
        <f>IF(OR('3-man'!AH$21="P",'3-man'!AH$21="R",AND('3-man'!AH$18&lt;=IF('3-man'!$BF$4="",999,'3-man'!$BF$4),OR('3-man'!AH$21="D",LEFT('3-man'!AH$21,3)="ST&gt;",OR(AND('3-man'!AH$19="ST&gt;3",AH62&gt;=100),AND('3-man'!AH$20="ST&gt;3",AH70&gt;=100))))),'3-man'!AH$18,0)</f>
        <v/>
      </c>
      <c r="AI85">
        <f>IF(OR('3-man'!AI$21="P",'3-man'!AI$21="R",AND('3-man'!AI$18&lt;=IF('3-man'!$BF$4="",999,'3-man'!$BF$4),OR('3-man'!AI$21="D",LEFT('3-man'!AI$21,3)="ST&gt;",OR(AND('3-man'!AI$19="ST&gt;3",AI62&gt;=100),AND('3-man'!AI$20="ST&gt;3",AI70&gt;=100))))),'3-man'!AI$18,0)</f>
        <v/>
      </c>
      <c r="AJ85">
        <f>IF(OR('3-man'!AJ$21="P",'3-man'!AJ$21="R",AND('3-man'!AJ$18&lt;=IF('3-man'!$BF$4="",999,'3-man'!$BF$4),OR('3-man'!AJ$21="D",LEFT('3-man'!AJ$21,3)="ST&gt;",OR(AND('3-man'!AJ$19="ST&gt;3",AJ62&gt;=100),AND('3-man'!AJ$20="ST&gt;3",AJ70&gt;=100))))),'3-man'!AJ$18,0)</f>
        <v/>
      </c>
      <c r="AK85">
        <f>IF(OR('3-man'!AK$21="P",'3-man'!AK$21="R",AND('3-man'!AK$18&lt;=IF('3-man'!$BF$4="",999,'3-man'!$BF$4),OR('3-man'!AK$21="D",LEFT('3-man'!AK$21,3)="ST&gt;",OR(AND('3-man'!AK$19="ST&gt;3",AK62&gt;=100),AND('3-man'!AK$20="ST&gt;3",AK70&gt;=100))))),'3-man'!AK$18,0)</f>
        <v/>
      </c>
      <c r="AL85">
        <f>IF(OR('3-man'!AL$21="P",'3-man'!AL$21="R",AND('3-man'!AL$18&lt;=IF('3-man'!$BF$4="",999,'3-man'!$BF$4),OR('3-man'!AL$21="D",LEFT('3-man'!AL$21,3)="ST&gt;",OR(AND('3-man'!AL$19="ST&gt;3",AL62&gt;=100),AND('3-man'!AL$20="ST&gt;3",AL70&gt;=100))))),'3-man'!AL$18,0)</f>
        <v/>
      </c>
      <c r="AM85">
        <f>IF(OR('3-man'!AM$21="P",'3-man'!AM$21="R",AND('3-man'!AM$18&lt;=IF('3-man'!$BF$4="",999,'3-man'!$BF$4),OR('3-man'!AM$21="D",LEFT('3-man'!AM$21,3)="ST&gt;",OR(AND('3-man'!AM$19="ST&gt;3",AM62&gt;=100),AND('3-man'!AM$20="ST&gt;3",AM70&gt;=100))))),'3-man'!AM$18,0)</f>
        <v/>
      </c>
      <c r="AN85">
        <f>IF(OR('3-man'!AN$21="P",'3-man'!AN$21="R",AND('3-man'!AN$18&lt;=IF('3-man'!$BF$4="",999,'3-man'!$BF$4),OR('3-man'!AN$21="D",LEFT('3-man'!AN$21,3)="ST&gt;",OR(AND('3-man'!AN$19="ST&gt;3",AN62&gt;=100),AND('3-man'!AN$20="ST&gt;3",AN70&gt;=100))))),'3-man'!AN$18,0)</f>
        <v/>
      </c>
      <c r="AO85">
        <f>IF(OR('3-man'!AO$21="P",'3-man'!AO$21="R",AND('3-man'!AO$18&lt;=IF('3-man'!$BF$4="",999,'3-man'!$BF$4),OR('3-man'!AO$21="D",LEFT('3-man'!AO$21,3)="ST&gt;",OR(AND('3-man'!AO$19="ST&gt;3",AO62&gt;=100),AND('3-man'!AO$20="ST&gt;3",AO70&gt;=100))))),'3-man'!AO$18,0)</f>
        <v/>
      </c>
      <c r="AP85">
        <f>IF(OR('3-man'!AP$21="P",'3-man'!AP$21="R",AND('3-man'!AP$18&lt;=IF('3-man'!$BF$4="",999,'3-man'!$BF$4),OR('3-man'!AP$21="D",LEFT('3-man'!AP$21,3)="ST&gt;",OR(AND('3-man'!AP$19="ST&gt;3",AP62&gt;=100),AND('3-man'!AP$20="ST&gt;3",AP70&gt;=100))))),'3-man'!AP$18,0)</f>
        <v/>
      </c>
      <c r="AQ85">
        <f>IF(OR('3-man'!AQ$21="P",'3-man'!AQ$21="R",AND('3-man'!AQ$18&lt;=IF('3-man'!$BF$4="",999,'3-man'!$BF$4),OR('3-man'!AQ$21="D",LEFT('3-man'!AQ$21,3)="ST&gt;",OR(AND('3-man'!AQ$19="ST&gt;3",AQ62&gt;=100),AND('3-man'!AQ$20="ST&gt;3",AQ70&gt;=100))))),'3-man'!AQ$18,0)</f>
        <v/>
      </c>
      <c r="AR85">
        <f>IF(OR('3-man'!AR$21="P",'3-man'!AR$21="R",AND('3-man'!AR$18&lt;=IF('3-man'!$BF$4="",999,'3-man'!$BF$4),OR('3-man'!AR$21="D",LEFT('3-man'!AR$21,3)="ST&gt;",OR(AND('3-man'!AR$19="ST&gt;3",AR62&gt;=100),AND('3-man'!AR$20="ST&gt;3",AR70&gt;=100))))),'3-man'!AR$18,0)</f>
        <v/>
      </c>
      <c r="AS85">
        <f>IF(OR('3-man'!AS$21="P",'3-man'!AS$21="R",AND('3-man'!AS$18&lt;=IF('3-man'!$BF$4="",999,'3-man'!$BF$4),OR('3-man'!AS$21="D",LEFT('3-man'!AS$21,3)="ST&gt;",OR(AND('3-man'!AS$19="ST&gt;3",AS62&gt;=100),AND('3-man'!AS$20="ST&gt;3",AS70&gt;=100))))),'3-man'!AS$18,0)</f>
        <v/>
      </c>
      <c r="AT85">
        <f>IF(OR('3-man'!AT$21="P",'3-man'!AT$21="R",AND('3-man'!AT$18&lt;=IF('3-man'!$BF$4="",999,'3-man'!$BF$4),OR('3-man'!AT$21="D",LEFT('3-man'!AT$21,3)="ST&gt;",OR(AND('3-man'!AT$19="ST&gt;3",AT62&gt;=100),AND('3-man'!AT$20="ST&gt;3",AT70&gt;=100))))),'3-man'!AT$18,0)</f>
        <v/>
      </c>
      <c r="AU85">
        <f>IF(OR('3-man'!AU$21="P",'3-man'!AU$21="R",AND('3-man'!AU$18&lt;=IF('3-man'!$BF$4="",999,'3-man'!$BF$4),OR('3-man'!AU$21="D",LEFT('3-man'!AU$21,3)="ST&gt;",OR(AND('3-man'!AU$19="ST&gt;3",AU62&gt;=100),AND('3-man'!AU$20="ST&gt;3",AU70&gt;=100))))),'3-man'!AU$18,0)</f>
        <v/>
      </c>
      <c r="AV85">
        <f>IF(OR('3-man'!AV$21="P",'3-man'!AV$21="R",AND('3-man'!AV$18&lt;=IF('3-man'!$BF$4="",999,'3-man'!$BF$4),OR('3-man'!AV$21="D",LEFT('3-man'!AV$21,3)="ST&gt;",OR(AND('3-man'!AV$19="ST&gt;3",AV62&gt;=100),AND('3-man'!AV$20="ST&gt;3",AV70&gt;=100))))),'3-man'!AV$18,0)</f>
        <v/>
      </c>
      <c r="AW85">
        <f>IF(OR('3-man'!AW$21="P",'3-man'!AW$21="R",AND('3-man'!AW$18&lt;=IF('3-man'!$BF$4="",999,'3-man'!$BF$4),OR('3-man'!AW$21="D",LEFT('3-man'!AW$21,3)="ST&gt;",OR(AND('3-man'!AW$19="ST&gt;3",AW62&gt;=100),AND('3-man'!AW$20="ST&gt;3",AW70&gt;=100))))),'3-man'!AW$18,0)</f>
        <v/>
      </c>
      <c r="AX85">
        <f>IF(OR('3-man'!AX$21="P",'3-man'!AX$21="R",AND('3-man'!AX$18&lt;=IF('3-man'!$BF$4="",999,'3-man'!$BF$4),OR('3-man'!AX$21="D",LEFT('3-man'!AX$21,3)="ST&gt;",OR(AND('3-man'!AX$19="ST&gt;3",AX62&gt;=100),AND('3-man'!AX$20="ST&gt;3",AX70&gt;=100))))),'3-man'!AX$18,0)</f>
        <v/>
      </c>
      <c r="AY85">
        <f>IF(OR('3-man'!AY$21="P",'3-man'!AY$21="R",AND('3-man'!AY$18&lt;=IF('3-man'!$BF$4="",999,'3-man'!$BF$4),OR('3-man'!AY$21="D",LEFT('3-man'!AY$21,3)="ST&gt;",OR(AND('3-man'!AY$19="ST&gt;3",AY62&gt;=100),AND('3-man'!AY$20="ST&gt;3",AY70&gt;=100))))),'3-man'!AY$18,0)</f>
        <v/>
      </c>
      <c r="AZ85">
        <f>IF(OR('3-man'!AZ$21="P",'3-man'!AZ$21="R",AND('3-man'!AZ$18&lt;=IF('3-man'!$BF$4="",999,'3-man'!$BF$4),OR('3-man'!AZ$21="D",LEFT('3-man'!AZ$21,3)="ST&gt;",OR(AND('3-man'!AZ$19="ST&gt;3",AZ62&gt;=100),AND('3-man'!AZ$20="ST&gt;3",AZ70&gt;=100))))),'3-man'!AZ$18,0)</f>
        <v/>
      </c>
      <c r="BA85">
        <f>IF(OR('3-man'!BA$21="P",'3-man'!BA$21="R",AND('3-man'!BA$18&lt;=IF('3-man'!$BF$4="",999,'3-man'!$BF$4),OR('3-man'!BA$21="D",LEFT('3-man'!BA$21,3)="ST&gt;",OR(AND('3-man'!BA$19="ST&gt;3",BA62&gt;=100),AND('3-man'!BA$20="ST&gt;3",BA70&gt;=100))))),'3-man'!BA$18,0)</f>
        <v/>
      </c>
      <c r="BB85">
        <f>IF(OR('3-man'!BB$21="P",'3-man'!BB$21="R",AND('3-man'!BB$18&lt;=IF('3-man'!$BF$4="",999,'3-man'!$BF$4),OR('3-man'!BB$21="D",LEFT('3-man'!BB$21,3)="ST&gt;",OR(AND('3-man'!BB$19="ST&gt;3",BB62&gt;=100),AND('3-man'!BB$20="ST&gt;3",BB70&gt;=100))))),'3-man'!BB$18,0)</f>
        <v/>
      </c>
      <c r="BC85">
        <f>IF(OR('3-man'!BC$21="P",'3-man'!BC$21="R",AND('3-man'!BC$18&lt;=IF('3-man'!$BF$4="",999,'3-man'!$BF$4),OR('3-man'!BC$21="D",LEFT('3-man'!BC$21,3)="ST&gt;",OR(AND('3-man'!BC$19="ST&gt;3",BC62&gt;=100),AND('3-man'!BC$20="ST&gt;3",BC70&gt;=100))))),'3-man'!BC$18,0)</f>
        <v/>
      </c>
      <c r="BD85">
        <f>IF(OR('3-man'!BD$21="P",'3-man'!BD$21="R",AND('3-man'!BD$18&lt;=IF('3-man'!$BF$4="",999,'3-man'!$BF$4),OR('3-man'!BD$21="D",LEFT('3-man'!BD$21,3)="ST&gt;",OR(AND('3-man'!BD$19="ST&gt;3",BD62&gt;=100),AND('3-man'!BD$20="ST&gt;3",BD70&gt;=100))))),'3-man'!BD$18,0)</f>
        <v/>
      </c>
      <c r="BE85">
        <f>IF(OR('3-man'!BE$21="P",'3-man'!BE$21="R",AND('3-man'!BE$18&lt;=IF('3-man'!$BF$4="",999,'3-man'!$BF$4),OR('3-man'!BE$21="D",LEFT('3-man'!BE$21,3)="ST&gt;",OR(AND('3-man'!BE$19="ST&gt;3",BE62&gt;=100),AND('3-man'!BE$20="ST&gt;3",BE70&gt;=100))))),'3-man'!BE$18,0)</f>
        <v/>
      </c>
      <c r="BF85">
        <f>IF(OR('3-man'!BF$21="P",'3-man'!BF$21="R",AND('3-man'!BF$18&lt;=IF('3-man'!$BF$4="",999,'3-man'!$BF$4),OR('3-man'!BF$21="D",LEFT('3-man'!BF$21,3)="ST&gt;",OR(AND('3-man'!BF$19="ST&gt;3",BF62&gt;=100),AND('3-man'!BF$20="ST&gt;3",BF70&gt;=100))))),'3-man'!BF$18,0)</f>
        <v/>
      </c>
      <c r="BG85">
        <f>IF(OR('3-man'!BG$21="P",'3-man'!BG$21="R",AND('3-man'!BG$18&lt;=IF('3-man'!$BF$4="",999,'3-man'!$BF$4),OR('3-man'!BG$21="D",LEFT('3-man'!BG$21,3)="ST&gt;",OR(AND('3-man'!BG$19="ST&gt;3",BG62&gt;=100),AND('3-man'!BG$20="ST&gt;3",BG70&gt;=100))))),'3-man'!BG$18,0)</f>
        <v/>
      </c>
      <c r="BH85">
        <f>IF(OR('3-man'!BH$21="P",'3-man'!BH$21="R",AND('3-man'!BH$18&lt;=IF('3-man'!$BF$4="",999,'3-man'!$BF$4),OR('3-man'!BH$21="D",LEFT('3-man'!BH$21,3)="ST&gt;",OR(AND('3-man'!BH$19="ST&gt;3",BH62&gt;=100),AND('3-man'!BH$20="ST&gt;3",BH70&gt;=100))))),'3-man'!BH$18,0)</f>
        <v/>
      </c>
      <c r="BI85">
        <f>IF(OR('3-man'!BI$21="P",'3-man'!BI$21="R",AND('3-man'!BI$18&lt;=IF('3-man'!$BF$4="",999,'3-man'!$BF$4),OR('3-man'!BI$21="D",LEFT('3-man'!BI$21,3)="ST&gt;",OR(AND('3-man'!BI$19="ST&gt;3",BI62&gt;=100),AND('3-man'!BI$20="ST&gt;3",BI70&gt;=100))))),'3-man'!BI$18,0)</f>
        <v/>
      </c>
      <c r="BJ85">
        <f>IF(OR('3-man'!BJ$21="P",'3-man'!BJ$21="R",AND('3-man'!BJ$18&lt;=IF('3-man'!$BF$4="",999,'3-man'!$BF$4),OR('3-man'!BJ$21="D",LEFT('3-man'!BJ$21,3)="ST&gt;",OR(AND('3-man'!BJ$19="ST&gt;3",BJ62&gt;=100),AND('3-man'!BJ$20="ST&gt;3",BJ70&gt;=100))))),'3-man'!BJ$18,0)</f>
        <v/>
      </c>
      <c r="BK85">
        <f>IF(OR('3-man'!BK$21="P",'3-man'!BK$21="R",AND('3-man'!BK$18&lt;=IF('3-man'!$BF$4="",999,'3-man'!$BF$4),OR('3-man'!BK$21="D",LEFT('3-man'!BK$21,3)="ST&gt;",OR(AND('3-man'!BK$19="ST&gt;3",BK62&gt;=100),AND('3-man'!BK$20="ST&gt;3",BK70&gt;=100))))),'3-man'!BK$18,0)</f>
        <v/>
      </c>
      <c r="BL85">
        <f>IF(OR('3-man'!BL$21="P",'3-man'!BL$21="R",AND('3-man'!BL$18&lt;=IF('3-man'!$BF$4="",999,'3-man'!$BF$4),OR('3-man'!BL$21="D",LEFT('3-man'!BL$21,3)="ST&gt;",OR(AND('3-man'!BL$19="ST&gt;3",BL62&gt;=100),AND('3-man'!BL$20="ST&gt;3",BL70&gt;=100))))),'3-man'!BL$18,0)</f>
        <v/>
      </c>
      <c r="BM85">
        <f>IF(OR('3-man'!BM$21="P",'3-man'!BM$21="R",AND('3-man'!BM$18&lt;=IF('3-man'!$BF$4="",999,'3-man'!$BF$4),OR('3-man'!BM$21="D",LEFT('3-man'!BM$21,3)="ST&gt;",OR(AND('3-man'!BM$19="ST&gt;3",BM62&gt;=100),AND('3-man'!BM$20="ST&gt;3",BM70&gt;=100))))),'3-man'!BM$18,0)</f>
        <v/>
      </c>
      <c r="BN85">
        <f>IF(OR('3-man'!BN$21="P",'3-man'!BN$21="R",AND('3-man'!BN$18&lt;=IF('3-man'!$BF$4="",999,'3-man'!$BF$4),OR('3-man'!BN$21="D",LEFT('3-man'!BN$21,3)="ST&gt;",OR(AND('3-man'!BN$19="ST&gt;3",BN62&gt;=100),AND('3-man'!BN$20="ST&gt;3",BN70&gt;=100))))),'3-man'!BN$18,0)</f>
        <v/>
      </c>
      <c r="BO85">
        <f>IF(OR('3-man'!BO$21="P",'3-man'!BO$21="R",AND('3-man'!BO$18&lt;=IF('3-man'!$BF$4="",999,'3-man'!$BF$4),OR('3-man'!BO$21="D",LEFT('3-man'!BO$21,3)="ST&gt;",OR(AND('3-man'!BO$19="ST&gt;3",BO62&gt;=100),AND('3-man'!BO$20="ST&gt;3",BO70&gt;=100))))),'3-man'!BO$18,0)</f>
        <v/>
      </c>
      <c r="BP85">
        <f>IF(OR('3-man'!BP$21="P",'3-man'!BP$21="R",AND('3-man'!BP$18&lt;=IF('3-man'!$BF$4="",999,'3-man'!$BF$4),OR('3-man'!BP$21="D",LEFT('3-man'!BP$21,3)="ST&gt;",OR(AND('3-man'!BP$19="ST&gt;3",BP62&gt;=100),AND('3-man'!BP$20="ST&gt;3",BP70&gt;=100))))),'3-man'!BP$18,0)</f>
        <v/>
      </c>
      <c r="BQ85">
        <f>IF(OR('3-man'!BQ$21="P",'3-man'!BQ$21="R",AND('3-man'!BQ$18&lt;=IF('3-man'!$BF$4="",999,'3-man'!$BF$4),OR('3-man'!BQ$21="D",LEFT('3-man'!BQ$21,3)="ST&gt;",OR(AND('3-man'!BQ$19="ST&gt;3",BQ62&gt;=100),AND('3-man'!BQ$20="ST&gt;3",BQ70&gt;=100))))),'3-man'!BQ$18,0)</f>
        <v/>
      </c>
      <c r="BR85">
        <f>IF(OR('3-man'!BR$21="P",'3-man'!BR$21="R",AND('3-man'!BR$18&lt;=IF('3-man'!$BF$4="",999,'3-man'!$BF$4),OR('3-man'!BR$21="D",LEFT('3-man'!BR$21,3)="ST&gt;",OR(AND('3-man'!BR$19="ST&gt;3",BR62&gt;=100),AND('3-man'!BR$20="ST&gt;3",BR70&gt;=100))))),'3-man'!BR$18,0)</f>
        <v/>
      </c>
      <c r="BS85">
        <f>IF(OR('3-man'!BS$21="P",'3-man'!BS$21="R",AND('3-man'!BS$18&lt;=IF('3-man'!$BF$4="",999,'3-man'!$BF$4),OR('3-man'!BS$21="D",LEFT('3-man'!BS$21,3)="ST&gt;",OR(AND('3-man'!BS$19="ST&gt;3",BS62&gt;=100),AND('3-man'!BS$20="ST&gt;3",BS70&gt;=100))))),'3-man'!BS$18,0)</f>
        <v/>
      </c>
      <c r="BT85">
        <f>IF(OR('3-man'!BT$21="P",'3-man'!BT$21="R",AND('3-man'!BT$18&lt;=IF('3-man'!$BF$4="",999,'3-man'!$BF$4),OR('3-man'!BT$21="D",LEFT('3-man'!BT$21,3)="ST&gt;",OR(AND('3-man'!BT$19="ST&gt;3",BT62&gt;=100),AND('3-man'!BT$20="ST&gt;3",BT70&gt;=100))))),'3-man'!BT$18,0)</f>
        <v/>
      </c>
      <c r="BU85">
        <f>IF(OR('3-man'!BU$21="P",'3-man'!BU$21="R",AND('3-man'!BU$18&lt;=IF('3-man'!$BF$4="",999,'3-man'!$BF$4),OR('3-man'!BU$21="D",LEFT('3-man'!BU$21,3)="ST&gt;",OR(AND('3-man'!BU$19="ST&gt;3",BU62&gt;=100),AND('3-man'!BU$20="ST&gt;3",BU70&gt;=100))))),'3-man'!BU$18,0)</f>
        <v/>
      </c>
      <c r="BV85">
        <f>IF(OR('3-man'!BV$21="P",'3-man'!BV$21="R",AND('3-man'!BV$18&lt;=IF('3-man'!$BF$4="",999,'3-man'!$BF$4),OR('3-man'!BV$21="D",LEFT('3-man'!BV$21,3)="ST&gt;",OR(AND('3-man'!BV$19="ST&gt;3",BV62&gt;=100),AND('3-man'!BV$20="ST&gt;3",BV70&gt;=100))))),'3-man'!BV$18,0)</f>
        <v/>
      </c>
      <c r="BW85">
        <f>IF(OR('3-man'!BW$21="P",'3-man'!BW$21="R",AND('3-man'!BW$18&lt;=IF('3-man'!$BF$4="",999,'3-man'!$BF$4),OR('3-man'!BW$21="D",LEFT('3-man'!BW$21,3)="ST&gt;",OR(AND('3-man'!BW$19="ST&gt;3",BW62&gt;=100),AND('3-man'!BW$20="ST&gt;3",BW70&gt;=100))))),'3-man'!BW$18,0)</f>
        <v/>
      </c>
      <c r="BX85">
        <f>IF(OR('3-man'!BX$21="P",'3-man'!BX$21="R",AND('3-man'!BX$18&lt;=IF('3-man'!$BF$4="",999,'3-man'!$BF$4),OR('3-man'!BX$21="D",LEFT('3-man'!BX$21,3)="ST&gt;",OR(AND('3-man'!BX$19="ST&gt;3",BX62&gt;=100),AND('3-man'!BX$20="ST&gt;3",BX70&gt;=100))))),'3-man'!BX$18,0)</f>
        <v/>
      </c>
      <c r="BY85">
        <f>IF(OR('3-man'!BY$21="P",'3-man'!BY$21="R",AND('3-man'!BY$18&lt;=IF('3-man'!$BF$4="",999,'3-man'!$BF$4),OR('3-man'!BY$21="D",LEFT('3-man'!BY$21,3)="ST&gt;",OR(AND('3-man'!BY$19="ST&gt;3",BY62&gt;=100),AND('3-man'!BY$20="ST&gt;3",BY70&gt;=100))))),'3-man'!BY$18,0)</f>
        <v/>
      </c>
      <c r="BZ85">
        <f>IF(OR('3-man'!BZ$21="P",'3-man'!BZ$21="R",AND('3-man'!BZ$18&lt;=IF('3-man'!$BF$4="",999,'3-man'!$BF$4),OR('3-man'!BZ$21="D",LEFT('3-man'!BZ$21,3)="ST&gt;",OR(AND('3-man'!BZ$19="ST&gt;3",BZ62&gt;=100),AND('3-man'!BZ$20="ST&gt;3",BZ70&gt;=100))))),'3-man'!BZ$18,0)</f>
        <v/>
      </c>
      <c r="CA85">
        <f>IF(OR('3-man'!CA$21="P",'3-man'!CA$21="R",AND('3-man'!CA$18&lt;=IF('3-man'!$BF$4="",999,'3-man'!$BF$4),OR('3-man'!CA$21="D",LEFT('3-man'!CA$21,3)="ST&gt;",OR(AND('3-man'!CA$19="ST&gt;3",CA62&gt;=100),AND('3-man'!CA$20="ST&gt;3",CA70&gt;=100))))),'3-man'!CA$18,0)</f>
        <v/>
      </c>
      <c r="CB85">
        <f>IF(OR('3-man'!CB$21="P",'3-man'!CB$21="R",AND('3-man'!CB$18&lt;=IF('3-man'!$BF$4="",999,'3-man'!$BF$4),OR('3-man'!CB$21="D",LEFT('3-man'!CB$21,3)="ST&gt;",OR(AND('3-man'!CB$19="ST&gt;3",CB62&gt;=100),AND('3-man'!CB$20="ST&gt;3",CB70&gt;=100))))),'3-man'!CB$18,0)</f>
        <v/>
      </c>
      <c r="CC85">
        <f>IF(OR('3-man'!CC$21="P",'3-man'!CC$21="R",AND('3-man'!CC$18&lt;=IF('3-man'!$BF$4="",999,'3-man'!$BF$4),OR('3-man'!CC$21="D",LEFT('3-man'!CC$21,3)="ST&gt;",OR(AND('3-man'!CC$19="ST&gt;3",CC62&gt;=100),AND('3-man'!CC$20="ST&gt;3",CC70&gt;=100))))),'3-man'!CC$18,0)</f>
        <v/>
      </c>
      <c r="CD85">
        <f>IF(OR('3-man'!CD$21="P",'3-man'!CD$21="R",AND('3-man'!CD$18&lt;=IF('3-man'!$BF$4="",999,'3-man'!$BF$4),OR('3-man'!CD$21="D",LEFT('3-man'!CD$21,3)="ST&gt;",OR(AND('3-man'!CD$19="ST&gt;3",CD62&gt;=100),AND('3-man'!CD$20="ST&gt;3",CD70&gt;=100))))),'3-man'!CD$18,0)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MIN(100,B95+IF(AND(B95&lt;100,B96+1&gt;=IF(OR('3-man'!$F$32=TRUE,'3-man'!$F$32="TRUE",'3-man'!$F$32="Yes"),25,50)),10,0)+IF('3-man'!C$46=$Q$100,25,0))</f>
        <v/>
      </c>
      <c r="D94">
        <f>MIN(100,C95+IF(AND(C95&lt;100,C96+1&gt;=IF(OR('3-man'!$F$32=TRUE,'3-man'!$F$32="TRUE",'3-man'!$F$32="Yes"),25,50)),10,0)+IF('3-man'!D$46=$Q$100,25,0))</f>
        <v/>
      </c>
      <c r="E94">
        <f>MIN(100,D95+IF(AND(D95&lt;100,D96+1&gt;=IF(OR('3-man'!$F$32=TRUE,'3-man'!$F$32="TRUE",'3-man'!$F$32="Yes"),25,50)),10,0)+IF('3-man'!E$46=$Q$100,25,0))</f>
        <v/>
      </c>
      <c r="F94">
        <f>MIN(100,E95+IF(AND(E95&lt;100,E96+1&gt;=IF(OR('3-man'!$F$32=TRUE,'3-man'!$F$32="TRUE",'3-man'!$F$32="Yes"),25,50)),10,0)+IF('3-man'!F$46=$Q$100,25,0))</f>
        <v/>
      </c>
      <c r="G94">
        <f>MIN(100,F95+IF(AND(F95&lt;100,F96+1&gt;=IF(OR('3-man'!$F$32=TRUE,'3-man'!$F$32="TRUE",'3-man'!$F$32="Yes"),25,50)),10,0)+IF('3-man'!G$46=$Q$100,25,0))</f>
        <v/>
      </c>
      <c r="H94">
        <f>MIN(100,G95+IF(AND(G95&lt;100,G96+1&gt;=IF(OR('3-man'!$F$32=TRUE,'3-man'!$F$32="TRUE",'3-man'!$F$32="Yes"),25,50)),10,0)+IF('3-man'!H$46=$Q$100,25,0))</f>
        <v/>
      </c>
      <c r="I94">
        <f>MIN(100,H95+IF(AND(H95&lt;100,H96+1&gt;=IF(OR('3-man'!$F$32=TRUE,'3-man'!$F$32="TRUE",'3-man'!$F$32="Yes"),25,50)),10,0)+IF('3-man'!I$46=$Q$100,25,0))</f>
        <v/>
      </c>
      <c r="J94">
        <f>MIN(100,I95+IF(AND(I95&lt;100,I96+1&gt;=IF(OR('3-man'!$F$32=TRUE,'3-man'!$F$32="TRUE",'3-man'!$F$32="Yes"),25,50)),10,0)+IF('3-man'!J$46=$Q$100,25,0))</f>
        <v/>
      </c>
      <c r="K94">
        <f>MIN(100,J95+IF(AND(J95&lt;100,J96+1&gt;=IF(OR('3-man'!$F$32=TRUE,'3-man'!$F$32="TRUE",'3-man'!$F$32="Yes"),25,50)),10,0)+IF('3-man'!K$46=$Q$100,25,0))</f>
        <v/>
      </c>
      <c r="L94">
        <f>MIN(100,K95+IF(AND(K95&lt;100,K96+1&gt;=IF(OR('3-man'!$F$32=TRUE,'3-man'!$F$32="TRUE",'3-man'!$F$32="Yes"),25,50)),10,0)+IF('3-man'!L$46=$Q$100,25,0))</f>
        <v/>
      </c>
      <c r="M94">
        <f>MIN(100,L95+IF(AND(L95&lt;100,L96+1&gt;=IF(OR('3-man'!$F$32=TRUE,'3-man'!$F$32="TRUE",'3-man'!$F$32="Yes"),25,50)),10,0)+IF('3-man'!M$46=$Q$100,25,0))</f>
        <v/>
      </c>
      <c r="N94">
        <f>MIN(100,M95+IF(AND(M95&lt;100,M96+1&gt;=IF(OR('3-man'!$F$32=TRUE,'3-man'!$F$32="TRUE",'3-man'!$F$32="Yes"),25,50)),10,0)+IF('3-man'!N$46=$Q$100,25,0))</f>
        <v/>
      </c>
      <c r="O94">
        <f>MIN(100,N95+IF(AND(N95&lt;100,N96+1&gt;=IF(OR('3-man'!$F$32=TRUE,'3-man'!$F$32="TRUE",'3-man'!$F$32="Yes"),25,50)),10,0)+IF('3-man'!O$46=$Q$100,25,0))</f>
        <v/>
      </c>
      <c r="P94">
        <f>MIN(100,O95+IF(AND(O95&lt;100,O96+1&gt;=IF(OR('3-man'!$F$32=TRUE,'3-man'!$F$32="TRUE",'3-man'!$F$32="Yes"),25,50)),10,0)+IF('3-man'!P$46=$Q$100,25,0))</f>
        <v/>
      </c>
      <c r="Q94">
        <f>MIN(100,P95+IF(AND(P95&lt;100,P96+1&gt;=IF(OR('3-man'!$F$32=TRUE,'3-man'!$F$32="TRUE",'3-man'!$F$32="Yes"),25,50)),10,0)+IF('3-man'!Q$46=$Q$100,25,0))</f>
        <v/>
      </c>
      <c r="R94">
        <f>MIN(100,Q95+IF(AND(Q95&lt;100,Q96+1&gt;=IF(OR('3-man'!$F$32=TRUE,'3-man'!$F$32="TRUE",'3-man'!$F$32="Yes"),25,50)),10,0)+IF('3-man'!R$46=$Q$100,25,0))</f>
        <v/>
      </c>
      <c r="S94">
        <f>MIN(100,R95+IF(AND(R95&lt;100,R96+1&gt;=IF(OR('3-man'!$F$32=TRUE,'3-man'!$F$32="TRUE",'3-man'!$F$32="Yes"),25,50)),10,0)+IF('3-man'!S$46=$Q$100,25,0))</f>
        <v/>
      </c>
      <c r="T94">
        <f>MIN(100,S95+IF(AND(S95&lt;100,S96+1&gt;=IF(OR('3-man'!$F$32=TRUE,'3-man'!$F$32="TRUE",'3-man'!$F$32="Yes"),25,50)),10,0)+IF('3-man'!T$46=$Q$100,25,0))</f>
        <v/>
      </c>
      <c r="U94">
        <f>MIN(100,T95+IF(AND(T95&lt;100,T96+1&gt;=IF(OR('3-man'!$F$32=TRUE,'3-man'!$F$32="TRUE",'3-man'!$F$32="Yes"),25,50)),10,0)+IF('3-man'!U$46=$Q$100,25,0))</f>
        <v/>
      </c>
      <c r="V94">
        <f>MIN(100,U95+IF(AND(U95&lt;100,U96+1&gt;=IF(OR('3-man'!$F$32=TRUE,'3-man'!$F$32="TRUE",'3-man'!$F$32="Yes"),25,50)),10,0)+IF('3-man'!V$46=$Q$100,25,0))</f>
        <v/>
      </c>
      <c r="W94">
        <f>MIN(100,V95+IF(AND(V95&lt;100,V96+1&gt;=IF(OR('3-man'!$F$32=TRUE,'3-man'!$F$32="TRUE",'3-man'!$F$32="Yes"),25,50)),10,0)+IF('3-man'!W$46=$Q$100,25,0))</f>
        <v/>
      </c>
      <c r="X94">
        <f>MIN(100,W95+IF(AND(W95&lt;100,W96+1&gt;=IF(OR('3-man'!$F$32=TRUE,'3-man'!$F$32="TRUE",'3-man'!$F$32="Yes"),25,50)),10,0)+IF('3-man'!X$46=$Q$100,25,0))</f>
        <v/>
      </c>
      <c r="Y94">
        <f>MIN(100,X95+IF(AND(X95&lt;100,X96+1&gt;=IF(OR('3-man'!$F$32=TRUE,'3-man'!$F$32="TRUE",'3-man'!$F$32="Yes"),25,50)),10,0)+IF('3-man'!Y$46=$Q$100,25,0))</f>
        <v/>
      </c>
      <c r="Z94">
        <f>MIN(100,Y95+IF(AND(Y95&lt;100,Y96+1&gt;=IF(OR('3-man'!$F$32=TRUE,'3-man'!$F$32="TRUE",'3-man'!$F$32="Yes"),25,50)),10,0)+IF('3-man'!Z$46=$Q$100,25,0))</f>
        <v/>
      </c>
      <c r="AA94">
        <f>MIN(100,Z95+IF(AND(Z95&lt;100,Z96+1&gt;=IF(OR('3-man'!$F$32=TRUE,'3-man'!$F$32="TRUE",'3-man'!$F$32="Yes"),25,50)),10,0)+IF('3-man'!AA$46=$Q$100,25,0))</f>
        <v/>
      </c>
      <c r="AB94">
        <f>MIN(100,AA95+IF(AND(AA95&lt;100,AA96+1&gt;=IF(OR('3-man'!$F$32=TRUE,'3-man'!$F$32="TRUE",'3-man'!$F$32="Yes"),25,50)),10,0)+IF('3-man'!AB$46=$Q$100,25,0))</f>
        <v/>
      </c>
      <c r="AC94">
        <f>MIN(100,AB95+IF(AND(AB95&lt;100,AB96+1&gt;=IF(OR('3-man'!$F$32=TRUE,'3-man'!$F$32="TRUE",'3-man'!$F$32="Yes"),25,50)),10,0)+IF('3-man'!AC$46=$Q$100,25,0))</f>
        <v/>
      </c>
      <c r="AD94">
        <f>MIN(100,AC95+IF(AND(AC95&lt;100,AC96+1&gt;=IF(OR('3-man'!$F$32=TRUE,'3-man'!$F$32="TRUE",'3-man'!$F$32="Yes"),25,50)),10,0)+IF('3-man'!AD$46=$Q$100,25,0))</f>
        <v/>
      </c>
      <c r="AE94">
        <f>MIN(100,AD95+IF(AND(AD95&lt;100,AD96+1&gt;=IF(OR('3-man'!$F$32=TRUE,'3-man'!$F$32="TRUE",'3-man'!$F$32="Yes"),25,50)),10,0)+IF('3-man'!AE$46=$Q$100,25,0))</f>
        <v/>
      </c>
      <c r="AF94">
        <f>MIN(100,AE95+IF(AND(AE95&lt;100,AE96+1&gt;=IF(OR('3-man'!$F$32=TRUE,'3-man'!$F$32="TRUE",'3-man'!$F$32="Yes"),25,50)),10,0)+IF('3-man'!AF$46=$Q$100,25,0))</f>
        <v/>
      </c>
      <c r="AG94">
        <f>MIN(100,AF95+IF(AND(AF95&lt;100,AF96+1&gt;=IF(OR('3-man'!$F$32=TRUE,'3-man'!$F$32="TRUE",'3-man'!$F$32="Yes"),25,50)),10,0)+IF('3-man'!AG$46=$Q$100,25,0))</f>
        <v/>
      </c>
      <c r="AH94">
        <f>MIN(100,AG95+IF(AND(AG95&lt;100,AG96+1&gt;=IF(OR('3-man'!$F$32=TRUE,'3-man'!$F$32="TRUE",'3-man'!$F$32="Yes"),25,50)),10,0)+IF('3-man'!AH$46=$Q$100,25,0))</f>
        <v/>
      </c>
      <c r="AI94">
        <f>MIN(100,AH95+IF(AND(AH95&lt;100,AH96+1&gt;=IF(OR('3-man'!$F$32=TRUE,'3-man'!$F$32="TRUE",'3-man'!$F$32="Yes"),25,50)),10,0)+IF('3-man'!AI$46=$Q$100,25,0))</f>
        <v/>
      </c>
      <c r="AJ94">
        <f>MIN(100,AI95+IF(AND(AI95&lt;100,AI96+1&gt;=IF(OR('3-man'!$F$32=TRUE,'3-man'!$F$32="TRUE",'3-man'!$F$32="Yes"),25,50)),10,0)+IF('3-man'!AJ$46=$Q$100,25,0))</f>
        <v/>
      </c>
      <c r="AK94">
        <f>MIN(100,AJ95+IF(AND(AJ95&lt;100,AJ96+1&gt;=IF(OR('3-man'!$F$32=TRUE,'3-man'!$F$32="TRUE",'3-man'!$F$32="Yes"),25,50)),10,0)+IF('3-man'!AK$46=$Q$100,25,0))</f>
        <v/>
      </c>
      <c r="AL94">
        <f>MIN(100,AK95+IF(AND(AK95&lt;100,AK96+1&gt;=IF(OR('3-man'!$F$32=TRUE,'3-man'!$F$32="TRUE",'3-man'!$F$32="Yes"),25,50)),10,0)+IF('3-man'!AL$46=$Q$100,25,0))</f>
        <v/>
      </c>
      <c r="AM94">
        <f>MIN(100,AL95+IF(AND(AL95&lt;100,AL96+1&gt;=IF(OR('3-man'!$F$32=TRUE,'3-man'!$F$32="TRUE",'3-man'!$F$32="Yes"),25,50)),10,0)+IF('3-man'!AM$46=$Q$100,25,0))</f>
        <v/>
      </c>
      <c r="AN94">
        <f>MIN(100,AM95+IF(AND(AM95&lt;100,AM96+1&gt;=IF(OR('3-man'!$F$32=TRUE,'3-man'!$F$32="TRUE",'3-man'!$F$32="Yes"),25,50)),10,0)+IF('3-man'!AN$46=$Q$100,25,0))</f>
        <v/>
      </c>
      <c r="AO94">
        <f>MIN(100,AN95+IF(AND(AN95&lt;100,AN96+1&gt;=IF(OR('3-man'!$F$32=TRUE,'3-man'!$F$32="TRUE",'3-man'!$F$32="Yes"),25,50)),10,0)+IF('3-man'!AO$46=$Q$100,25,0))</f>
        <v/>
      </c>
      <c r="AP94">
        <f>MIN(100,AO95+IF(AND(AO95&lt;100,AO96+1&gt;=IF(OR('3-man'!$F$32=TRUE,'3-man'!$F$32="TRUE",'3-man'!$F$32="Yes"),25,50)),10,0)+IF('3-man'!AP$46=$Q$100,25,0))</f>
        <v/>
      </c>
      <c r="AQ94">
        <f>MIN(100,AP95+IF(AND(AP95&lt;100,AP96+1&gt;=IF(OR('3-man'!$F$32=TRUE,'3-man'!$F$32="TRUE",'3-man'!$F$32="Yes"),25,50)),10,0)+IF('3-man'!AQ$46=$Q$100,25,0))</f>
        <v/>
      </c>
      <c r="AR94">
        <f>MIN(100,AQ95+IF(AND(AQ95&lt;100,AQ96+1&gt;=IF(OR('3-man'!$F$32=TRUE,'3-man'!$F$32="TRUE",'3-man'!$F$32="Yes"),25,50)),10,0)+IF('3-man'!AR$46=$Q$100,25,0))</f>
        <v/>
      </c>
      <c r="AS94">
        <f>MIN(100,AR95+IF(AND(AR95&lt;100,AR96+1&gt;=IF(OR('3-man'!$F$32=TRUE,'3-man'!$F$32="TRUE",'3-man'!$F$32="Yes"),25,50)),10,0)+IF('3-man'!AS$46=$Q$100,25,0))</f>
        <v/>
      </c>
      <c r="AT94">
        <f>MIN(100,AS95+IF(AND(AS95&lt;100,AS96+1&gt;=IF(OR('3-man'!$F$32=TRUE,'3-man'!$F$32="TRUE",'3-man'!$F$32="Yes"),25,50)),10,0)+IF('3-man'!AT$46=$Q$100,25,0))</f>
        <v/>
      </c>
      <c r="AU94">
        <f>MIN(100,AT95+IF(AND(AT95&lt;100,AT96+1&gt;=IF(OR('3-man'!$F$32=TRUE,'3-man'!$F$32="TRUE",'3-man'!$F$32="Yes"),25,50)),10,0)+IF('3-man'!AU$46=$Q$100,25,0))</f>
        <v/>
      </c>
      <c r="AV94">
        <f>MIN(100,AU95+IF(AND(AU95&lt;100,AU96+1&gt;=IF(OR('3-man'!$F$32=TRUE,'3-man'!$F$32="TRUE",'3-man'!$F$32="Yes"),25,50)),10,0)+IF('3-man'!AV$46=$Q$100,25,0))</f>
        <v/>
      </c>
      <c r="AW94">
        <f>MIN(100,AV95+IF(AND(AV95&lt;100,AV96+1&gt;=IF(OR('3-man'!$F$32=TRUE,'3-man'!$F$32="TRUE",'3-man'!$F$32="Yes"),25,50)),10,0)+IF('3-man'!AW$46=$Q$100,25,0))</f>
        <v/>
      </c>
      <c r="AX94">
        <f>MIN(100,AW95+IF(AND(AW95&lt;100,AW96+1&gt;=IF(OR('3-man'!$F$32=TRUE,'3-man'!$F$32="TRUE",'3-man'!$F$32="Yes"),25,50)),10,0)+IF('3-man'!AX$46=$Q$100,25,0))</f>
        <v/>
      </c>
      <c r="AY94">
        <f>MIN(100,AX95+IF(AND(AX95&lt;100,AX96+1&gt;=IF(OR('3-man'!$F$32=TRUE,'3-man'!$F$32="TRUE",'3-man'!$F$32="Yes"),25,50)),10,0)+IF('3-man'!AY$46=$Q$100,25,0))</f>
        <v/>
      </c>
      <c r="AZ94">
        <f>MIN(100,AY95+IF(AND(AY95&lt;100,AY96+1&gt;=IF(OR('3-man'!$F$32=TRUE,'3-man'!$F$32="TRUE",'3-man'!$F$32="Yes"),25,50)),10,0)+IF('3-man'!AZ$46=$Q$100,25,0))</f>
        <v/>
      </c>
      <c r="BA94">
        <f>MIN(100,AZ95+IF(AND(AZ95&lt;100,AZ96+1&gt;=IF(OR('3-man'!$F$32=TRUE,'3-man'!$F$32="TRUE",'3-man'!$F$32="Yes"),25,50)),10,0)+IF('3-man'!BA$46=$Q$100,25,0))</f>
        <v/>
      </c>
      <c r="BB94">
        <f>MIN(100,BA95+IF(AND(BA95&lt;100,BA96+1&gt;=IF(OR('3-man'!$F$32=TRUE,'3-man'!$F$32="TRUE",'3-man'!$F$32="Yes"),25,50)),10,0)+IF('3-man'!BB$46=$Q$100,25,0))</f>
        <v/>
      </c>
      <c r="BC94">
        <f>MIN(100,BB95+IF(AND(BB95&lt;100,BB96+1&gt;=IF(OR('3-man'!$F$32=TRUE,'3-man'!$F$32="TRUE",'3-man'!$F$32="Yes"),25,50)),10,0)+IF('3-man'!BC$46=$Q$100,25,0))</f>
        <v/>
      </c>
      <c r="BD94">
        <f>MIN(100,BC95+IF(AND(BC95&lt;100,BC96+1&gt;=IF(OR('3-man'!$F$32=TRUE,'3-man'!$F$32="TRUE",'3-man'!$F$32="Yes"),25,50)),10,0)+IF('3-man'!BD$46=$Q$100,25,0))</f>
        <v/>
      </c>
      <c r="BE94">
        <f>MIN(100,BD95+IF(AND(BD95&lt;100,BD96+1&gt;=IF(OR('3-man'!$F$32=TRUE,'3-man'!$F$32="TRUE",'3-man'!$F$32="Yes"),25,50)),10,0)+IF('3-man'!BE$46=$Q$100,25,0))</f>
        <v/>
      </c>
      <c r="BF94">
        <f>MIN(100,BE95+IF(AND(BE95&lt;100,BE96+1&gt;=IF(OR('3-man'!$F$32=TRUE,'3-man'!$F$32="TRUE",'3-man'!$F$32="Yes"),25,50)),10,0)+IF('3-man'!BF$46=$Q$100,25,0))</f>
        <v/>
      </c>
      <c r="BG94">
        <f>MIN(100,BF95+IF(AND(BF95&lt;100,BF96+1&gt;=IF(OR('3-man'!$F$32=TRUE,'3-man'!$F$32="TRUE",'3-man'!$F$32="Yes"),25,50)),10,0)+IF('3-man'!BG$46=$Q$100,25,0))</f>
        <v/>
      </c>
      <c r="BH94">
        <f>MIN(100,BG95+IF(AND(BG95&lt;100,BG96+1&gt;=IF(OR('3-man'!$F$32=TRUE,'3-man'!$F$32="TRUE",'3-man'!$F$32="Yes"),25,50)),10,0)+IF('3-man'!BH$46=$Q$100,25,0))</f>
        <v/>
      </c>
      <c r="BI94">
        <f>MIN(100,BH95+IF(AND(BH95&lt;100,BH96+1&gt;=IF(OR('3-man'!$F$32=TRUE,'3-man'!$F$32="TRUE",'3-man'!$F$32="Yes"),25,50)),10,0)+IF('3-man'!BI$46=$Q$100,25,0))</f>
        <v/>
      </c>
      <c r="BJ94">
        <f>MIN(100,BI95+IF(AND(BI95&lt;100,BI96+1&gt;=IF(OR('3-man'!$F$32=TRUE,'3-man'!$F$32="TRUE",'3-man'!$F$32="Yes"),25,50)),10,0)+IF('3-man'!BJ$46=$Q$100,25,0))</f>
        <v/>
      </c>
      <c r="BK94">
        <f>MIN(100,BJ95+IF(AND(BJ95&lt;100,BJ96+1&gt;=IF(OR('3-man'!$F$32=TRUE,'3-man'!$F$32="TRUE",'3-man'!$F$32="Yes"),25,50)),10,0)+IF('3-man'!BK$46=$Q$100,25,0))</f>
        <v/>
      </c>
      <c r="BL94">
        <f>MIN(100,BK95+IF(AND(BK95&lt;100,BK96+1&gt;=IF(OR('3-man'!$F$32=TRUE,'3-man'!$F$32="TRUE",'3-man'!$F$32="Yes"),25,50)),10,0)+IF('3-man'!BL$46=$Q$100,25,0))</f>
        <v/>
      </c>
      <c r="BM94">
        <f>MIN(100,BL95+IF(AND(BL95&lt;100,BL96+1&gt;=IF(OR('3-man'!$F$32=TRUE,'3-man'!$F$32="TRUE",'3-man'!$F$32="Yes"),25,50)),10,0)+IF('3-man'!BM$46=$Q$100,25,0))</f>
        <v/>
      </c>
      <c r="BN94">
        <f>MIN(100,BM95+IF(AND(BM95&lt;100,BM96+1&gt;=IF(OR('3-man'!$F$32=TRUE,'3-man'!$F$32="TRUE",'3-man'!$F$32="Yes"),25,50)),10,0)+IF('3-man'!BN$46=$Q$100,25,0))</f>
        <v/>
      </c>
      <c r="BO94">
        <f>MIN(100,BN95+IF(AND(BN95&lt;100,BN96+1&gt;=IF(OR('3-man'!$F$32=TRUE,'3-man'!$F$32="TRUE",'3-man'!$F$32="Yes"),25,50)),10,0)+IF('3-man'!BO$46=$Q$100,25,0))</f>
        <v/>
      </c>
      <c r="BP94">
        <f>MIN(100,BO95+IF(AND(BO95&lt;100,BO96+1&gt;=IF(OR('3-man'!$F$32=TRUE,'3-man'!$F$32="TRUE",'3-man'!$F$32="Yes"),25,50)),10,0)+IF('3-man'!BP$46=$Q$100,25,0))</f>
        <v/>
      </c>
      <c r="BQ94">
        <f>MIN(100,BP95+IF(AND(BP95&lt;100,BP96+1&gt;=IF(OR('3-man'!$F$32=TRUE,'3-man'!$F$32="TRUE",'3-man'!$F$32="Yes"),25,50)),10,0)+IF('3-man'!BQ$46=$Q$100,25,0))</f>
        <v/>
      </c>
      <c r="BR94">
        <f>MIN(100,BQ95+IF(AND(BQ95&lt;100,BQ96+1&gt;=IF(OR('3-man'!$F$32=TRUE,'3-man'!$F$32="TRUE",'3-man'!$F$32="Yes"),25,50)),10,0)+IF('3-man'!BR$46=$Q$100,25,0))</f>
        <v/>
      </c>
      <c r="BS94">
        <f>MIN(100,BR95+IF(AND(BR95&lt;100,BR96+1&gt;=IF(OR('3-man'!$F$32=TRUE,'3-man'!$F$32="TRUE",'3-man'!$F$32="Yes"),25,50)),10,0)+IF('3-man'!BS$46=$Q$100,25,0))</f>
        <v/>
      </c>
      <c r="BT94">
        <f>MIN(100,BS95+IF(AND(BS95&lt;100,BS96+1&gt;=IF(OR('3-man'!$F$32=TRUE,'3-man'!$F$32="TRUE",'3-man'!$F$32="Yes"),25,50)),10,0)+IF('3-man'!BT$46=$Q$100,25,0))</f>
        <v/>
      </c>
      <c r="BU94">
        <f>MIN(100,BT95+IF(AND(BT95&lt;100,BT96+1&gt;=IF(OR('3-man'!$F$32=TRUE,'3-man'!$F$32="TRUE",'3-man'!$F$32="Yes"),25,50)),10,0)+IF('3-man'!BU$46=$Q$100,25,0))</f>
        <v/>
      </c>
      <c r="BV94">
        <f>MIN(100,BU95+IF(AND(BU95&lt;100,BU96+1&gt;=IF(OR('3-man'!$F$32=TRUE,'3-man'!$F$32="TRUE",'3-man'!$F$32="Yes"),25,50)),10,0)+IF('3-man'!BV$46=$Q$100,25,0))</f>
        <v/>
      </c>
      <c r="BW94">
        <f>MIN(100,BV95+IF(AND(BV95&lt;100,BV96+1&gt;=IF(OR('3-man'!$F$32=TRUE,'3-man'!$F$32="TRUE",'3-man'!$F$32="Yes"),25,50)),10,0)+IF('3-man'!BW$46=$Q$100,25,0))</f>
        <v/>
      </c>
      <c r="BX94">
        <f>MIN(100,BW95+IF(AND(BW95&lt;100,BW96+1&gt;=IF(OR('3-man'!$F$32=TRUE,'3-man'!$F$32="TRUE",'3-man'!$F$32="Yes"),25,50)),10,0)+IF('3-man'!BX$46=$Q$100,25,0))</f>
        <v/>
      </c>
      <c r="BY94">
        <f>MIN(100,BX95+IF(AND(BX95&lt;100,BX96+1&gt;=IF(OR('3-man'!$F$32=TRUE,'3-man'!$F$32="TRUE",'3-man'!$F$32="Yes"),25,50)),10,0)+IF('3-man'!BY$46=$Q$100,25,0))</f>
        <v/>
      </c>
      <c r="BZ94">
        <f>MIN(100,BY95+IF(AND(BY95&lt;100,BY96+1&gt;=IF(OR('3-man'!$F$32=TRUE,'3-man'!$F$32="TRUE",'3-man'!$F$32="Yes"),25,50)),10,0)+IF('3-man'!BZ$46=$Q$100,25,0))</f>
        <v/>
      </c>
      <c r="CA94">
        <f>MIN(100,BZ95+IF(AND(BZ95&lt;100,BZ96+1&gt;=IF(OR('3-man'!$F$32=TRUE,'3-man'!$F$32="TRUE",'3-man'!$F$32="Yes"),25,50)),10,0)+IF('3-man'!CA$46=$Q$100,25,0))</f>
        <v/>
      </c>
      <c r="CB94">
        <f>MIN(100,CA95+IF(AND(CA95&lt;100,CA96+1&gt;=IF(OR('3-man'!$F$32=TRUE,'3-man'!$F$32="TRUE",'3-man'!$F$32="Yes"),25,50)),10,0)+IF('3-man'!CB$46=$Q$100,25,0))</f>
        <v/>
      </c>
      <c r="CC94">
        <f>MIN(100,CB95+IF(AND(CB95&lt;100,CB96+1&gt;=IF(OR('3-man'!$F$32=TRUE,'3-man'!$F$32="TRUE",'3-man'!$F$32="Yes"),25,50)),10,0)+IF('3-man'!CC$46=$Q$100,25,0))</f>
        <v/>
      </c>
      <c r="CD94">
        <f>MIN(100,CC95+IF(AND(CC95&lt;100,CC96+1&gt;=IF(OR('3-man'!$F$32=TRUE,'3-man'!$F$32="TRUE",'3-man'!$F$32="Yes"),25,50)),10,0)+IF('3-man'!CD$46=$Q$100,25,0))</f>
        <v/>
      </c>
    </row>
    <row r="95">
      <c r="A95" t="inlineStr">
        <is>
          <t>P1 spec</t>
        </is>
      </c>
      <c r="B95">
        <f>IF('3-man'!$C$32="",100,'3-man'!$C$32)</f>
        <v/>
      </c>
      <c r="C95">
        <f>IF('3-man'!C$47="R",MIN(100,C94+10),IF('3-man'!C$47="P",MIN(100,C94+25),IF(AND('3-man'!C$47="D",C94&gt;=35,'3-man'!C$46&lt;=IF('3-man'!$BF$32="",999,'3-man'!$BF$32)),C94-35,IF(AND(LEFT('3-man'!C$47,3)="ST&gt;",C94&gt;=100,'3-man'!C$46&lt;=IF('3-man'!$BF$32="",999,'3-man'!$BF$32)),0,IF(AND(OR(AND('3-man'!C$48="ST&gt;1",C102&gt;=100),AND('3-man'!C$49="ST&gt;1",C110&gt;=100)),'3-man'!C$46&lt;=IF('3-man'!$BF$32="",999,'3-man'!$BF$32)),100,C94)))))</f>
        <v/>
      </c>
      <c r="D95">
        <f>IF('3-man'!D$47="R",MIN(100,D94+10),IF('3-man'!D$47="P",MIN(100,D94+25),IF(AND('3-man'!D$47="D",D94&gt;=35,'3-man'!D$46&lt;=IF('3-man'!$BF$32="",999,'3-man'!$BF$32)),D94-35,IF(AND(LEFT('3-man'!D$47,3)="ST&gt;",D94&gt;=100,'3-man'!D$46&lt;=IF('3-man'!$BF$32="",999,'3-man'!$BF$32)),0,IF(AND(OR(AND('3-man'!D$48="ST&gt;1",D102&gt;=100),AND('3-man'!D$49="ST&gt;1",D110&gt;=100)),'3-man'!D$46&lt;=IF('3-man'!$BF$32="",999,'3-man'!$BF$32)),100,D94)))))</f>
        <v/>
      </c>
      <c r="E95">
        <f>IF('3-man'!E$47="R",MIN(100,E94+10),IF('3-man'!E$47="P",MIN(100,E94+25),IF(AND('3-man'!E$47="D",E94&gt;=35,'3-man'!E$46&lt;=IF('3-man'!$BF$32="",999,'3-man'!$BF$32)),E94-35,IF(AND(LEFT('3-man'!E$47,3)="ST&gt;",E94&gt;=100,'3-man'!E$46&lt;=IF('3-man'!$BF$32="",999,'3-man'!$BF$32)),0,IF(AND(OR(AND('3-man'!E$48="ST&gt;1",E102&gt;=100),AND('3-man'!E$49="ST&gt;1",E110&gt;=100)),'3-man'!E$46&lt;=IF('3-man'!$BF$32="",999,'3-man'!$BF$32)),100,E94)))))</f>
        <v/>
      </c>
      <c r="F95">
        <f>IF('3-man'!F$47="R",MIN(100,F94+10),IF('3-man'!F$47="P",MIN(100,F94+25),IF(AND('3-man'!F$47="D",F94&gt;=35,'3-man'!F$46&lt;=IF('3-man'!$BF$32="",999,'3-man'!$BF$32)),F94-35,IF(AND(LEFT('3-man'!F$47,3)="ST&gt;",F94&gt;=100,'3-man'!F$46&lt;=IF('3-man'!$BF$32="",999,'3-man'!$BF$32)),0,IF(AND(OR(AND('3-man'!F$48="ST&gt;1",F102&gt;=100),AND('3-man'!F$49="ST&gt;1",F110&gt;=100)),'3-man'!F$46&lt;=IF('3-man'!$BF$32="",999,'3-man'!$BF$32)),100,F94)))))</f>
        <v/>
      </c>
      <c r="G95">
        <f>IF('3-man'!G$47="R",MIN(100,G94+10),IF('3-man'!G$47="P",MIN(100,G94+25),IF(AND('3-man'!G$47="D",G94&gt;=35,'3-man'!G$46&lt;=IF('3-man'!$BF$32="",999,'3-man'!$BF$32)),G94-35,IF(AND(LEFT('3-man'!G$47,3)="ST&gt;",G94&gt;=100,'3-man'!G$46&lt;=IF('3-man'!$BF$32="",999,'3-man'!$BF$32)),0,IF(AND(OR(AND('3-man'!G$48="ST&gt;1",G102&gt;=100),AND('3-man'!G$49="ST&gt;1",G110&gt;=100)),'3-man'!G$46&lt;=IF('3-man'!$BF$32="",999,'3-man'!$BF$32)),100,G94)))))</f>
        <v/>
      </c>
      <c r="H95">
        <f>IF('3-man'!H$47="R",MIN(100,H94+10),IF('3-man'!H$47="P",MIN(100,H94+25),IF(AND('3-man'!H$47="D",H94&gt;=35,'3-man'!H$46&lt;=IF('3-man'!$BF$32="",999,'3-man'!$BF$32)),H94-35,IF(AND(LEFT('3-man'!H$47,3)="ST&gt;",H94&gt;=100,'3-man'!H$46&lt;=IF('3-man'!$BF$32="",999,'3-man'!$BF$32)),0,IF(AND(OR(AND('3-man'!H$48="ST&gt;1",H102&gt;=100),AND('3-man'!H$49="ST&gt;1",H110&gt;=100)),'3-man'!H$46&lt;=IF('3-man'!$BF$32="",999,'3-man'!$BF$32)),100,H94)))))</f>
        <v/>
      </c>
      <c r="I95">
        <f>IF('3-man'!I$47="R",MIN(100,I94+10),IF('3-man'!I$47="P",MIN(100,I94+25),IF(AND('3-man'!I$47="D",I94&gt;=35,'3-man'!I$46&lt;=IF('3-man'!$BF$32="",999,'3-man'!$BF$32)),I94-35,IF(AND(LEFT('3-man'!I$47,3)="ST&gt;",I94&gt;=100,'3-man'!I$46&lt;=IF('3-man'!$BF$32="",999,'3-man'!$BF$32)),0,IF(AND(OR(AND('3-man'!I$48="ST&gt;1",I102&gt;=100),AND('3-man'!I$49="ST&gt;1",I110&gt;=100)),'3-man'!I$46&lt;=IF('3-man'!$BF$32="",999,'3-man'!$BF$32)),100,I94)))))</f>
        <v/>
      </c>
      <c r="J95">
        <f>IF('3-man'!J$47="R",MIN(100,J94+10),IF('3-man'!J$47="P",MIN(100,J94+25),IF(AND('3-man'!J$47="D",J94&gt;=35,'3-man'!J$46&lt;=IF('3-man'!$BF$32="",999,'3-man'!$BF$32)),J94-35,IF(AND(LEFT('3-man'!J$47,3)="ST&gt;",J94&gt;=100,'3-man'!J$46&lt;=IF('3-man'!$BF$32="",999,'3-man'!$BF$32)),0,IF(AND(OR(AND('3-man'!J$48="ST&gt;1",J102&gt;=100),AND('3-man'!J$49="ST&gt;1",J110&gt;=100)),'3-man'!J$46&lt;=IF('3-man'!$BF$32="",999,'3-man'!$BF$32)),100,J94)))))</f>
        <v/>
      </c>
      <c r="K95">
        <f>IF('3-man'!K$47="R",MIN(100,K94+10),IF('3-man'!K$47="P",MIN(100,K94+25),IF(AND('3-man'!K$47="D",K94&gt;=35,'3-man'!K$46&lt;=IF('3-man'!$BF$32="",999,'3-man'!$BF$32)),K94-35,IF(AND(LEFT('3-man'!K$47,3)="ST&gt;",K94&gt;=100,'3-man'!K$46&lt;=IF('3-man'!$BF$32="",999,'3-man'!$BF$32)),0,IF(AND(OR(AND('3-man'!K$48="ST&gt;1",K102&gt;=100),AND('3-man'!K$49="ST&gt;1",K110&gt;=100)),'3-man'!K$46&lt;=IF('3-man'!$BF$32="",999,'3-man'!$BF$32)),100,K94)))))</f>
        <v/>
      </c>
      <c r="L95">
        <f>IF('3-man'!L$47="R",MIN(100,L94+10),IF('3-man'!L$47="P",MIN(100,L94+25),IF(AND('3-man'!L$47="D",L94&gt;=35,'3-man'!L$46&lt;=IF('3-man'!$BF$32="",999,'3-man'!$BF$32)),L94-35,IF(AND(LEFT('3-man'!L$47,3)="ST&gt;",L94&gt;=100,'3-man'!L$46&lt;=IF('3-man'!$BF$32="",999,'3-man'!$BF$32)),0,IF(AND(OR(AND('3-man'!L$48="ST&gt;1",L102&gt;=100),AND('3-man'!L$49="ST&gt;1",L110&gt;=100)),'3-man'!L$46&lt;=IF('3-man'!$BF$32="",999,'3-man'!$BF$32)),100,L94)))))</f>
        <v/>
      </c>
      <c r="M95">
        <f>IF('3-man'!M$47="R",MIN(100,M94+10),IF('3-man'!M$47="P",MIN(100,M94+25),IF(AND('3-man'!M$47="D",M94&gt;=35,'3-man'!M$46&lt;=IF('3-man'!$BF$32="",999,'3-man'!$BF$32)),M94-35,IF(AND(LEFT('3-man'!M$47,3)="ST&gt;",M94&gt;=100,'3-man'!M$46&lt;=IF('3-man'!$BF$32="",999,'3-man'!$BF$32)),0,IF(AND(OR(AND('3-man'!M$48="ST&gt;1",M102&gt;=100),AND('3-man'!M$49="ST&gt;1",M110&gt;=100)),'3-man'!M$46&lt;=IF('3-man'!$BF$32="",999,'3-man'!$BF$32)),100,M94)))))</f>
        <v/>
      </c>
      <c r="N95">
        <f>IF('3-man'!N$47="R",MIN(100,N94+10),IF('3-man'!N$47="P",MIN(100,N94+25),IF(AND('3-man'!N$47="D",N94&gt;=35,'3-man'!N$46&lt;=IF('3-man'!$BF$32="",999,'3-man'!$BF$32)),N94-35,IF(AND(LEFT('3-man'!N$47,3)="ST&gt;",N94&gt;=100,'3-man'!N$46&lt;=IF('3-man'!$BF$32="",999,'3-man'!$BF$32)),0,IF(AND(OR(AND('3-man'!N$48="ST&gt;1",N102&gt;=100),AND('3-man'!N$49="ST&gt;1",N110&gt;=100)),'3-man'!N$46&lt;=IF('3-man'!$BF$32="",999,'3-man'!$BF$32)),100,N94)))))</f>
        <v/>
      </c>
      <c r="O95">
        <f>IF('3-man'!O$47="R",MIN(100,O94+10),IF('3-man'!O$47="P",MIN(100,O94+25),IF(AND('3-man'!O$47="D",O94&gt;=35,'3-man'!O$46&lt;=IF('3-man'!$BF$32="",999,'3-man'!$BF$32)),O94-35,IF(AND(LEFT('3-man'!O$47,3)="ST&gt;",O94&gt;=100,'3-man'!O$46&lt;=IF('3-man'!$BF$32="",999,'3-man'!$BF$32)),0,IF(AND(OR(AND('3-man'!O$48="ST&gt;1",O102&gt;=100),AND('3-man'!O$49="ST&gt;1",O110&gt;=100)),'3-man'!O$46&lt;=IF('3-man'!$BF$32="",999,'3-man'!$BF$32)),100,O94)))))</f>
        <v/>
      </c>
      <c r="P95">
        <f>IF('3-man'!P$47="R",MIN(100,P94+10),IF('3-man'!P$47="P",MIN(100,P94+25),IF(AND('3-man'!P$47="D",P94&gt;=35,'3-man'!P$46&lt;=IF('3-man'!$BF$32="",999,'3-man'!$BF$32)),P94-35,IF(AND(LEFT('3-man'!P$47,3)="ST&gt;",P94&gt;=100,'3-man'!P$46&lt;=IF('3-man'!$BF$32="",999,'3-man'!$BF$32)),0,IF(AND(OR(AND('3-man'!P$48="ST&gt;1",P102&gt;=100),AND('3-man'!P$49="ST&gt;1",P110&gt;=100)),'3-man'!P$46&lt;=IF('3-man'!$BF$32="",999,'3-man'!$BF$32)),100,P94)))))</f>
        <v/>
      </c>
      <c r="Q95">
        <f>IF('3-man'!Q$47="R",MIN(100,Q94+10),IF('3-man'!Q$47="P",MIN(100,Q94+25),IF(AND('3-man'!Q$47="D",Q94&gt;=35,'3-man'!Q$46&lt;=IF('3-man'!$BF$32="",999,'3-man'!$BF$32)),Q94-35,IF(AND(LEFT('3-man'!Q$47,3)="ST&gt;",Q94&gt;=100,'3-man'!Q$46&lt;=IF('3-man'!$BF$32="",999,'3-man'!$BF$32)),0,IF(AND(OR(AND('3-man'!Q$48="ST&gt;1",Q102&gt;=100),AND('3-man'!Q$49="ST&gt;1",Q110&gt;=100)),'3-man'!Q$46&lt;=IF('3-man'!$BF$32="",999,'3-man'!$BF$32)),100,Q94)))))</f>
        <v/>
      </c>
      <c r="R95">
        <f>IF('3-man'!R$47="R",MIN(100,R94+10),IF('3-man'!R$47="P",MIN(100,R94+25),IF(AND('3-man'!R$47="D",R94&gt;=35,'3-man'!R$46&lt;=IF('3-man'!$BF$32="",999,'3-man'!$BF$32)),R94-35,IF(AND(LEFT('3-man'!R$47,3)="ST&gt;",R94&gt;=100,'3-man'!R$46&lt;=IF('3-man'!$BF$32="",999,'3-man'!$BF$32)),0,IF(AND(OR(AND('3-man'!R$48="ST&gt;1",R102&gt;=100),AND('3-man'!R$49="ST&gt;1",R110&gt;=100)),'3-man'!R$46&lt;=IF('3-man'!$BF$32="",999,'3-man'!$BF$32)),100,R94)))))</f>
        <v/>
      </c>
      <c r="S95">
        <f>IF('3-man'!S$47="R",MIN(100,S94+10),IF('3-man'!S$47="P",MIN(100,S94+25),IF(AND('3-man'!S$47="D",S94&gt;=35,'3-man'!S$46&lt;=IF('3-man'!$BF$32="",999,'3-man'!$BF$32)),S94-35,IF(AND(LEFT('3-man'!S$47,3)="ST&gt;",S94&gt;=100,'3-man'!S$46&lt;=IF('3-man'!$BF$32="",999,'3-man'!$BF$32)),0,IF(AND(OR(AND('3-man'!S$48="ST&gt;1",S102&gt;=100),AND('3-man'!S$49="ST&gt;1",S110&gt;=100)),'3-man'!S$46&lt;=IF('3-man'!$BF$32="",999,'3-man'!$BF$32)),100,S94)))))</f>
        <v/>
      </c>
      <c r="T95">
        <f>IF('3-man'!T$47="R",MIN(100,T94+10),IF('3-man'!T$47="P",MIN(100,T94+25),IF(AND('3-man'!T$47="D",T94&gt;=35,'3-man'!T$46&lt;=IF('3-man'!$BF$32="",999,'3-man'!$BF$32)),T94-35,IF(AND(LEFT('3-man'!T$47,3)="ST&gt;",T94&gt;=100,'3-man'!T$46&lt;=IF('3-man'!$BF$32="",999,'3-man'!$BF$32)),0,IF(AND(OR(AND('3-man'!T$48="ST&gt;1",T102&gt;=100),AND('3-man'!T$49="ST&gt;1",T110&gt;=100)),'3-man'!T$46&lt;=IF('3-man'!$BF$32="",999,'3-man'!$BF$32)),100,T94)))))</f>
        <v/>
      </c>
      <c r="U95">
        <f>IF('3-man'!U$47="R",MIN(100,U94+10),IF('3-man'!U$47="P",MIN(100,U94+25),IF(AND('3-man'!U$47="D",U94&gt;=35,'3-man'!U$46&lt;=IF('3-man'!$BF$32="",999,'3-man'!$BF$32)),U94-35,IF(AND(LEFT('3-man'!U$47,3)="ST&gt;",U94&gt;=100,'3-man'!U$46&lt;=IF('3-man'!$BF$32="",999,'3-man'!$BF$32)),0,IF(AND(OR(AND('3-man'!U$48="ST&gt;1",U102&gt;=100),AND('3-man'!U$49="ST&gt;1",U110&gt;=100)),'3-man'!U$46&lt;=IF('3-man'!$BF$32="",999,'3-man'!$BF$32)),100,U94)))))</f>
        <v/>
      </c>
      <c r="V95">
        <f>IF('3-man'!V$47="R",MIN(100,V94+10),IF('3-man'!V$47="P",MIN(100,V94+25),IF(AND('3-man'!V$47="D",V94&gt;=35,'3-man'!V$46&lt;=IF('3-man'!$BF$32="",999,'3-man'!$BF$32)),V94-35,IF(AND(LEFT('3-man'!V$47,3)="ST&gt;",V94&gt;=100,'3-man'!V$46&lt;=IF('3-man'!$BF$32="",999,'3-man'!$BF$32)),0,IF(AND(OR(AND('3-man'!V$48="ST&gt;1",V102&gt;=100),AND('3-man'!V$49="ST&gt;1",V110&gt;=100)),'3-man'!V$46&lt;=IF('3-man'!$BF$32="",999,'3-man'!$BF$32)),100,V94)))))</f>
        <v/>
      </c>
      <c r="W95">
        <f>IF('3-man'!W$47="R",MIN(100,W94+10),IF('3-man'!W$47="P",MIN(100,W94+25),IF(AND('3-man'!W$47="D",W94&gt;=35,'3-man'!W$46&lt;=IF('3-man'!$BF$32="",999,'3-man'!$BF$32)),W94-35,IF(AND(LEFT('3-man'!W$47,3)="ST&gt;",W94&gt;=100,'3-man'!W$46&lt;=IF('3-man'!$BF$32="",999,'3-man'!$BF$32)),0,IF(AND(OR(AND('3-man'!W$48="ST&gt;1",W102&gt;=100),AND('3-man'!W$49="ST&gt;1",W110&gt;=100)),'3-man'!W$46&lt;=IF('3-man'!$BF$32="",999,'3-man'!$BF$32)),100,W94)))))</f>
        <v/>
      </c>
      <c r="X95">
        <f>IF('3-man'!X$47="R",MIN(100,X94+10),IF('3-man'!X$47="P",MIN(100,X94+25),IF(AND('3-man'!X$47="D",X94&gt;=35,'3-man'!X$46&lt;=IF('3-man'!$BF$32="",999,'3-man'!$BF$32)),X94-35,IF(AND(LEFT('3-man'!X$47,3)="ST&gt;",X94&gt;=100,'3-man'!X$46&lt;=IF('3-man'!$BF$32="",999,'3-man'!$BF$32)),0,IF(AND(OR(AND('3-man'!X$48="ST&gt;1",X102&gt;=100),AND('3-man'!X$49="ST&gt;1",X110&gt;=100)),'3-man'!X$46&lt;=IF('3-man'!$BF$32="",999,'3-man'!$BF$32)),100,X94)))))</f>
        <v/>
      </c>
      <c r="Y95">
        <f>IF('3-man'!Y$47="R",MIN(100,Y94+10),IF('3-man'!Y$47="P",MIN(100,Y94+25),IF(AND('3-man'!Y$47="D",Y94&gt;=35,'3-man'!Y$46&lt;=IF('3-man'!$BF$32="",999,'3-man'!$BF$32)),Y94-35,IF(AND(LEFT('3-man'!Y$47,3)="ST&gt;",Y94&gt;=100,'3-man'!Y$46&lt;=IF('3-man'!$BF$32="",999,'3-man'!$BF$32)),0,IF(AND(OR(AND('3-man'!Y$48="ST&gt;1",Y102&gt;=100),AND('3-man'!Y$49="ST&gt;1",Y110&gt;=100)),'3-man'!Y$46&lt;=IF('3-man'!$BF$32="",999,'3-man'!$BF$32)),100,Y94)))))</f>
        <v/>
      </c>
      <c r="Z95">
        <f>IF('3-man'!Z$47="R",MIN(100,Z94+10),IF('3-man'!Z$47="P",MIN(100,Z94+25),IF(AND('3-man'!Z$47="D",Z94&gt;=35,'3-man'!Z$46&lt;=IF('3-man'!$BF$32="",999,'3-man'!$BF$32)),Z94-35,IF(AND(LEFT('3-man'!Z$47,3)="ST&gt;",Z94&gt;=100,'3-man'!Z$46&lt;=IF('3-man'!$BF$32="",999,'3-man'!$BF$32)),0,IF(AND(OR(AND('3-man'!Z$48="ST&gt;1",Z102&gt;=100),AND('3-man'!Z$49="ST&gt;1",Z110&gt;=100)),'3-man'!Z$46&lt;=IF('3-man'!$BF$32="",999,'3-man'!$BF$32)),100,Z94)))))</f>
        <v/>
      </c>
      <c r="AA95">
        <f>IF('3-man'!AA$47="R",MIN(100,AA94+10),IF('3-man'!AA$47="P",MIN(100,AA94+25),IF(AND('3-man'!AA$47="D",AA94&gt;=35,'3-man'!AA$46&lt;=IF('3-man'!$BF$32="",999,'3-man'!$BF$32)),AA94-35,IF(AND(LEFT('3-man'!AA$47,3)="ST&gt;",AA94&gt;=100,'3-man'!AA$46&lt;=IF('3-man'!$BF$32="",999,'3-man'!$BF$32)),0,IF(AND(OR(AND('3-man'!AA$48="ST&gt;1",AA102&gt;=100),AND('3-man'!AA$49="ST&gt;1",AA110&gt;=100)),'3-man'!AA$46&lt;=IF('3-man'!$BF$32="",999,'3-man'!$BF$32)),100,AA94)))))</f>
        <v/>
      </c>
      <c r="AB95">
        <f>IF('3-man'!AB$47="R",MIN(100,AB94+10),IF('3-man'!AB$47="P",MIN(100,AB94+25),IF(AND('3-man'!AB$47="D",AB94&gt;=35,'3-man'!AB$46&lt;=IF('3-man'!$BF$32="",999,'3-man'!$BF$32)),AB94-35,IF(AND(LEFT('3-man'!AB$47,3)="ST&gt;",AB94&gt;=100,'3-man'!AB$46&lt;=IF('3-man'!$BF$32="",999,'3-man'!$BF$32)),0,IF(AND(OR(AND('3-man'!AB$48="ST&gt;1",AB102&gt;=100),AND('3-man'!AB$49="ST&gt;1",AB110&gt;=100)),'3-man'!AB$46&lt;=IF('3-man'!$BF$32="",999,'3-man'!$BF$32)),100,AB94)))))</f>
        <v/>
      </c>
      <c r="AC95">
        <f>IF('3-man'!AC$47="R",MIN(100,AC94+10),IF('3-man'!AC$47="P",MIN(100,AC94+25),IF(AND('3-man'!AC$47="D",AC94&gt;=35,'3-man'!AC$46&lt;=IF('3-man'!$BF$32="",999,'3-man'!$BF$32)),AC94-35,IF(AND(LEFT('3-man'!AC$47,3)="ST&gt;",AC94&gt;=100,'3-man'!AC$46&lt;=IF('3-man'!$BF$32="",999,'3-man'!$BF$32)),0,IF(AND(OR(AND('3-man'!AC$48="ST&gt;1",AC102&gt;=100),AND('3-man'!AC$49="ST&gt;1",AC110&gt;=100)),'3-man'!AC$46&lt;=IF('3-man'!$BF$32="",999,'3-man'!$BF$32)),100,AC94)))))</f>
        <v/>
      </c>
      <c r="AD95">
        <f>IF('3-man'!AD$47="R",MIN(100,AD94+10),IF('3-man'!AD$47="P",MIN(100,AD94+25),IF(AND('3-man'!AD$47="D",AD94&gt;=35,'3-man'!AD$46&lt;=IF('3-man'!$BF$32="",999,'3-man'!$BF$32)),AD94-35,IF(AND(LEFT('3-man'!AD$47,3)="ST&gt;",AD94&gt;=100,'3-man'!AD$46&lt;=IF('3-man'!$BF$32="",999,'3-man'!$BF$32)),0,IF(AND(OR(AND('3-man'!AD$48="ST&gt;1",AD102&gt;=100),AND('3-man'!AD$49="ST&gt;1",AD110&gt;=100)),'3-man'!AD$46&lt;=IF('3-man'!$BF$32="",999,'3-man'!$BF$32)),100,AD94)))))</f>
        <v/>
      </c>
      <c r="AE95">
        <f>IF('3-man'!AE$47="R",MIN(100,AE94+10),IF('3-man'!AE$47="P",MIN(100,AE94+25),IF(AND('3-man'!AE$47="D",AE94&gt;=35,'3-man'!AE$46&lt;=IF('3-man'!$BF$32="",999,'3-man'!$BF$32)),AE94-35,IF(AND(LEFT('3-man'!AE$47,3)="ST&gt;",AE94&gt;=100,'3-man'!AE$46&lt;=IF('3-man'!$BF$32="",999,'3-man'!$BF$32)),0,IF(AND(OR(AND('3-man'!AE$48="ST&gt;1",AE102&gt;=100),AND('3-man'!AE$49="ST&gt;1",AE110&gt;=100)),'3-man'!AE$46&lt;=IF('3-man'!$BF$32="",999,'3-man'!$BF$32)),100,AE94)))))</f>
        <v/>
      </c>
      <c r="AF95">
        <f>IF('3-man'!AF$47="R",MIN(100,AF94+10),IF('3-man'!AF$47="P",MIN(100,AF94+25),IF(AND('3-man'!AF$47="D",AF94&gt;=35,'3-man'!AF$46&lt;=IF('3-man'!$BF$32="",999,'3-man'!$BF$32)),AF94-35,IF(AND(LEFT('3-man'!AF$47,3)="ST&gt;",AF94&gt;=100,'3-man'!AF$46&lt;=IF('3-man'!$BF$32="",999,'3-man'!$BF$32)),0,IF(AND(OR(AND('3-man'!AF$48="ST&gt;1",AF102&gt;=100),AND('3-man'!AF$49="ST&gt;1",AF110&gt;=100)),'3-man'!AF$46&lt;=IF('3-man'!$BF$32="",999,'3-man'!$BF$32)),100,AF94)))))</f>
        <v/>
      </c>
      <c r="AG95">
        <f>IF('3-man'!AG$47="R",MIN(100,AG94+10),IF('3-man'!AG$47="P",MIN(100,AG94+25),IF(AND('3-man'!AG$47="D",AG94&gt;=35,'3-man'!AG$46&lt;=IF('3-man'!$BF$32="",999,'3-man'!$BF$32)),AG94-35,IF(AND(LEFT('3-man'!AG$47,3)="ST&gt;",AG94&gt;=100,'3-man'!AG$46&lt;=IF('3-man'!$BF$32="",999,'3-man'!$BF$32)),0,IF(AND(OR(AND('3-man'!AG$48="ST&gt;1",AG102&gt;=100),AND('3-man'!AG$49="ST&gt;1",AG110&gt;=100)),'3-man'!AG$46&lt;=IF('3-man'!$BF$32="",999,'3-man'!$BF$32)),100,AG94)))))</f>
        <v/>
      </c>
      <c r="AH95">
        <f>IF('3-man'!AH$47="R",MIN(100,AH94+10),IF('3-man'!AH$47="P",MIN(100,AH94+25),IF(AND('3-man'!AH$47="D",AH94&gt;=35,'3-man'!AH$46&lt;=IF('3-man'!$BF$32="",999,'3-man'!$BF$32)),AH94-35,IF(AND(LEFT('3-man'!AH$47,3)="ST&gt;",AH94&gt;=100,'3-man'!AH$46&lt;=IF('3-man'!$BF$32="",999,'3-man'!$BF$32)),0,IF(AND(OR(AND('3-man'!AH$48="ST&gt;1",AH102&gt;=100),AND('3-man'!AH$49="ST&gt;1",AH110&gt;=100)),'3-man'!AH$46&lt;=IF('3-man'!$BF$32="",999,'3-man'!$BF$32)),100,AH94)))))</f>
        <v/>
      </c>
      <c r="AI95">
        <f>IF('3-man'!AI$47="R",MIN(100,AI94+10),IF('3-man'!AI$47="P",MIN(100,AI94+25),IF(AND('3-man'!AI$47="D",AI94&gt;=35,'3-man'!AI$46&lt;=IF('3-man'!$BF$32="",999,'3-man'!$BF$32)),AI94-35,IF(AND(LEFT('3-man'!AI$47,3)="ST&gt;",AI94&gt;=100,'3-man'!AI$46&lt;=IF('3-man'!$BF$32="",999,'3-man'!$BF$32)),0,IF(AND(OR(AND('3-man'!AI$48="ST&gt;1",AI102&gt;=100),AND('3-man'!AI$49="ST&gt;1",AI110&gt;=100)),'3-man'!AI$46&lt;=IF('3-man'!$BF$32="",999,'3-man'!$BF$32)),100,AI94)))))</f>
        <v/>
      </c>
      <c r="AJ95">
        <f>IF('3-man'!AJ$47="R",MIN(100,AJ94+10),IF('3-man'!AJ$47="P",MIN(100,AJ94+25),IF(AND('3-man'!AJ$47="D",AJ94&gt;=35,'3-man'!AJ$46&lt;=IF('3-man'!$BF$32="",999,'3-man'!$BF$32)),AJ94-35,IF(AND(LEFT('3-man'!AJ$47,3)="ST&gt;",AJ94&gt;=100,'3-man'!AJ$46&lt;=IF('3-man'!$BF$32="",999,'3-man'!$BF$32)),0,IF(AND(OR(AND('3-man'!AJ$48="ST&gt;1",AJ102&gt;=100),AND('3-man'!AJ$49="ST&gt;1",AJ110&gt;=100)),'3-man'!AJ$46&lt;=IF('3-man'!$BF$32="",999,'3-man'!$BF$32)),100,AJ94)))))</f>
        <v/>
      </c>
      <c r="AK95">
        <f>IF('3-man'!AK$47="R",MIN(100,AK94+10),IF('3-man'!AK$47="P",MIN(100,AK94+25),IF(AND('3-man'!AK$47="D",AK94&gt;=35,'3-man'!AK$46&lt;=IF('3-man'!$BF$32="",999,'3-man'!$BF$32)),AK94-35,IF(AND(LEFT('3-man'!AK$47,3)="ST&gt;",AK94&gt;=100,'3-man'!AK$46&lt;=IF('3-man'!$BF$32="",999,'3-man'!$BF$32)),0,IF(AND(OR(AND('3-man'!AK$48="ST&gt;1",AK102&gt;=100),AND('3-man'!AK$49="ST&gt;1",AK110&gt;=100)),'3-man'!AK$46&lt;=IF('3-man'!$BF$32="",999,'3-man'!$BF$32)),100,AK94)))))</f>
        <v/>
      </c>
      <c r="AL95">
        <f>IF('3-man'!AL$47="R",MIN(100,AL94+10),IF('3-man'!AL$47="P",MIN(100,AL94+25),IF(AND('3-man'!AL$47="D",AL94&gt;=35,'3-man'!AL$46&lt;=IF('3-man'!$BF$32="",999,'3-man'!$BF$32)),AL94-35,IF(AND(LEFT('3-man'!AL$47,3)="ST&gt;",AL94&gt;=100,'3-man'!AL$46&lt;=IF('3-man'!$BF$32="",999,'3-man'!$BF$32)),0,IF(AND(OR(AND('3-man'!AL$48="ST&gt;1",AL102&gt;=100),AND('3-man'!AL$49="ST&gt;1",AL110&gt;=100)),'3-man'!AL$46&lt;=IF('3-man'!$BF$32="",999,'3-man'!$BF$32)),100,AL94)))))</f>
        <v/>
      </c>
      <c r="AM95">
        <f>IF('3-man'!AM$47="R",MIN(100,AM94+10),IF('3-man'!AM$47="P",MIN(100,AM94+25),IF(AND('3-man'!AM$47="D",AM94&gt;=35,'3-man'!AM$46&lt;=IF('3-man'!$BF$32="",999,'3-man'!$BF$32)),AM94-35,IF(AND(LEFT('3-man'!AM$47,3)="ST&gt;",AM94&gt;=100,'3-man'!AM$46&lt;=IF('3-man'!$BF$32="",999,'3-man'!$BF$32)),0,IF(AND(OR(AND('3-man'!AM$48="ST&gt;1",AM102&gt;=100),AND('3-man'!AM$49="ST&gt;1",AM110&gt;=100)),'3-man'!AM$46&lt;=IF('3-man'!$BF$32="",999,'3-man'!$BF$32)),100,AM94)))))</f>
        <v/>
      </c>
      <c r="AN95">
        <f>IF('3-man'!AN$47="R",MIN(100,AN94+10),IF('3-man'!AN$47="P",MIN(100,AN94+25),IF(AND('3-man'!AN$47="D",AN94&gt;=35,'3-man'!AN$46&lt;=IF('3-man'!$BF$32="",999,'3-man'!$BF$32)),AN94-35,IF(AND(LEFT('3-man'!AN$47,3)="ST&gt;",AN94&gt;=100,'3-man'!AN$46&lt;=IF('3-man'!$BF$32="",999,'3-man'!$BF$32)),0,IF(AND(OR(AND('3-man'!AN$48="ST&gt;1",AN102&gt;=100),AND('3-man'!AN$49="ST&gt;1",AN110&gt;=100)),'3-man'!AN$46&lt;=IF('3-man'!$BF$32="",999,'3-man'!$BF$32)),100,AN94)))))</f>
        <v/>
      </c>
      <c r="AO95">
        <f>IF('3-man'!AO$47="R",MIN(100,AO94+10),IF('3-man'!AO$47="P",MIN(100,AO94+25),IF(AND('3-man'!AO$47="D",AO94&gt;=35,'3-man'!AO$46&lt;=IF('3-man'!$BF$32="",999,'3-man'!$BF$32)),AO94-35,IF(AND(LEFT('3-man'!AO$47,3)="ST&gt;",AO94&gt;=100,'3-man'!AO$46&lt;=IF('3-man'!$BF$32="",999,'3-man'!$BF$32)),0,IF(AND(OR(AND('3-man'!AO$48="ST&gt;1",AO102&gt;=100),AND('3-man'!AO$49="ST&gt;1",AO110&gt;=100)),'3-man'!AO$46&lt;=IF('3-man'!$BF$32="",999,'3-man'!$BF$32)),100,AO94)))))</f>
        <v/>
      </c>
      <c r="AP95">
        <f>IF('3-man'!AP$47="R",MIN(100,AP94+10),IF('3-man'!AP$47="P",MIN(100,AP94+25),IF(AND('3-man'!AP$47="D",AP94&gt;=35,'3-man'!AP$46&lt;=IF('3-man'!$BF$32="",999,'3-man'!$BF$32)),AP94-35,IF(AND(LEFT('3-man'!AP$47,3)="ST&gt;",AP94&gt;=100,'3-man'!AP$46&lt;=IF('3-man'!$BF$32="",999,'3-man'!$BF$32)),0,IF(AND(OR(AND('3-man'!AP$48="ST&gt;1",AP102&gt;=100),AND('3-man'!AP$49="ST&gt;1",AP110&gt;=100)),'3-man'!AP$46&lt;=IF('3-man'!$BF$32="",999,'3-man'!$BF$32)),100,AP94)))))</f>
        <v/>
      </c>
      <c r="AQ95">
        <f>IF('3-man'!AQ$47="R",MIN(100,AQ94+10),IF('3-man'!AQ$47="P",MIN(100,AQ94+25),IF(AND('3-man'!AQ$47="D",AQ94&gt;=35,'3-man'!AQ$46&lt;=IF('3-man'!$BF$32="",999,'3-man'!$BF$32)),AQ94-35,IF(AND(LEFT('3-man'!AQ$47,3)="ST&gt;",AQ94&gt;=100,'3-man'!AQ$46&lt;=IF('3-man'!$BF$32="",999,'3-man'!$BF$32)),0,IF(AND(OR(AND('3-man'!AQ$48="ST&gt;1",AQ102&gt;=100),AND('3-man'!AQ$49="ST&gt;1",AQ110&gt;=100)),'3-man'!AQ$46&lt;=IF('3-man'!$BF$32="",999,'3-man'!$BF$32)),100,AQ94)))))</f>
        <v/>
      </c>
      <c r="AR95">
        <f>IF('3-man'!AR$47="R",MIN(100,AR94+10),IF('3-man'!AR$47="P",MIN(100,AR94+25),IF(AND('3-man'!AR$47="D",AR94&gt;=35,'3-man'!AR$46&lt;=IF('3-man'!$BF$32="",999,'3-man'!$BF$32)),AR94-35,IF(AND(LEFT('3-man'!AR$47,3)="ST&gt;",AR94&gt;=100,'3-man'!AR$46&lt;=IF('3-man'!$BF$32="",999,'3-man'!$BF$32)),0,IF(AND(OR(AND('3-man'!AR$48="ST&gt;1",AR102&gt;=100),AND('3-man'!AR$49="ST&gt;1",AR110&gt;=100)),'3-man'!AR$46&lt;=IF('3-man'!$BF$32="",999,'3-man'!$BF$32)),100,AR94)))))</f>
        <v/>
      </c>
      <c r="AS95">
        <f>IF('3-man'!AS$47="R",MIN(100,AS94+10),IF('3-man'!AS$47="P",MIN(100,AS94+25),IF(AND('3-man'!AS$47="D",AS94&gt;=35,'3-man'!AS$46&lt;=IF('3-man'!$BF$32="",999,'3-man'!$BF$32)),AS94-35,IF(AND(LEFT('3-man'!AS$47,3)="ST&gt;",AS94&gt;=100,'3-man'!AS$46&lt;=IF('3-man'!$BF$32="",999,'3-man'!$BF$32)),0,IF(AND(OR(AND('3-man'!AS$48="ST&gt;1",AS102&gt;=100),AND('3-man'!AS$49="ST&gt;1",AS110&gt;=100)),'3-man'!AS$46&lt;=IF('3-man'!$BF$32="",999,'3-man'!$BF$32)),100,AS94)))))</f>
        <v/>
      </c>
      <c r="AT95">
        <f>IF('3-man'!AT$47="R",MIN(100,AT94+10),IF('3-man'!AT$47="P",MIN(100,AT94+25),IF(AND('3-man'!AT$47="D",AT94&gt;=35,'3-man'!AT$46&lt;=IF('3-man'!$BF$32="",999,'3-man'!$BF$32)),AT94-35,IF(AND(LEFT('3-man'!AT$47,3)="ST&gt;",AT94&gt;=100,'3-man'!AT$46&lt;=IF('3-man'!$BF$32="",999,'3-man'!$BF$32)),0,IF(AND(OR(AND('3-man'!AT$48="ST&gt;1",AT102&gt;=100),AND('3-man'!AT$49="ST&gt;1",AT110&gt;=100)),'3-man'!AT$46&lt;=IF('3-man'!$BF$32="",999,'3-man'!$BF$32)),100,AT94)))))</f>
        <v/>
      </c>
      <c r="AU95">
        <f>IF('3-man'!AU$47="R",MIN(100,AU94+10),IF('3-man'!AU$47="P",MIN(100,AU94+25),IF(AND('3-man'!AU$47="D",AU94&gt;=35,'3-man'!AU$46&lt;=IF('3-man'!$BF$32="",999,'3-man'!$BF$32)),AU94-35,IF(AND(LEFT('3-man'!AU$47,3)="ST&gt;",AU94&gt;=100,'3-man'!AU$46&lt;=IF('3-man'!$BF$32="",999,'3-man'!$BF$32)),0,IF(AND(OR(AND('3-man'!AU$48="ST&gt;1",AU102&gt;=100),AND('3-man'!AU$49="ST&gt;1",AU110&gt;=100)),'3-man'!AU$46&lt;=IF('3-man'!$BF$32="",999,'3-man'!$BF$32)),100,AU94)))))</f>
        <v/>
      </c>
      <c r="AV95">
        <f>IF('3-man'!AV$47="R",MIN(100,AV94+10),IF('3-man'!AV$47="P",MIN(100,AV94+25),IF(AND('3-man'!AV$47="D",AV94&gt;=35,'3-man'!AV$46&lt;=IF('3-man'!$BF$32="",999,'3-man'!$BF$32)),AV94-35,IF(AND(LEFT('3-man'!AV$47,3)="ST&gt;",AV94&gt;=100,'3-man'!AV$46&lt;=IF('3-man'!$BF$32="",999,'3-man'!$BF$32)),0,IF(AND(OR(AND('3-man'!AV$48="ST&gt;1",AV102&gt;=100),AND('3-man'!AV$49="ST&gt;1",AV110&gt;=100)),'3-man'!AV$46&lt;=IF('3-man'!$BF$32="",999,'3-man'!$BF$32)),100,AV94)))))</f>
        <v/>
      </c>
      <c r="AW95">
        <f>IF('3-man'!AW$47="R",MIN(100,AW94+10),IF('3-man'!AW$47="P",MIN(100,AW94+25),IF(AND('3-man'!AW$47="D",AW94&gt;=35,'3-man'!AW$46&lt;=IF('3-man'!$BF$32="",999,'3-man'!$BF$32)),AW94-35,IF(AND(LEFT('3-man'!AW$47,3)="ST&gt;",AW94&gt;=100,'3-man'!AW$46&lt;=IF('3-man'!$BF$32="",999,'3-man'!$BF$32)),0,IF(AND(OR(AND('3-man'!AW$48="ST&gt;1",AW102&gt;=100),AND('3-man'!AW$49="ST&gt;1",AW110&gt;=100)),'3-man'!AW$46&lt;=IF('3-man'!$BF$32="",999,'3-man'!$BF$32)),100,AW94)))))</f>
        <v/>
      </c>
      <c r="AX95">
        <f>IF('3-man'!AX$47="R",MIN(100,AX94+10),IF('3-man'!AX$47="P",MIN(100,AX94+25),IF(AND('3-man'!AX$47="D",AX94&gt;=35,'3-man'!AX$46&lt;=IF('3-man'!$BF$32="",999,'3-man'!$BF$32)),AX94-35,IF(AND(LEFT('3-man'!AX$47,3)="ST&gt;",AX94&gt;=100,'3-man'!AX$46&lt;=IF('3-man'!$BF$32="",999,'3-man'!$BF$32)),0,IF(AND(OR(AND('3-man'!AX$48="ST&gt;1",AX102&gt;=100),AND('3-man'!AX$49="ST&gt;1",AX110&gt;=100)),'3-man'!AX$46&lt;=IF('3-man'!$BF$32="",999,'3-man'!$BF$32)),100,AX94)))))</f>
        <v/>
      </c>
      <c r="AY95">
        <f>IF('3-man'!AY$47="R",MIN(100,AY94+10),IF('3-man'!AY$47="P",MIN(100,AY94+25),IF(AND('3-man'!AY$47="D",AY94&gt;=35,'3-man'!AY$46&lt;=IF('3-man'!$BF$32="",999,'3-man'!$BF$32)),AY94-35,IF(AND(LEFT('3-man'!AY$47,3)="ST&gt;",AY94&gt;=100,'3-man'!AY$46&lt;=IF('3-man'!$BF$32="",999,'3-man'!$BF$32)),0,IF(AND(OR(AND('3-man'!AY$48="ST&gt;1",AY102&gt;=100),AND('3-man'!AY$49="ST&gt;1",AY110&gt;=100)),'3-man'!AY$46&lt;=IF('3-man'!$BF$32="",999,'3-man'!$BF$32)),100,AY94)))))</f>
        <v/>
      </c>
      <c r="AZ95">
        <f>IF('3-man'!AZ$47="R",MIN(100,AZ94+10),IF('3-man'!AZ$47="P",MIN(100,AZ94+25),IF(AND('3-man'!AZ$47="D",AZ94&gt;=35,'3-man'!AZ$46&lt;=IF('3-man'!$BF$32="",999,'3-man'!$BF$32)),AZ94-35,IF(AND(LEFT('3-man'!AZ$47,3)="ST&gt;",AZ94&gt;=100,'3-man'!AZ$46&lt;=IF('3-man'!$BF$32="",999,'3-man'!$BF$32)),0,IF(AND(OR(AND('3-man'!AZ$48="ST&gt;1",AZ102&gt;=100),AND('3-man'!AZ$49="ST&gt;1",AZ110&gt;=100)),'3-man'!AZ$46&lt;=IF('3-man'!$BF$32="",999,'3-man'!$BF$32)),100,AZ94)))))</f>
        <v/>
      </c>
      <c r="BA95">
        <f>IF('3-man'!BA$47="R",MIN(100,BA94+10),IF('3-man'!BA$47="P",MIN(100,BA94+25),IF(AND('3-man'!BA$47="D",BA94&gt;=35,'3-man'!BA$46&lt;=IF('3-man'!$BF$32="",999,'3-man'!$BF$32)),BA94-35,IF(AND(LEFT('3-man'!BA$47,3)="ST&gt;",BA94&gt;=100,'3-man'!BA$46&lt;=IF('3-man'!$BF$32="",999,'3-man'!$BF$32)),0,IF(AND(OR(AND('3-man'!BA$48="ST&gt;1",BA102&gt;=100),AND('3-man'!BA$49="ST&gt;1",BA110&gt;=100)),'3-man'!BA$46&lt;=IF('3-man'!$BF$32="",999,'3-man'!$BF$32)),100,BA94)))))</f>
        <v/>
      </c>
      <c r="BB95">
        <f>IF('3-man'!BB$47="R",MIN(100,BB94+10),IF('3-man'!BB$47="P",MIN(100,BB94+25),IF(AND('3-man'!BB$47="D",BB94&gt;=35,'3-man'!BB$46&lt;=IF('3-man'!$BF$32="",999,'3-man'!$BF$32)),BB94-35,IF(AND(LEFT('3-man'!BB$47,3)="ST&gt;",BB94&gt;=100,'3-man'!BB$46&lt;=IF('3-man'!$BF$32="",999,'3-man'!$BF$32)),0,IF(AND(OR(AND('3-man'!BB$48="ST&gt;1",BB102&gt;=100),AND('3-man'!BB$49="ST&gt;1",BB110&gt;=100)),'3-man'!BB$46&lt;=IF('3-man'!$BF$32="",999,'3-man'!$BF$32)),100,BB94)))))</f>
        <v/>
      </c>
      <c r="BC95">
        <f>IF('3-man'!BC$47="R",MIN(100,BC94+10),IF('3-man'!BC$47="P",MIN(100,BC94+25),IF(AND('3-man'!BC$47="D",BC94&gt;=35,'3-man'!BC$46&lt;=IF('3-man'!$BF$32="",999,'3-man'!$BF$32)),BC94-35,IF(AND(LEFT('3-man'!BC$47,3)="ST&gt;",BC94&gt;=100,'3-man'!BC$46&lt;=IF('3-man'!$BF$32="",999,'3-man'!$BF$32)),0,IF(AND(OR(AND('3-man'!BC$48="ST&gt;1",BC102&gt;=100),AND('3-man'!BC$49="ST&gt;1",BC110&gt;=100)),'3-man'!BC$46&lt;=IF('3-man'!$BF$32="",999,'3-man'!$BF$32)),100,BC94)))))</f>
        <v/>
      </c>
      <c r="BD95">
        <f>IF('3-man'!BD$47="R",MIN(100,BD94+10),IF('3-man'!BD$47="P",MIN(100,BD94+25),IF(AND('3-man'!BD$47="D",BD94&gt;=35,'3-man'!BD$46&lt;=IF('3-man'!$BF$32="",999,'3-man'!$BF$32)),BD94-35,IF(AND(LEFT('3-man'!BD$47,3)="ST&gt;",BD94&gt;=100,'3-man'!BD$46&lt;=IF('3-man'!$BF$32="",999,'3-man'!$BF$32)),0,IF(AND(OR(AND('3-man'!BD$48="ST&gt;1",BD102&gt;=100),AND('3-man'!BD$49="ST&gt;1",BD110&gt;=100)),'3-man'!BD$46&lt;=IF('3-man'!$BF$32="",999,'3-man'!$BF$32)),100,BD94)))))</f>
        <v/>
      </c>
      <c r="BE95">
        <f>IF('3-man'!BE$47="R",MIN(100,BE94+10),IF('3-man'!BE$47="P",MIN(100,BE94+25),IF(AND('3-man'!BE$47="D",BE94&gt;=35,'3-man'!BE$46&lt;=IF('3-man'!$BF$32="",999,'3-man'!$BF$32)),BE94-35,IF(AND(LEFT('3-man'!BE$47,3)="ST&gt;",BE94&gt;=100,'3-man'!BE$46&lt;=IF('3-man'!$BF$32="",999,'3-man'!$BF$32)),0,IF(AND(OR(AND('3-man'!BE$48="ST&gt;1",BE102&gt;=100),AND('3-man'!BE$49="ST&gt;1",BE110&gt;=100)),'3-man'!BE$46&lt;=IF('3-man'!$BF$32="",999,'3-man'!$BF$32)),100,BE94)))))</f>
        <v/>
      </c>
      <c r="BF95">
        <f>IF('3-man'!BF$47="R",MIN(100,BF94+10),IF('3-man'!BF$47="P",MIN(100,BF94+25),IF(AND('3-man'!BF$47="D",BF94&gt;=35,'3-man'!BF$46&lt;=IF('3-man'!$BF$32="",999,'3-man'!$BF$32)),BF94-35,IF(AND(LEFT('3-man'!BF$47,3)="ST&gt;",BF94&gt;=100,'3-man'!BF$46&lt;=IF('3-man'!$BF$32="",999,'3-man'!$BF$32)),0,IF(AND(OR(AND('3-man'!BF$48="ST&gt;1",BF102&gt;=100),AND('3-man'!BF$49="ST&gt;1",BF110&gt;=100)),'3-man'!BF$46&lt;=IF('3-man'!$BF$32="",999,'3-man'!$BF$32)),100,BF94)))))</f>
        <v/>
      </c>
      <c r="BG95">
        <f>IF('3-man'!BG$47="R",MIN(100,BG94+10),IF('3-man'!BG$47="P",MIN(100,BG94+25),IF(AND('3-man'!BG$47="D",BG94&gt;=35,'3-man'!BG$46&lt;=IF('3-man'!$BF$32="",999,'3-man'!$BF$32)),BG94-35,IF(AND(LEFT('3-man'!BG$47,3)="ST&gt;",BG94&gt;=100,'3-man'!BG$46&lt;=IF('3-man'!$BF$32="",999,'3-man'!$BF$32)),0,IF(AND(OR(AND('3-man'!BG$48="ST&gt;1",BG102&gt;=100),AND('3-man'!BG$49="ST&gt;1",BG110&gt;=100)),'3-man'!BG$46&lt;=IF('3-man'!$BF$32="",999,'3-man'!$BF$32)),100,BG94)))))</f>
        <v/>
      </c>
      <c r="BH95">
        <f>IF('3-man'!BH$47="R",MIN(100,BH94+10),IF('3-man'!BH$47="P",MIN(100,BH94+25),IF(AND('3-man'!BH$47="D",BH94&gt;=35,'3-man'!BH$46&lt;=IF('3-man'!$BF$32="",999,'3-man'!$BF$32)),BH94-35,IF(AND(LEFT('3-man'!BH$47,3)="ST&gt;",BH94&gt;=100,'3-man'!BH$46&lt;=IF('3-man'!$BF$32="",999,'3-man'!$BF$32)),0,IF(AND(OR(AND('3-man'!BH$48="ST&gt;1",BH102&gt;=100),AND('3-man'!BH$49="ST&gt;1",BH110&gt;=100)),'3-man'!BH$46&lt;=IF('3-man'!$BF$32="",999,'3-man'!$BF$32)),100,BH94)))))</f>
        <v/>
      </c>
      <c r="BI95">
        <f>IF('3-man'!BI$47="R",MIN(100,BI94+10),IF('3-man'!BI$47="P",MIN(100,BI94+25),IF(AND('3-man'!BI$47="D",BI94&gt;=35,'3-man'!BI$46&lt;=IF('3-man'!$BF$32="",999,'3-man'!$BF$32)),BI94-35,IF(AND(LEFT('3-man'!BI$47,3)="ST&gt;",BI94&gt;=100,'3-man'!BI$46&lt;=IF('3-man'!$BF$32="",999,'3-man'!$BF$32)),0,IF(AND(OR(AND('3-man'!BI$48="ST&gt;1",BI102&gt;=100),AND('3-man'!BI$49="ST&gt;1",BI110&gt;=100)),'3-man'!BI$46&lt;=IF('3-man'!$BF$32="",999,'3-man'!$BF$32)),100,BI94)))))</f>
        <v/>
      </c>
      <c r="BJ95">
        <f>IF('3-man'!BJ$47="R",MIN(100,BJ94+10),IF('3-man'!BJ$47="P",MIN(100,BJ94+25),IF(AND('3-man'!BJ$47="D",BJ94&gt;=35,'3-man'!BJ$46&lt;=IF('3-man'!$BF$32="",999,'3-man'!$BF$32)),BJ94-35,IF(AND(LEFT('3-man'!BJ$47,3)="ST&gt;",BJ94&gt;=100,'3-man'!BJ$46&lt;=IF('3-man'!$BF$32="",999,'3-man'!$BF$32)),0,IF(AND(OR(AND('3-man'!BJ$48="ST&gt;1",BJ102&gt;=100),AND('3-man'!BJ$49="ST&gt;1",BJ110&gt;=100)),'3-man'!BJ$46&lt;=IF('3-man'!$BF$32="",999,'3-man'!$BF$32)),100,BJ94)))))</f>
        <v/>
      </c>
      <c r="BK95">
        <f>IF('3-man'!BK$47="R",MIN(100,BK94+10),IF('3-man'!BK$47="P",MIN(100,BK94+25),IF(AND('3-man'!BK$47="D",BK94&gt;=35,'3-man'!BK$46&lt;=IF('3-man'!$BF$32="",999,'3-man'!$BF$32)),BK94-35,IF(AND(LEFT('3-man'!BK$47,3)="ST&gt;",BK94&gt;=100,'3-man'!BK$46&lt;=IF('3-man'!$BF$32="",999,'3-man'!$BF$32)),0,IF(AND(OR(AND('3-man'!BK$48="ST&gt;1",BK102&gt;=100),AND('3-man'!BK$49="ST&gt;1",BK110&gt;=100)),'3-man'!BK$46&lt;=IF('3-man'!$BF$32="",999,'3-man'!$BF$32)),100,BK94)))))</f>
        <v/>
      </c>
      <c r="BL95">
        <f>IF('3-man'!BL$47="R",MIN(100,BL94+10),IF('3-man'!BL$47="P",MIN(100,BL94+25),IF(AND('3-man'!BL$47="D",BL94&gt;=35,'3-man'!BL$46&lt;=IF('3-man'!$BF$32="",999,'3-man'!$BF$32)),BL94-35,IF(AND(LEFT('3-man'!BL$47,3)="ST&gt;",BL94&gt;=100,'3-man'!BL$46&lt;=IF('3-man'!$BF$32="",999,'3-man'!$BF$32)),0,IF(AND(OR(AND('3-man'!BL$48="ST&gt;1",BL102&gt;=100),AND('3-man'!BL$49="ST&gt;1",BL110&gt;=100)),'3-man'!BL$46&lt;=IF('3-man'!$BF$32="",999,'3-man'!$BF$32)),100,BL94)))))</f>
        <v/>
      </c>
      <c r="BM95">
        <f>IF('3-man'!BM$47="R",MIN(100,BM94+10),IF('3-man'!BM$47="P",MIN(100,BM94+25),IF(AND('3-man'!BM$47="D",BM94&gt;=35,'3-man'!BM$46&lt;=IF('3-man'!$BF$32="",999,'3-man'!$BF$32)),BM94-35,IF(AND(LEFT('3-man'!BM$47,3)="ST&gt;",BM94&gt;=100,'3-man'!BM$46&lt;=IF('3-man'!$BF$32="",999,'3-man'!$BF$32)),0,IF(AND(OR(AND('3-man'!BM$48="ST&gt;1",BM102&gt;=100),AND('3-man'!BM$49="ST&gt;1",BM110&gt;=100)),'3-man'!BM$46&lt;=IF('3-man'!$BF$32="",999,'3-man'!$BF$32)),100,BM94)))))</f>
        <v/>
      </c>
      <c r="BN95">
        <f>IF('3-man'!BN$47="R",MIN(100,BN94+10),IF('3-man'!BN$47="P",MIN(100,BN94+25),IF(AND('3-man'!BN$47="D",BN94&gt;=35,'3-man'!BN$46&lt;=IF('3-man'!$BF$32="",999,'3-man'!$BF$32)),BN94-35,IF(AND(LEFT('3-man'!BN$47,3)="ST&gt;",BN94&gt;=100,'3-man'!BN$46&lt;=IF('3-man'!$BF$32="",999,'3-man'!$BF$32)),0,IF(AND(OR(AND('3-man'!BN$48="ST&gt;1",BN102&gt;=100),AND('3-man'!BN$49="ST&gt;1",BN110&gt;=100)),'3-man'!BN$46&lt;=IF('3-man'!$BF$32="",999,'3-man'!$BF$32)),100,BN94)))))</f>
        <v/>
      </c>
      <c r="BO95">
        <f>IF('3-man'!BO$47="R",MIN(100,BO94+10),IF('3-man'!BO$47="P",MIN(100,BO94+25),IF(AND('3-man'!BO$47="D",BO94&gt;=35,'3-man'!BO$46&lt;=IF('3-man'!$BF$32="",999,'3-man'!$BF$32)),BO94-35,IF(AND(LEFT('3-man'!BO$47,3)="ST&gt;",BO94&gt;=100,'3-man'!BO$46&lt;=IF('3-man'!$BF$32="",999,'3-man'!$BF$32)),0,IF(AND(OR(AND('3-man'!BO$48="ST&gt;1",BO102&gt;=100),AND('3-man'!BO$49="ST&gt;1",BO110&gt;=100)),'3-man'!BO$46&lt;=IF('3-man'!$BF$32="",999,'3-man'!$BF$32)),100,BO94)))))</f>
        <v/>
      </c>
      <c r="BP95">
        <f>IF('3-man'!BP$47="R",MIN(100,BP94+10),IF('3-man'!BP$47="P",MIN(100,BP94+25),IF(AND('3-man'!BP$47="D",BP94&gt;=35,'3-man'!BP$46&lt;=IF('3-man'!$BF$32="",999,'3-man'!$BF$32)),BP94-35,IF(AND(LEFT('3-man'!BP$47,3)="ST&gt;",BP94&gt;=100,'3-man'!BP$46&lt;=IF('3-man'!$BF$32="",999,'3-man'!$BF$32)),0,IF(AND(OR(AND('3-man'!BP$48="ST&gt;1",BP102&gt;=100),AND('3-man'!BP$49="ST&gt;1",BP110&gt;=100)),'3-man'!BP$46&lt;=IF('3-man'!$BF$32="",999,'3-man'!$BF$32)),100,BP94)))))</f>
        <v/>
      </c>
      <c r="BQ95">
        <f>IF('3-man'!BQ$47="R",MIN(100,BQ94+10),IF('3-man'!BQ$47="P",MIN(100,BQ94+25),IF(AND('3-man'!BQ$47="D",BQ94&gt;=35,'3-man'!BQ$46&lt;=IF('3-man'!$BF$32="",999,'3-man'!$BF$32)),BQ94-35,IF(AND(LEFT('3-man'!BQ$47,3)="ST&gt;",BQ94&gt;=100,'3-man'!BQ$46&lt;=IF('3-man'!$BF$32="",999,'3-man'!$BF$32)),0,IF(AND(OR(AND('3-man'!BQ$48="ST&gt;1",BQ102&gt;=100),AND('3-man'!BQ$49="ST&gt;1",BQ110&gt;=100)),'3-man'!BQ$46&lt;=IF('3-man'!$BF$32="",999,'3-man'!$BF$32)),100,BQ94)))))</f>
        <v/>
      </c>
      <c r="BR95">
        <f>IF('3-man'!BR$47="R",MIN(100,BR94+10),IF('3-man'!BR$47="P",MIN(100,BR94+25),IF(AND('3-man'!BR$47="D",BR94&gt;=35,'3-man'!BR$46&lt;=IF('3-man'!$BF$32="",999,'3-man'!$BF$32)),BR94-35,IF(AND(LEFT('3-man'!BR$47,3)="ST&gt;",BR94&gt;=100,'3-man'!BR$46&lt;=IF('3-man'!$BF$32="",999,'3-man'!$BF$32)),0,IF(AND(OR(AND('3-man'!BR$48="ST&gt;1",BR102&gt;=100),AND('3-man'!BR$49="ST&gt;1",BR110&gt;=100)),'3-man'!BR$46&lt;=IF('3-man'!$BF$32="",999,'3-man'!$BF$32)),100,BR94)))))</f>
        <v/>
      </c>
      <c r="BS95">
        <f>IF('3-man'!BS$47="R",MIN(100,BS94+10),IF('3-man'!BS$47="P",MIN(100,BS94+25),IF(AND('3-man'!BS$47="D",BS94&gt;=35,'3-man'!BS$46&lt;=IF('3-man'!$BF$32="",999,'3-man'!$BF$32)),BS94-35,IF(AND(LEFT('3-man'!BS$47,3)="ST&gt;",BS94&gt;=100,'3-man'!BS$46&lt;=IF('3-man'!$BF$32="",999,'3-man'!$BF$32)),0,IF(AND(OR(AND('3-man'!BS$48="ST&gt;1",BS102&gt;=100),AND('3-man'!BS$49="ST&gt;1",BS110&gt;=100)),'3-man'!BS$46&lt;=IF('3-man'!$BF$32="",999,'3-man'!$BF$32)),100,BS94)))))</f>
        <v/>
      </c>
      <c r="BT95">
        <f>IF('3-man'!BT$47="R",MIN(100,BT94+10),IF('3-man'!BT$47="P",MIN(100,BT94+25),IF(AND('3-man'!BT$47="D",BT94&gt;=35,'3-man'!BT$46&lt;=IF('3-man'!$BF$32="",999,'3-man'!$BF$32)),BT94-35,IF(AND(LEFT('3-man'!BT$47,3)="ST&gt;",BT94&gt;=100,'3-man'!BT$46&lt;=IF('3-man'!$BF$32="",999,'3-man'!$BF$32)),0,IF(AND(OR(AND('3-man'!BT$48="ST&gt;1",BT102&gt;=100),AND('3-man'!BT$49="ST&gt;1",BT110&gt;=100)),'3-man'!BT$46&lt;=IF('3-man'!$BF$32="",999,'3-man'!$BF$32)),100,BT94)))))</f>
        <v/>
      </c>
      <c r="BU95">
        <f>IF('3-man'!BU$47="R",MIN(100,BU94+10),IF('3-man'!BU$47="P",MIN(100,BU94+25),IF(AND('3-man'!BU$47="D",BU94&gt;=35,'3-man'!BU$46&lt;=IF('3-man'!$BF$32="",999,'3-man'!$BF$32)),BU94-35,IF(AND(LEFT('3-man'!BU$47,3)="ST&gt;",BU94&gt;=100,'3-man'!BU$46&lt;=IF('3-man'!$BF$32="",999,'3-man'!$BF$32)),0,IF(AND(OR(AND('3-man'!BU$48="ST&gt;1",BU102&gt;=100),AND('3-man'!BU$49="ST&gt;1",BU110&gt;=100)),'3-man'!BU$46&lt;=IF('3-man'!$BF$32="",999,'3-man'!$BF$32)),100,BU94)))))</f>
        <v/>
      </c>
      <c r="BV95">
        <f>IF('3-man'!BV$47="R",MIN(100,BV94+10),IF('3-man'!BV$47="P",MIN(100,BV94+25),IF(AND('3-man'!BV$47="D",BV94&gt;=35,'3-man'!BV$46&lt;=IF('3-man'!$BF$32="",999,'3-man'!$BF$32)),BV94-35,IF(AND(LEFT('3-man'!BV$47,3)="ST&gt;",BV94&gt;=100,'3-man'!BV$46&lt;=IF('3-man'!$BF$32="",999,'3-man'!$BF$32)),0,IF(AND(OR(AND('3-man'!BV$48="ST&gt;1",BV102&gt;=100),AND('3-man'!BV$49="ST&gt;1",BV110&gt;=100)),'3-man'!BV$46&lt;=IF('3-man'!$BF$32="",999,'3-man'!$BF$32)),100,BV94)))))</f>
        <v/>
      </c>
      <c r="BW95">
        <f>IF('3-man'!BW$47="R",MIN(100,BW94+10),IF('3-man'!BW$47="P",MIN(100,BW94+25),IF(AND('3-man'!BW$47="D",BW94&gt;=35,'3-man'!BW$46&lt;=IF('3-man'!$BF$32="",999,'3-man'!$BF$32)),BW94-35,IF(AND(LEFT('3-man'!BW$47,3)="ST&gt;",BW94&gt;=100,'3-man'!BW$46&lt;=IF('3-man'!$BF$32="",999,'3-man'!$BF$32)),0,IF(AND(OR(AND('3-man'!BW$48="ST&gt;1",BW102&gt;=100),AND('3-man'!BW$49="ST&gt;1",BW110&gt;=100)),'3-man'!BW$46&lt;=IF('3-man'!$BF$32="",999,'3-man'!$BF$32)),100,BW94)))))</f>
        <v/>
      </c>
      <c r="BX95">
        <f>IF('3-man'!BX$47="R",MIN(100,BX94+10),IF('3-man'!BX$47="P",MIN(100,BX94+25),IF(AND('3-man'!BX$47="D",BX94&gt;=35,'3-man'!BX$46&lt;=IF('3-man'!$BF$32="",999,'3-man'!$BF$32)),BX94-35,IF(AND(LEFT('3-man'!BX$47,3)="ST&gt;",BX94&gt;=100,'3-man'!BX$46&lt;=IF('3-man'!$BF$32="",999,'3-man'!$BF$32)),0,IF(AND(OR(AND('3-man'!BX$48="ST&gt;1",BX102&gt;=100),AND('3-man'!BX$49="ST&gt;1",BX110&gt;=100)),'3-man'!BX$46&lt;=IF('3-man'!$BF$32="",999,'3-man'!$BF$32)),100,BX94)))))</f>
        <v/>
      </c>
      <c r="BY95">
        <f>IF('3-man'!BY$47="R",MIN(100,BY94+10),IF('3-man'!BY$47="P",MIN(100,BY94+25),IF(AND('3-man'!BY$47="D",BY94&gt;=35,'3-man'!BY$46&lt;=IF('3-man'!$BF$32="",999,'3-man'!$BF$32)),BY94-35,IF(AND(LEFT('3-man'!BY$47,3)="ST&gt;",BY94&gt;=100,'3-man'!BY$46&lt;=IF('3-man'!$BF$32="",999,'3-man'!$BF$32)),0,IF(AND(OR(AND('3-man'!BY$48="ST&gt;1",BY102&gt;=100),AND('3-man'!BY$49="ST&gt;1",BY110&gt;=100)),'3-man'!BY$46&lt;=IF('3-man'!$BF$32="",999,'3-man'!$BF$32)),100,BY94)))))</f>
        <v/>
      </c>
      <c r="BZ95">
        <f>IF('3-man'!BZ$47="R",MIN(100,BZ94+10),IF('3-man'!BZ$47="P",MIN(100,BZ94+25),IF(AND('3-man'!BZ$47="D",BZ94&gt;=35,'3-man'!BZ$46&lt;=IF('3-man'!$BF$32="",999,'3-man'!$BF$32)),BZ94-35,IF(AND(LEFT('3-man'!BZ$47,3)="ST&gt;",BZ94&gt;=100,'3-man'!BZ$46&lt;=IF('3-man'!$BF$32="",999,'3-man'!$BF$32)),0,IF(AND(OR(AND('3-man'!BZ$48="ST&gt;1",BZ102&gt;=100),AND('3-man'!BZ$49="ST&gt;1",BZ110&gt;=100)),'3-man'!BZ$46&lt;=IF('3-man'!$BF$32="",999,'3-man'!$BF$32)),100,BZ94)))))</f>
        <v/>
      </c>
      <c r="CA95">
        <f>IF('3-man'!CA$47="R",MIN(100,CA94+10),IF('3-man'!CA$47="P",MIN(100,CA94+25),IF(AND('3-man'!CA$47="D",CA94&gt;=35,'3-man'!CA$46&lt;=IF('3-man'!$BF$32="",999,'3-man'!$BF$32)),CA94-35,IF(AND(LEFT('3-man'!CA$47,3)="ST&gt;",CA94&gt;=100,'3-man'!CA$46&lt;=IF('3-man'!$BF$32="",999,'3-man'!$BF$32)),0,IF(AND(OR(AND('3-man'!CA$48="ST&gt;1",CA102&gt;=100),AND('3-man'!CA$49="ST&gt;1",CA110&gt;=100)),'3-man'!CA$46&lt;=IF('3-man'!$BF$32="",999,'3-man'!$BF$32)),100,CA94)))))</f>
        <v/>
      </c>
      <c r="CB95">
        <f>IF('3-man'!CB$47="R",MIN(100,CB94+10),IF('3-man'!CB$47="P",MIN(100,CB94+25),IF(AND('3-man'!CB$47="D",CB94&gt;=35,'3-man'!CB$46&lt;=IF('3-man'!$BF$32="",999,'3-man'!$BF$32)),CB94-35,IF(AND(LEFT('3-man'!CB$47,3)="ST&gt;",CB94&gt;=100,'3-man'!CB$46&lt;=IF('3-man'!$BF$32="",999,'3-man'!$BF$32)),0,IF(AND(OR(AND('3-man'!CB$48="ST&gt;1",CB102&gt;=100),AND('3-man'!CB$49="ST&gt;1",CB110&gt;=100)),'3-man'!CB$46&lt;=IF('3-man'!$BF$32="",999,'3-man'!$BF$32)),100,CB94)))))</f>
        <v/>
      </c>
      <c r="CC95">
        <f>IF('3-man'!CC$47="R",MIN(100,CC94+10),IF('3-man'!CC$47="P",MIN(100,CC94+25),IF(AND('3-man'!CC$47="D",CC94&gt;=35,'3-man'!CC$46&lt;=IF('3-man'!$BF$32="",999,'3-man'!$BF$32)),CC94-35,IF(AND(LEFT('3-man'!CC$47,3)="ST&gt;",CC94&gt;=100,'3-man'!CC$46&lt;=IF('3-man'!$BF$32="",999,'3-man'!$BF$32)),0,IF(AND(OR(AND('3-man'!CC$48="ST&gt;1",CC102&gt;=100),AND('3-man'!CC$49="ST&gt;1",CC110&gt;=100)),'3-man'!CC$46&lt;=IF('3-man'!$BF$32="",999,'3-man'!$BF$32)),100,CC94)))))</f>
        <v/>
      </c>
      <c r="CD95">
        <f>IF('3-man'!CD$47="R",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IF('3-man'!C$47="R",0,IF(B95&gt;=100,0,IF(B96+1&gt;=IF(OR('3-man'!$F$32=TRUE,'3-man'!$F$32="TRUE",'3-man'!$F$32="Yes"),25,50),0,B96+1)))</f>
        <v/>
      </c>
      <c r="D96">
        <f>IF('3-man'!D$47="R",0,IF(C95&gt;=100,0,IF(C96+1&gt;=IF(OR('3-man'!$F$32=TRUE,'3-man'!$F$32="TRUE",'3-man'!$F$32="Yes"),25,50),0,C96+1)))</f>
        <v/>
      </c>
      <c r="E96">
        <f>IF('3-man'!E$47="R",0,IF(D95&gt;=100,0,IF(D96+1&gt;=IF(OR('3-man'!$F$32=TRUE,'3-man'!$F$32="TRUE",'3-man'!$F$32="Yes"),25,50),0,D96+1)))</f>
        <v/>
      </c>
      <c r="F96">
        <f>IF('3-man'!F$47="R",0,IF(E95&gt;=100,0,IF(E96+1&gt;=IF(OR('3-man'!$F$32=TRUE,'3-man'!$F$32="TRUE",'3-man'!$F$32="Yes"),25,50),0,E96+1)))</f>
        <v/>
      </c>
      <c r="G96">
        <f>IF('3-man'!G$47="R",0,IF(F95&gt;=100,0,IF(F96+1&gt;=IF(OR('3-man'!$F$32=TRUE,'3-man'!$F$32="TRUE",'3-man'!$F$32="Yes"),25,50),0,F96+1)))</f>
        <v/>
      </c>
      <c r="H96">
        <f>IF('3-man'!H$47="R",0,IF(G95&gt;=100,0,IF(G96+1&gt;=IF(OR('3-man'!$F$32=TRUE,'3-man'!$F$32="TRUE",'3-man'!$F$32="Yes"),25,50),0,G96+1)))</f>
        <v/>
      </c>
      <c r="I96">
        <f>IF('3-man'!I$47="R",0,IF(H95&gt;=100,0,IF(H96+1&gt;=IF(OR('3-man'!$F$32=TRUE,'3-man'!$F$32="TRUE",'3-man'!$F$32="Yes"),25,50),0,H96+1)))</f>
        <v/>
      </c>
      <c r="J96">
        <f>IF('3-man'!J$47="R",0,IF(I95&gt;=100,0,IF(I96+1&gt;=IF(OR('3-man'!$F$32=TRUE,'3-man'!$F$32="TRUE",'3-man'!$F$32="Yes"),25,50),0,I96+1)))</f>
        <v/>
      </c>
      <c r="K96">
        <f>IF('3-man'!K$47="R",0,IF(J95&gt;=100,0,IF(J96+1&gt;=IF(OR('3-man'!$F$32=TRUE,'3-man'!$F$32="TRUE",'3-man'!$F$32="Yes"),25,50),0,J96+1)))</f>
        <v/>
      </c>
      <c r="L96">
        <f>IF('3-man'!L$47="R",0,IF(K95&gt;=100,0,IF(K96+1&gt;=IF(OR('3-man'!$F$32=TRUE,'3-man'!$F$32="TRUE",'3-man'!$F$32="Yes"),25,50),0,K96+1)))</f>
        <v/>
      </c>
      <c r="M96">
        <f>IF('3-man'!M$47="R",0,IF(L95&gt;=100,0,IF(L96+1&gt;=IF(OR('3-man'!$F$32=TRUE,'3-man'!$F$32="TRUE",'3-man'!$F$32="Yes"),25,50),0,L96+1)))</f>
        <v/>
      </c>
      <c r="N96">
        <f>IF('3-man'!N$47="R",0,IF(M95&gt;=100,0,IF(M96+1&gt;=IF(OR('3-man'!$F$32=TRUE,'3-man'!$F$32="TRUE",'3-man'!$F$32="Yes"),25,50),0,M96+1)))</f>
        <v/>
      </c>
      <c r="O96">
        <f>IF('3-man'!O$47="R",0,IF(N95&gt;=100,0,IF(N96+1&gt;=IF(OR('3-man'!$F$32=TRUE,'3-man'!$F$32="TRUE",'3-man'!$F$32="Yes"),25,50),0,N96+1)))</f>
        <v/>
      </c>
      <c r="P96">
        <f>IF('3-man'!P$47="R",0,IF(O95&gt;=100,0,IF(O96+1&gt;=IF(OR('3-man'!$F$32=TRUE,'3-man'!$F$32="TRUE",'3-man'!$F$32="Yes"),25,50),0,O96+1)))</f>
        <v/>
      </c>
      <c r="Q96">
        <f>IF('3-man'!Q$47="R",0,IF(P95&gt;=100,0,IF(P96+1&gt;=IF(OR('3-man'!$F$32=TRUE,'3-man'!$F$32="TRUE",'3-man'!$F$32="Yes"),25,50),0,P96+1)))</f>
        <v/>
      </c>
      <c r="R96">
        <f>IF('3-man'!R$47="R",0,IF(Q95&gt;=100,0,IF(Q96+1&gt;=IF(OR('3-man'!$F$32=TRUE,'3-man'!$F$32="TRUE",'3-man'!$F$32="Yes"),25,50),0,Q96+1)))</f>
        <v/>
      </c>
      <c r="S96">
        <f>IF('3-man'!S$47="R",0,IF(R95&gt;=100,0,IF(R96+1&gt;=IF(OR('3-man'!$F$32=TRUE,'3-man'!$F$32="TRUE",'3-man'!$F$32="Yes"),25,50),0,R96+1)))</f>
        <v/>
      </c>
      <c r="T96">
        <f>IF('3-man'!T$47="R",0,IF(S95&gt;=100,0,IF(S96+1&gt;=IF(OR('3-man'!$F$32=TRUE,'3-man'!$F$32="TRUE",'3-man'!$F$32="Yes"),25,50),0,S96+1)))</f>
        <v/>
      </c>
      <c r="U96">
        <f>IF('3-man'!U$47="R",0,IF(T95&gt;=100,0,IF(T96+1&gt;=IF(OR('3-man'!$F$32=TRUE,'3-man'!$F$32="TRUE",'3-man'!$F$32="Yes"),25,50),0,T96+1)))</f>
        <v/>
      </c>
      <c r="V96">
        <f>IF('3-man'!V$47="R",0,IF(U95&gt;=100,0,IF(U96+1&gt;=IF(OR('3-man'!$F$32=TRUE,'3-man'!$F$32="TRUE",'3-man'!$F$32="Yes"),25,50),0,U96+1)))</f>
        <v/>
      </c>
      <c r="W96">
        <f>IF('3-man'!W$47="R",0,IF(V95&gt;=100,0,IF(V96+1&gt;=IF(OR('3-man'!$F$32=TRUE,'3-man'!$F$32="TRUE",'3-man'!$F$32="Yes"),25,50),0,V96+1)))</f>
        <v/>
      </c>
      <c r="X96">
        <f>IF('3-man'!X$47="R",0,IF(W95&gt;=100,0,IF(W96+1&gt;=IF(OR('3-man'!$F$32=TRUE,'3-man'!$F$32="TRUE",'3-man'!$F$32="Yes"),25,50),0,W96+1)))</f>
        <v/>
      </c>
      <c r="Y96">
        <f>IF('3-man'!Y$47="R",0,IF(X95&gt;=100,0,IF(X96+1&gt;=IF(OR('3-man'!$F$32=TRUE,'3-man'!$F$32="TRUE",'3-man'!$F$32="Yes"),25,50),0,X96+1)))</f>
        <v/>
      </c>
      <c r="Z96">
        <f>IF('3-man'!Z$47="R",0,IF(Y95&gt;=100,0,IF(Y96+1&gt;=IF(OR('3-man'!$F$32=TRUE,'3-man'!$F$32="TRUE",'3-man'!$F$32="Yes"),25,50),0,Y96+1)))</f>
        <v/>
      </c>
      <c r="AA96">
        <f>IF('3-man'!AA$47="R",0,IF(Z95&gt;=100,0,IF(Z96+1&gt;=IF(OR('3-man'!$F$32=TRUE,'3-man'!$F$32="TRUE",'3-man'!$F$32="Yes"),25,50),0,Z96+1)))</f>
        <v/>
      </c>
      <c r="AB96">
        <f>IF('3-man'!AB$47="R",0,IF(AA95&gt;=100,0,IF(AA96+1&gt;=IF(OR('3-man'!$F$32=TRUE,'3-man'!$F$32="TRUE",'3-man'!$F$32="Yes"),25,50),0,AA96+1)))</f>
        <v/>
      </c>
      <c r="AC96">
        <f>IF('3-man'!AC$47="R",0,IF(AB95&gt;=100,0,IF(AB96+1&gt;=IF(OR('3-man'!$F$32=TRUE,'3-man'!$F$32="TRUE",'3-man'!$F$32="Yes"),25,50),0,AB96+1)))</f>
        <v/>
      </c>
      <c r="AD96">
        <f>IF('3-man'!AD$47="R",0,IF(AC95&gt;=100,0,IF(AC96+1&gt;=IF(OR('3-man'!$F$32=TRUE,'3-man'!$F$32="TRUE",'3-man'!$F$32="Yes"),25,50),0,AC96+1)))</f>
        <v/>
      </c>
      <c r="AE96">
        <f>IF('3-man'!AE$47="R",0,IF(AD95&gt;=100,0,IF(AD96+1&gt;=IF(OR('3-man'!$F$32=TRUE,'3-man'!$F$32="TRUE",'3-man'!$F$32="Yes"),25,50),0,AD96+1)))</f>
        <v/>
      </c>
      <c r="AF96">
        <f>IF('3-man'!AF$47="R",0,IF(AE95&gt;=100,0,IF(AE96+1&gt;=IF(OR('3-man'!$F$32=TRUE,'3-man'!$F$32="TRUE",'3-man'!$F$32="Yes"),25,50),0,AE96+1)))</f>
        <v/>
      </c>
      <c r="AG96">
        <f>IF('3-man'!AG$47="R",0,IF(AF95&gt;=100,0,IF(AF96+1&gt;=IF(OR('3-man'!$F$32=TRUE,'3-man'!$F$32="TRUE",'3-man'!$F$32="Yes"),25,50),0,AF96+1)))</f>
        <v/>
      </c>
      <c r="AH96">
        <f>IF('3-man'!AH$47="R",0,IF(AG95&gt;=100,0,IF(AG96+1&gt;=IF(OR('3-man'!$F$32=TRUE,'3-man'!$F$32="TRUE",'3-man'!$F$32="Yes"),25,50),0,AG96+1)))</f>
        <v/>
      </c>
      <c r="AI96">
        <f>IF('3-man'!AI$47="R",0,IF(AH95&gt;=100,0,IF(AH96+1&gt;=IF(OR('3-man'!$F$32=TRUE,'3-man'!$F$32="TRUE",'3-man'!$F$32="Yes"),25,50),0,AH96+1)))</f>
        <v/>
      </c>
      <c r="AJ96">
        <f>IF('3-man'!AJ$47="R",0,IF(AI95&gt;=100,0,IF(AI96+1&gt;=IF(OR('3-man'!$F$32=TRUE,'3-man'!$F$32="TRUE",'3-man'!$F$32="Yes"),25,50),0,AI96+1)))</f>
        <v/>
      </c>
      <c r="AK96">
        <f>IF('3-man'!AK$47="R",0,IF(AJ95&gt;=100,0,IF(AJ96+1&gt;=IF(OR('3-man'!$F$32=TRUE,'3-man'!$F$32="TRUE",'3-man'!$F$32="Yes"),25,50),0,AJ96+1)))</f>
        <v/>
      </c>
      <c r="AL96">
        <f>IF('3-man'!AL$47="R",0,IF(AK95&gt;=100,0,IF(AK96+1&gt;=IF(OR('3-man'!$F$32=TRUE,'3-man'!$F$32="TRUE",'3-man'!$F$32="Yes"),25,50),0,AK96+1)))</f>
        <v/>
      </c>
      <c r="AM96">
        <f>IF('3-man'!AM$47="R",0,IF(AL95&gt;=100,0,IF(AL96+1&gt;=IF(OR('3-man'!$F$32=TRUE,'3-man'!$F$32="TRUE",'3-man'!$F$32="Yes"),25,50),0,AL96+1)))</f>
        <v/>
      </c>
      <c r="AN96">
        <f>IF('3-man'!AN$47="R",0,IF(AM95&gt;=100,0,IF(AM96+1&gt;=IF(OR('3-man'!$F$32=TRUE,'3-man'!$F$32="TRUE",'3-man'!$F$32="Yes"),25,50),0,AM96+1)))</f>
        <v/>
      </c>
      <c r="AO96">
        <f>IF('3-man'!AO$47="R",0,IF(AN95&gt;=100,0,IF(AN96+1&gt;=IF(OR('3-man'!$F$32=TRUE,'3-man'!$F$32="TRUE",'3-man'!$F$32="Yes"),25,50),0,AN96+1)))</f>
        <v/>
      </c>
      <c r="AP96">
        <f>IF('3-man'!AP$47="R",0,IF(AO95&gt;=100,0,IF(AO96+1&gt;=IF(OR('3-man'!$F$32=TRUE,'3-man'!$F$32="TRUE",'3-man'!$F$32="Yes"),25,50),0,AO96+1)))</f>
        <v/>
      </c>
      <c r="AQ96">
        <f>IF('3-man'!AQ$47="R",0,IF(AP95&gt;=100,0,IF(AP96+1&gt;=IF(OR('3-man'!$F$32=TRUE,'3-man'!$F$32="TRUE",'3-man'!$F$32="Yes"),25,50),0,AP96+1)))</f>
        <v/>
      </c>
      <c r="AR96">
        <f>IF('3-man'!AR$47="R",0,IF(AQ95&gt;=100,0,IF(AQ96+1&gt;=IF(OR('3-man'!$F$32=TRUE,'3-man'!$F$32="TRUE",'3-man'!$F$32="Yes"),25,50),0,AQ96+1)))</f>
        <v/>
      </c>
      <c r="AS96">
        <f>IF('3-man'!AS$47="R",0,IF(AR95&gt;=100,0,IF(AR96+1&gt;=IF(OR('3-man'!$F$32=TRUE,'3-man'!$F$32="TRUE",'3-man'!$F$32="Yes"),25,50),0,AR96+1)))</f>
        <v/>
      </c>
      <c r="AT96">
        <f>IF('3-man'!AT$47="R",0,IF(AS95&gt;=100,0,IF(AS96+1&gt;=IF(OR('3-man'!$F$32=TRUE,'3-man'!$F$32="TRUE",'3-man'!$F$32="Yes"),25,50),0,AS96+1)))</f>
        <v/>
      </c>
      <c r="AU96">
        <f>IF('3-man'!AU$47="R",0,IF(AT95&gt;=100,0,IF(AT96+1&gt;=IF(OR('3-man'!$F$32=TRUE,'3-man'!$F$32="TRUE",'3-man'!$F$32="Yes"),25,50),0,AT96+1)))</f>
        <v/>
      </c>
      <c r="AV96">
        <f>IF('3-man'!AV$47="R",0,IF(AU95&gt;=100,0,IF(AU96+1&gt;=IF(OR('3-man'!$F$32=TRUE,'3-man'!$F$32="TRUE",'3-man'!$F$32="Yes"),25,50),0,AU96+1)))</f>
        <v/>
      </c>
      <c r="AW96">
        <f>IF('3-man'!AW$47="R",0,IF(AV95&gt;=100,0,IF(AV96+1&gt;=IF(OR('3-man'!$F$32=TRUE,'3-man'!$F$32="TRUE",'3-man'!$F$32="Yes"),25,50),0,AV96+1)))</f>
        <v/>
      </c>
      <c r="AX96">
        <f>IF('3-man'!AX$47="R",0,IF(AW95&gt;=100,0,IF(AW96+1&gt;=IF(OR('3-man'!$F$32=TRUE,'3-man'!$F$32="TRUE",'3-man'!$F$32="Yes"),25,50),0,AW96+1)))</f>
        <v/>
      </c>
      <c r="AY96">
        <f>IF('3-man'!AY$47="R",0,IF(AX95&gt;=100,0,IF(AX96+1&gt;=IF(OR('3-man'!$F$32=TRUE,'3-man'!$F$32="TRUE",'3-man'!$F$32="Yes"),25,50),0,AX96+1)))</f>
        <v/>
      </c>
      <c r="AZ96">
        <f>IF('3-man'!AZ$47="R",0,IF(AY95&gt;=100,0,IF(AY96+1&gt;=IF(OR('3-man'!$F$32=TRUE,'3-man'!$F$32="TRUE",'3-man'!$F$32="Yes"),25,50),0,AY96+1)))</f>
        <v/>
      </c>
      <c r="BA96">
        <f>IF('3-man'!BA$47="R",0,IF(AZ95&gt;=100,0,IF(AZ96+1&gt;=IF(OR('3-man'!$F$32=TRUE,'3-man'!$F$32="TRUE",'3-man'!$F$32="Yes"),25,50),0,AZ96+1)))</f>
        <v/>
      </c>
      <c r="BB96">
        <f>IF('3-man'!BB$47="R",0,IF(BA95&gt;=100,0,IF(BA96+1&gt;=IF(OR('3-man'!$F$32=TRUE,'3-man'!$F$32="TRUE",'3-man'!$F$32="Yes"),25,50),0,BA96+1)))</f>
        <v/>
      </c>
      <c r="BC96">
        <f>IF('3-man'!BC$47="R",0,IF(BB95&gt;=100,0,IF(BB96+1&gt;=IF(OR('3-man'!$F$32=TRUE,'3-man'!$F$32="TRUE",'3-man'!$F$32="Yes"),25,50),0,BB96+1)))</f>
        <v/>
      </c>
      <c r="BD96">
        <f>IF('3-man'!BD$47="R",0,IF(BC95&gt;=100,0,IF(BC96+1&gt;=IF(OR('3-man'!$F$32=TRUE,'3-man'!$F$32="TRUE",'3-man'!$F$32="Yes"),25,50),0,BC96+1)))</f>
        <v/>
      </c>
      <c r="BE96">
        <f>IF('3-man'!BE$47="R",0,IF(BD95&gt;=100,0,IF(BD96+1&gt;=IF(OR('3-man'!$F$32=TRUE,'3-man'!$F$32="TRUE",'3-man'!$F$32="Yes"),25,50),0,BD96+1)))</f>
        <v/>
      </c>
      <c r="BF96">
        <f>IF('3-man'!BF$47="R",0,IF(BE95&gt;=100,0,IF(BE96+1&gt;=IF(OR('3-man'!$F$32=TRUE,'3-man'!$F$32="TRUE",'3-man'!$F$32="Yes"),25,50),0,BE96+1)))</f>
        <v/>
      </c>
      <c r="BG96">
        <f>IF('3-man'!BG$47="R",0,IF(BF95&gt;=100,0,IF(BF96+1&gt;=IF(OR('3-man'!$F$32=TRUE,'3-man'!$F$32="TRUE",'3-man'!$F$32="Yes"),25,50),0,BF96+1)))</f>
        <v/>
      </c>
      <c r="BH96">
        <f>IF('3-man'!BH$47="R",0,IF(BG95&gt;=100,0,IF(BG96+1&gt;=IF(OR('3-man'!$F$32=TRUE,'3-man'!$F$32="TRUE",'3-man'!$F$32="Yes"),25,50),0,BG96+1)))</f>
        <v/>
      </c>
      <c r="BI96">
        <f>IF('3-man'!BI$47="R",0,IF(BH95&gt;=100,0,IF(BH96+1&gt;=IF(OR('3-man'!$F$32=TRUE,'3-man'!$F$32="TRUE",'3-man'!$F$32="Yes"),25,50),0,BH96+1)))</f>
        <v/>
      </c>
      <c r="BJ96">
        <f>IF('3-man'!BJ$47="R",0,IF(BI95&gt;=100,0,IF(BI96+1&gt;=IF(OR('3-man'!$F$32=TRUE,'3-man'!$F$32="TRUE",'3-man'!$F$32="Yes"),25,50),0,BI96+1)))</f>
        <v/>
      </c>
      <c r="BK96">
        <f>IF('3-man'!BK$47="R",0,IF(BJ95&gt;=100,0,IF(BJ96+1&gt;=IF(OR('3-man'!$F$32=TRUE,'3-man'!$F$32="TRUE",'3-man'!$F$32="Yes"),25,50),0,BJ96+1)))</f>
        <v/>
      </c>
      <c r="BL96">
        <f>IF('3-man'!BL$47="R",0,IF(BK95&gt;=100,0,IF(BK96+1&gt;=IF(OR('3-man'!$F$32=TRUE,'3-man'!$F$32="TRUE",'3-man'!$F$32="Yes"),25,50),0,BK96+1)))</f>
        <v/>
      </c>
      <c r="BM96">
        <f>IF('3-man'!BM$47="R",0,IF(BL95&gt;=100,0,IF(BL96+1&gt;=IF(OR('3-man'!$F$32=TRUE,'3-man'!$F$32="TRUE",'3-man'!$F$32="Yes"),25,50),0,BL96+1)))</f>
        <v/>
      </c>
      <c r="BN96">
        <f>IF('3-man'!BN$47="R",0,IF(BM95&gt;=100,0,IF(BM96+1&gt;=IF(OR('3-man'!$F$32=TRUE,'3-man'!$F$32="TRUE",'3-man'!$F$32="Yes"),25,50),0,BM96+1)))</f>
        <v/>
      </c>
      <c r="BO96">
        <f>IF('3-man'!BO$47="R",0,IF(BN95&gt;=100,0,IF(BN96+1&gt;=IF(OR('3-man'!$F$32=TRUE,'3-man'!$F$32="TRUE",'3-man'!$F$32="Yes"),25,50),0,BN96+1)))</f>
        <v/>
      </c>
      <c r="BP96">
        <f>IF('3-man'!BP$47="R",0,IF(BO95&gt;=100,0,IF(BO96+1&gt;=IF(OR('3-man'!$F$32=TRUE,'3-man'!$F$32="TRUE",'3-man'!$F$32="Yes"),25,50),0,BO96+1)))</f>
        <v/>
      </c>
      <c r="BQ96">
        <f>IF('3-man'!BQ$47="R",0,IF(BP95&gt;=100,0,IF(BP96+1&gt;=IF(OR('3-man'!$F$32=TRUE,'3-man'!$F$32="TRUE",'3-man'!$F$32="Yes"),25,50),0,BP96+1)))</f>
        <v/>
      </c>
      <c r="BR96">
        <f>IF('3-man'!BR$47="R",0,IF(BQ95&gt;=100,0,IF(BQ96+1&gt;=IF(OR('3-man'!$F$32=TRUE,'3-man'!$F$32="TRUE",'3-man'!$F$32="Yes"),25,50),0,BQ96+1)))</f>
        <v/>
      </c>
      <c r="BS96">
        <f>IF('3-man'!BS$47="R",0,IF(BR95&gt;=100,0,IF(BR96+1&gt;=IF(OR('3-man'!$F$32=TRUE,'3-man'!$F$32="TRUE",'3-man'!$F$32="Yes"),25,50),0,BR96+1)))</f>
        <v/>
      </c>
      <c r="BT96">
        <f>IF('3-man'!BT$47="R",0,IF(BS95&gt;=100,0,IF(BS96+1&gt;=IF(OR('3-man'!$F$32=TRUE,'3-man'!$F$32="TRUE",'3-man'!$F$32="Yes"),25,50),0,BS96+1)))</f>
        <v/>
      </c>
      <c r="BU96">
        <f>IF('3-man'!BU$47="R",0,IF(BT95&gt;=100,0,IF(BT96+1&gt;=IF(OR('3-man'!$F$32=TRUE,'3-man'!$F$32="TRUE",'3-man'!$F$32="Yes"),25,50),0,BT96+1)))</f>
        <v/>
      </c>
      <c r="BV96">
        <f>IF('3-man'!BV$47="R",0,IF(BU95&gt;=100,0,IF(BU96+1&gt;=IF(OR('3-man'!$F$32=TRUE,'3-man'!$F$32="TRUE",'3-man'!$F$32="Yes"),25,50),0,BU96+1)))</f>
        <v/>
      </c>
      <c r="BW96">
        <f>IF('3-man'!BW$47="R",0,IF(BV95&gt;=100,0,IF(BV96+1&gt;=IF(OR('3-man'!$F$32=TRUE,'3-man'!$F$32="TRUE",'3-man'!$F$32="Yes"),25,50),0,BV96+1)))</f>
        <v/>
      </c>
      <c r="BX96">
        <f>IF('3-man'!BX$47="R",0,IF(BW95&gt;=100,0,IF(BW96+1&gt;=IF(OR('3-man'!$F$32=TRUE,'3-man'!$F$32="TRUE",'3-man'!$F$32="Yes"),25,50),0,BW96+1)))</f>
        <v/>
      </c>
      <c r="BY96">
        <f>IF('3-man'!BY$47="R",0,IF(BX95&gt;=100,0,IF(BX96+1&gt;=IF(OR('3-man'!$F$32=TRUE,'3-man'!$F$32="TRUE",'3-man'!$F$32="Yes"),25,50),0,BX96+1)))</f>
        <v/>
      </c>
      <c r="BZ96">
        <f>IF('3-man'!BZ$47="R",0,IF(BY95&gt;=100,0,IF(BY96+1&gt;=IF(OR('3-man'!$F$32=TRUE,'3-man'!$F$32="TRUE",'3-man'!$F$32="Yes"),25,50),0,BY96+1)))</f>
        <v/>
      </c>
      <c r="CA96">
        <f>IF('3-man'!CA$47="R",0,IF(BZ95&gt;=100,0,IF(BZ96+1&gt;=IF(OR('3-man'!$F$32=TRUE,'3-man'!$F$32="TRUE",'3-man'!$F$32="Yes"),25,50),0,BZ96+1)))</f>
        <v/>
      </c>
      <c r="CB96">
        <f>IF('3-man'!CB$47="R",0,IF(CA95&gt;=100,0,IF(CA96+1&gt;=IF(OR('3-man'!$F$32=TRUE,'3-man'!$F$32="TRUE",'3-man'!$F$32="Yes"),25,50),0,CA96+1)))</f>
        <v/>
      </c>
      <c r="CC96">
        <f>IF('3-man'!CC$47="R",0,IF(CB95&gt;=100,0,IF(CB96+1&gt;=IF(OR('3-man'!$F$32=TRUE,'3-man'!$F$32="TRUE",'3-man'!$F$32="Yes"),25,50),0,CB96+1)))</f>
        <v/>
      </c>
      <c r="CD96">
        <f>IF('3-man'!CD$47="R",0,IF(CC95&gt;=100,0,IF(CC96+1&gt;=IF(OR('3-man'!$F$32=TRUE,'3-man'!$F$32="TRUE",'3-man'!$F$32="Yes"),25,50),0,CC96+1)))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row>
    <row r="101">
      <c r="A101" t="inlineStr">
        <is>
          <t>P1 act</t>
        </is>
      </c>
      <c r="C101">
        <f>IF(OR('3-man'!C$47="P",'3-man'!C$47="R",AND('3-man'!C$46&lt;=IF('3-man'!$BF$32="",999,'3-man'!$BF$32),OR('3-man'!C$47="D",LEFT('3-man'!C$47,3)="ST&gt;",OR(AND('3-man'!C$48="ST&gt;1",C102&gt;=100),AND('3-man'!C$49="ST&gt;1",C110&gt;=100))))),'3-man'!C$46,0)</f>
        <v/>
      </c>
      <c r="D101">
        <f>IF(OR('3-man'!D$47="P",'3-man'!D$47="R",AND('3-man'!D$46&lt;=IF('3-man'!$BF$32="",999,'3-man'!$BF$32),OR('3-man'!D$47="D",LEFT('3-man'!D$47,3)="ST&gt;",OR(AND('3-man'!D$48="ST&gt;1",D102&gt;=100),AND('3-man'!D$49="ST&gt;1",D110&gt;=100))))),'3-man'!D$46,0)</f>
        <v/>
      </c>
      <c r="E101">
        <f>IF(OR('3-man'!E$47="P",'3-man'!E$47="R",AND('3-man'!E$46&lt;=IF('3-man'!$BF$32="",999,'3-man'!$BF$32),OR('3-man'!E$47="D",LEFT('3-man'!E$47,3)="ST&gt;",OR(AND('3-man'!E$48="ST&gt;1",E102&gt;=100),AND('3-man'!E$49="ST&gt;1",E110&gt;=100))))),'3-man'!E$46,0)</f>
        <v/>
      </c>
      <c r="F101">
        <f>IF(OR('3-man'!F$47="P",'3-man'!F$47="R",AND('3-man'!F$46&lt;=IF('3-man'!$BF$32="",999,'3-man'!$BF$32),OR('3-man'!F$47="D",LEFT('3-man'!F$47,3)="ST&gt;",OR(AND('3-man'!F$48="ST&gt;1",F102&gt;=100),AND('3-man'!F$49="ST&gt;1",F110&gt;=100))))),'3-man'!F$46,0)</f>
        <v/>
      </c>
      <c r="G101">
        <f>IF(OR('3-man'!G$47="P",'3-man'!G$47="R",AND('3-man'!G$46&lt;=IF('3-man'!$BF$32="",999,'3-man'!$BF$32),OR('3-man'!G$47="D",LEFT('3-man'!G$47,3)="ST&gt;",OR(AND('3-man'!G$48="ST&gt;1",G102&gt;=100),AND('3-man'!G$49="ST&gt;1",G110&gt;=100))))),'3-man'!G$46,0)</f>
        <v/>
      </c>
      <c r="H101">
        <f>IF(OR('3-man'!H$47="P",'3-man'!H$47="R",AND('3-man'!H$46&lt;=IF('3-man'!$BF$32="",999,'3-man'!$BF$32),OR('3-man'!H$47="D",LEFT('3-man'!H$47,3)="ST&gt;",OR(AND('3-man'!H$48="ST&gt;1",H102&gt;=100),AND('3-man'!H$49="ST&gt;1",H110&gt;=100))))),'3-man'!H$46,0)</f>
        <v/>
      </c>
      <c r="I101">
        <f>IF(OR('3-man'!I$47="P",'3-man'!I$47="R",AND('3-man'!I$46&lt;=IF('3-man'!$BF$32="",999,'3-man'!$BF$32),OR('3-man'!I$47="D",LEFT('3-man'!I$47,3)="ST&gt;",OR(AND('3-man'!I$48="ST&gt;1",I102&gt;=100),AND('3-man'!I$49="ST&gt;1",I110&gt;=100))))),'3-man'!I$46,0)</f>
        <v/>
      </c>
      <c r="J101">
        <f>IF(OR('3-man'!J$47="P",'3-man'!J$47="R",AND('3-man'!J$46&lt;=IF('3-man'!$BF$32="",999,'3-man'!$BF$32),OR('3-man'!J$47="D",LEFT('3-man'!J$47,3)="ST&gt;",OR(AND('3-man'!J$48="ST&gt;1",J102&gt;=100),AND('3-man'!J$49="ST&gt;1",J110&gt;=100))))),'3-man'!J$46,0)</f>
        <v/>
      </c>
      <c r="K101">
        <f>IF(OR('3-man'!K$47="P",'3-man'!K$47="R",AND('3-man'!K$46&lt;=IF('3-man'!$BF$32="",999,'3-man'!$BF$32),OR('3-man'!K$47="D",LEFT('3-man'!K$47,3)="ST&gt;",OR(AND('3-man'!K$48="ST&gt;1",K102&gt;=100),AND('3-man'!K$49="ST&gt;1",K110&gt;=100))))),'3-man'!K$46,0)</f>
        <v/>
      </c>
      <c r="L101">
        <f>IF(OR('3-man'!L$47="P",'3-man'!L$47="R",AND('3-man'!L$46&lt;=IF('3-man'!$BF$32="",999,'3-man'!$BF$32),OR('3-man'!L$47="D",LEFT('3-man'!L$47,3)="ST&gt;",OR(AND('3-man'!L$48="ST&gt;1",L102&gt;=100),AND('3-man'!L$49="ST&gt;1",L110&gt;=100))))),'3-man'!L$46,0)</f>
        <v/>
      </c>
      <c r="M101">
        <f>IF(OR('3-man'!M$47="P",'3-man'!M$47="R",AND('3-man'!M$46&lt;=IF('3-man'!$BF$32="",999,'3-man'!$BF$32),OR('3-man'!M$47="D",LEFT('3-man'!M$47,3)="ST&gt;",OR(AND('3-man'!M$48="ST&gt;1",M102&gt;=100),AND('3-man'!M$49="ST&gt;1",M110&gt;=100))))),'3-man'!M$46,0)</f>
        <v/>
      </c>
      <c r="N101">
        <f>IF(OR('3-man'!N$47="P",'3-man'!N$47="R",AND('3-man'!N$46&lt;=IF('3-man'!$BF$32="",999,'3-man'!$BF$32),OR('3-man'!N$47="D",LEFT('3-man'!N$47,3)="ST&gt;",OR(AND('3-man'!N$48="ST&gt;1",N102&gt;=100),AND('3-man'!N$49="ST&gt;1",N110&gt;=100))))),'3-man'!N$46,0)</f>
        <v/>
      </c>
      <c r="O101">
        <f>IF(OR('3-man'!O$47="P",'3-man'!O$47="R",AND('3-man'!O$46&lt;=IF('3-man'!$BF$32="",999,'3-man'!$BF$32),OR('3-man'!O$47="D",LEFT('3-man'!O$47,3)="ST&gt;",OR(AND('3-man'!O$48="ST&gt;1",O102&gt;=100),AND('3-man'!O$49="ST&gt;1",O110&gt;=100))))),'3-man'!O$46,0)</f>
        <v/>
      </c>
      <c r="P101">
        <f>IF(OR('3-man'!P$47="P",'3-man'!P$47="R",AND('3-man'!P$46&lt;=IF('3-man'!$BF$32="",999,'3-man'!$BF$32),OR('3-man'!P$47="D",LEFT('3-man'!P$47,3)="ST&gt;",OR(AND('3-man'!P$48="ST&gt;1",P102&gt;=100),AND('3-man'!P$49="ST&gt;1",P110&gt;=100))))),'3-man'!P$46,0)</f>
        <v/>
      </c>
      <c r="Q101">
        <f>IF(OR('3-man'!Q$47="P",'3-man'!Q$47="R",AND('3-man'!Q$46&lt;=IF('3-man'!$BF$32="",999,'3-man'!$BF$32),OR('3-man'!Q$47="D",LEFT('3-man'!Q$47,3)="ST&gt;",OR(AND('3-man'!Q$48="ST&gt;1",Q102&gt;=100),AND('3-man'!Q$49="ST&gt;1",Q110&gt;=100))))),'3-man'!Q$46,0)</f>
        <v/>
      </c>
      <c r="R101">
        <f>IF(OR('3-man'!R$47="P",'3-man'!R$47="R",AND('3-man'!R$46&lt;=IF('3-man'!$BF$32="",999,'3-man'!$BF$32),OR('3-man'!R$47="D",LEFT('3-man'!R$47,3)="ST&gt;",OR(AND('3-man'!R$48="ST&gt;1",R102&gt;=100),AND('3-man'!R$49="ST&gt;1",R110&gt;=100))))),'3-man'!R$46,0)</f>
        <v/>
      </c>
      <c r="S101">
        <f>IF(OR('3-man'!S$47="P",'3-man'!S$47="R",AND('3-man'!S$46&lt;=IF('3-man'!$BF$32="",999,'3-man'!$BF$32),OR('3-man'!S$47="D",LEFT('3-man'!S$47,3)="ST&gt;",OR(AND('3-man'!S$48="ST&gt;1",S102&gt;=100),AND('3-man'!S$49="ST&gt;1",S110&gt;=100))))),'3-man'!S$46,0)</f>
        <v/>
      </c>
      <c r="T101">
        <f>IF(OR('3-man'!T$47="P",'3-man'!T$47="R",AND('3-man'!T$46&lt;=IF('3-man'!$BF$32="",999,'3-man'!$BF$32),OR('3-man'!T$47="D",LEFT('3-man'!T$47,3)="ST&gt;",OR(AND('3-man'!T$48="ST&gt;1",T102&gt;=100),AND('3-man'!T$49="ST&gt;1",T110&gt;=100))))),'3-man'!T$46,0)</f>
        <v/>
      </c>
      <c r="U101">
        <f>IF(OR('3-man'!U$47="P",'3-man'!U$47="R",AND('3-man'!U$46&lt;=IF('3-man'!$BF$32="",999,'3-man'!$BF$32),OR('3-man'!U$47="D",LEFT('3-man'!U$47,3)="ST&gt;",OR(AND('3-man'!U$48="ST&gt;1",U102&gt;=100),AND('3-man'!U$49="ST&gt;1",U110&gt;=100))))),'3-man'!U$46,0)</f>
        <v/>
      </c>
      <c r="V101">
        <f>IF(OR('3-man'!V$47="P",'3-man'!V$47="R",AND('3-man'!V$46&lt;=IF('3-man'!$BF$32="",999,'3-man'!$BF$32),OR('3-man'!V$47="D",LEFT('3-man'!V$47,3)="ST&gt;",OR(AND('3-man'!V$48="ST&gt;1",V102&gt;=100),AND('3-man'!V$49="ST&gt;1",V110&gt;=100))))),'3-man'!V$46,0)</f>
        <v/>
      </c>
      <c r="W101">
        <f>IF(OR('3-man'!W$47="P",'3-man'!W$47="R",AND('3-man'!W$46&lt;=IF('3-man'!$BF$32="",999,'3-man'!$BF$32),OR('3-man'!W$47="D",LEFT('3-man'!W$47,3)="ST&gt;",OR(AND('3-man'!W$48="ST&gt;1",W102&gt;=100),AND('3-man'!W$49="ST&gt;1",W110&gt;=100))))),'3-man'!W$46,0)</f>
        <v/>
      </c>
      <c r="X101">
        <f>IF(OR('3-man'!X$47="P",'3-man'!X$47="R",AND('3-man'!X$46&lt;=IF('3-man'!$BF$32="",999,'3-man'!$BF$32),OR('3-man'!X$47="D",LEFT('3-man'!X$47,3)="ST&gt;",OR(AND('3-man'!X$48="ST&gt;1",X102&gt;=100),AND('3-man'!X$49="ST&gt;1",X110&gt;=100))))),'3-man'!X$46,0)</f>
        <v/>
      </c>
      <c r="Y101">
        <f>IF(OR('3-man'!Y$47="P",'3-man'!Y$47="R",AND('3-man'!Y$46&lt;=IF('3-man'!$BF$32="",999,'3-man'!$BF$32),OR('3-man'!Y$47="D",LEFT('3-man'!Y$47,3)="ST&gt;",OR(AND('3-man'!Y$48="ST&gt;1",Y102&gt;=100),AND('3-man'!Y$49="ST&gt;1",Y110&gt;=100))))),'3-man'!Y$46,0)</f>
        <v/>
      </c>
      <c r="Z101">
        <f>IF(OR('3-man'!Z$47="P",'3-man'!Z$47="R",AND('3-man'!Z$46&lt;=IF('3-man'!$BF$32="",999,'3-man'!$BF$32),OR('3-man'!Z$47="D",LEFT('3-man'!Z$47,3)="ST&gt;",OR(AND('3-man'!Z$48="ST&gt;1",Z102&gt;=100),AND('3-man'!Z$49="ST&gt;1",Z110&gt;=100))))),'3-man'!Z$46,0)</f>
        <v/>
      </c>
      <c r="AA101">
        <f>IF(OR('3-man'!AA$47="P",'3-man'!AA$47="R",AND('3-man'!AA$46&lt;=IF('3-man'!$BF$32="",999,'3-man'!$BF$32),OR('3-man'!AA$47="D",LEFT('3-man'!AA$47,3)="ST&gt;",OR(AND('3-man'!AA$48="ST&gt;1",AA102&gt;=100),AND('3-man'!AA$49="ST&gt;1",AA110&gt;=100))))),'3-man'!AA$46,0)</f>
        <v/>
      </c>
      <c r="AB101">
        <f>IF(OR('3-man'!AB$47="P",'3-man'!AB$47="R",AND('3-man'!AB$46&lt;=IF('3-man'!$BF$32="",999,'3-man'!$BF$32),OR('3-man'!AB$47="D",LEFT('3-man'!AB$47,3)="ST&gt;",OR(AND('3-man'!AB$48="ST&gt;1",AB102&gt;=100),AND('3-man'!AB$49="ST&gt;1",AB110&gt;=100))))),'3-man'!AB$46,0)</f>
        <v/>
      </c>
      <c r="AC101">
        <f>IF(OR('3-man'!AC$47="P",'3-man'!AC$47="R",AND('3-man'!AC$46&lt;=IF('3-man'!$BF$32="",999,'3-man'!$BF$32),OR('3-man'!AC$47="D",LEFT('3-man'!AC$47,3)="ST&gt;",OR(AND('3-man'!AC$48="ST&gt;1",AC102&gt;=100),AND('3-man'!AC$49="ST&gt;1",AC110&gt;=100))))),'3-man'!AC$46,0)</f>
        <v/>
      </c>
      <c r="AD101">
        <f>IF(OR('3-man'!AD$47="P",'3-man'!AD$47="R",AND('3-man'!AD$46&lt;=IF('3-man'!$BF$32="",999,'3-man'!$BF$32),OR('3-man'!AD$47="D",LEFT('3-man'!AD$47,3)="ST&gt;",OR(AND('3-man'!AD$48="ST&gt;1",AD102&gt;=100),AND('3-man'!AD$49="ST&gt;1",AD110&gt;=100))))),'3-man'!AD$46,0)</f>
        <v/>
      </c>
      <c r="AE101">
        <f>IF(OR('3-man'!AE$47="P",'3-man'!AE$47="R",AND('3-man'!AE$46&lt;=IF('3-man'!$BF$32="",999,'3-man'!$BF$32),OR('3-man'!AE$47="D",LEFT('3-man'!AE$47,3)="ST&gt;",OR(AND('3-man'!AE$48="ST&gt;1",AE102&gt;=100),AND('3-man'!AE$49="ST&gt;1",AE110&gt;=100))))),'3-man'!AE$46,0)</f>
        <v/>
      </c>
      <c r="AF101">
        <f>IF(OR('3-man'!AF$47="P",'3-man'!AF$47="R",AND('3-man'!AF$46&lt;=IF('3-man'!$BF$32="",999,'3-man'!$BF$32),OR('3-man'!AF$47="D",LEFT('3-man'!AF$47,3)="ST&gt;",OR(AND('3-man'!AF$48="ST&gt;1",AF102&gt;=100),AND('3-man'!AF$49="ST&gt;1",AF110&gt;=100))))),'3-man'!AF$46,0)</f>
        <v/>
      </c>
      <c r="AG101">
        <f>IF(OR('3-man'!AG$47="P",'3-man'!AG$47="R",AND('3-man'!AG$46&lt;=IF('3-man'!$BF$32="",999,'3-man'!$BF$32),OR('3-man'!AG$47="D",LEFT('3-man'!AG$47,3)="ST&gt;",OR(AND('3-man'!AG$48="ST&gt;1",AG102&gt;=100),AND('3-man'!AG$49="ST&gt;1",AG110&gt;=100))))),'3-man'!AG$46,0)</f>
        <v/>
      </c>
      <c r="AH101">
        <f>IF(OR('3-man'!AH$47="P",'3-man'!AH$47="R",AND('3-man'!AH$46&lt;=IF('3-man'!$BF$32="",999,'3-man'!$BF$32),OR('3-man'!AH$47="D",LEFT('3-man'!AH$47,3)="ST&gt;",OR(AND('3-man'!AH$48="ST&gt;1",AH102&gt;=100),AND('3-man'!AH$49="ST&gt;1",AH110&gt;=100))))),'3-man'!AH$46,0)</f>
        <v/>
      </c>
      <c r="AI101">
        <f>IF(OR('3-man'!AI$47="P",'3-man'!AI$47="R",AND('3-man'!AI$46&lt;=IF('3-man'!$BF$32="",999,'3-man'!$BF$32),OR('3-man'!AI$47="D",LEFT('3-man'!AI$47,3)="ST&gt;",OR(AND('3-man'!AI$48="ST&gt;1",AI102&gt;=100),AND('3-man'!AI$49="ST&gt;1",AI110&gt;=100))))),'3-man'!AI$46,0)</f>
        <v/>
      </c>
      <c r="AJ101">
        <f>IF(OR('3-man'!AJ$47="P",'3-man'!AJ$47="R",AND('3-man'!AJ$46&lt;=IF('3-man'!$BF$32="",999,'3-man'!$BF$32),OR('3-man'!AJ$47="D",LEFT('3-man'!AJ$47,3)="ST&gt;",OR(AND('3-man'!AJ$48="ST&gt;1",AJ102&gt;=100),AND('3-man'!AJ$49="ST&gt;1",AJ110&gt;=100))))),'3-man'!AJ$46,0)</f>
        <v/>
      </c>
      <c r="AK101">
        <f>IF(OR('3-man'!AK$47="P",'3-man'!AK$47="R",AND('3-man'!AK$46&lt;=IF('3-man'!$BF$32="",999,'3-man'!$BF$32),OR('3-man'!AK$47="D",LEFT('3-man'!AK$47,3)="ST&gt;",OR(AND('3-man'!AK$48="ST&gt;1",AK102&gt;=100),AND('3-man'!AK$49="ST&gt;1",AK110&gt;=100))))),'3-man'!AK$46,0)</f>
        <v/>
      </c>
      <c r="AL101">
        <f>IF(OR('3-man'!AL$47="P",'3-man'!AL$47="R",AND('3-man'!AL$46&lt;=IF('3-man'!$BF$32="",999,'3-man'!$BF$32),OR('3-man'!AL$47="D",LEFT('3-man'!AL$47,3)="ST&gt;",OR(AND('3-man'!AL$48="ST&gt;1",AL102&gt;=100),AND('3-man'!AL$49="ST&gt;1",AL110&gt;=100))))),'3-man'!AL$46,0)</f>
        <v/>
      </c>
      <c r="AM101">
        <f>IF(OR('3-man'!AM$47="P",'3-man'!AM$47="R",AND('3-man'!AM$46&lt;=IF('3-man'!$BF$32="",999,'3-man'!$BF$32),OR('3-man'!AM$47="D",LEFT('3-man'!AM$47,3)="ST&gt;",OR(AND('3-man'!AM$48="ST&gt;1",AM102&gt;=100),AND('3-man'!AM$49="ST&gt;1",AM110&gt;=100))))),'3-man'!AM$46,0)</f>
        <v/>
      </c>
      <c r="AN101">
        <f>IF(OR('3-man'!AN$47="P",'3-man'!AN$47="R",AND('3-man'!AN$46&lt;=IF('3-man'!$BF$32="",999,'3-man'!$BF$32),OR('3-man'!AN$47="D",LEFT('3-man'!AN$47,3)="ST&gt;",OR(AND('3-man'!AN$48="ST&gt;1",AN102&gt;=100),AND('3-man'!AN$49="ST&gt;1",AN110&gt;=100))))),'3-man'!AN$46,0)</f>
        <v/>
      </c>
      <c r="AO101">
        <f>IF(OR('3-man'!AO$47="P",'3-man'!AO$47="R",AND('3-man'!AO$46&lt;=IF('3-man'!$BF$32="",999,'3-man'!$BF$32),OR('3-man'!AO$47="D",LEFT('3-man'!AO$47,3)="ST&gt;",OR(AND('3-man'!AO$48="ST&gt;1",AO102&gt;=100),AND('3-man'!AO$49="ST&gt;1",AO110&gt;=100))))),'3-man'!AO$46,0)</f>
        <v/>
      </c>
      <c r="AP101">
        <f>IF(OR('3-man'!AP$47="P",'3-man'!AP$47="R",AND('3-man'!AP$46&lt;=IF('3-man'!$BF$32="",999,'3-man'!$BF$32),OR('3-man'!AP$47="D",LEFT('3-man'!AP$47,3)="ST&gt;",OR(AND('3-man'!AP$48="ST&gt;1",AP102&gt;=100),AND('3-man'!AP$49="ST&gt;1",AP110&gt;=100))))),'3-man'!AP$46,0)</f>
        <v/>
      </c>
      <c r="AQ101">
        <f>IF(OR('3-man'!AQ$47="P",'3-man'!AQ$47="R",AND('3-man'!AQ$46&lt;=IF('3-man'!$BF$32="",999,'3-man'!$BF$32),OR('3-man'!AQ$47="D",LEFT('3-man'!AQ$47,3)="ST&gt;",OR(AND('3-man'!AQ$48="ST&gt;1",AQ102&gt;=100),AND('3-man'!AQ$49="ST&gt;1",AQ110&gt;=100))))),'3-man'!AQ$46,0)</f>
        <v/>
      </c>
      <c r="AR101">
        <f>IF(OR('3-man'!AR$47="P",'3-man'!AR$47="R",AND('3-man'!AR$46&lt;=IF('3-man'!$BF$32="",999,'3-man'!$BF$32),OR('3-man'!AR$47="D",LEFT('3-man'!AR$47,3)="ST&gt;",OR(AND('3-man'!AR$48="ST&gt;1",AR102&gt;=100),AND('3-man'!AR$49="ST&gt;1",AR110&gt;=100))))),'3-man'!AR$46,0)</f>
        <v/>
      </c>
      <c r="AS101">
        <f>IF(OR('3-man'!AS$47="P",'3-man'!AS$47="R",AND('3-man'!AS$46&lt;=IF('3-man'!$BF$32="",999,'3-man'!$BF$32),OR('3-man'!AS$47="D",LEFT('3-man'!AS$47,3)="ST&gt;",OR(AND('3-man'!AS$48="ST&gt;1",AS102&gt;=100),AND('3-man'!AS$49="ST&gt;1",AS110&gt;=100))))),'3-man'!AS$46,0)</f>
        <v/>
      </c>
      <c r="AT101">
        <f>IF(OR('3-man'!AT$47="P",'3-man'!AT$47="R",AND('3-man'!AT$46&lt;=IF('3-man'!$BF$32="",999,'3-man'!$BF$32),OR('3-man'!AT$47="D",LEFT('3-man'!AT$47,3)="ST&gt;",OR(AND('3-man'!AT$48="ST&gt;1",AT102&gt;=100),AND('3-man'!AT$49="ST&gt;1",AT110&gt;=100))))),'3-man'!AT$46,0)</f>
        <v/>
      </c>
      <c r="AU101">
        <f>IF(OR('3-man'!AU$47="P",'3-man'!AU$47="R",AND('3-man'!AU$46&lt;=IF('3-man'!$BF$32="",999,'3-man'!$BF$32),OR('3-man'!AU$47="D",LEFT('3-man'!AU$47,3)="ST&gt;",OR(AND('3-man'!AU$48="ST&gt;1",AU102&gt;=100),AND('3-man'!AU$49="ST&gt;1",AU110&gt;=100))))),'3-man'!AU$46,0)</f>
        <v/>
      </c>
      <c r="AV101">
        <f>IF(OR('3-man'!AV$47="P",'3-man'!AV$47="R",AND('3-man'!AV$46&lt;=IF('3-man'!$BF$32="",999,'3-man'!$BF$32),OR('3-man'!AV$47="D",LEFT('3-man'!AV$47,3)="ST&gt;",OR(AND('3-man'!AV$48="ST&gt;1",AV102&gt;=100),AND('3-man'!AV$49="ST&gt;1",AV110&gt;=100))))),'3-man'!AV$46,0)</f>
        <v/>
      </c>
      <c r="AW101">
        <f>IF(OR('3-man'!AW$47="P",'3-man'!AW$47="R",AND('3-man'!AW$46&lt;=IF('3-man'!$BF$32="",999,'3-man'!$BF$32),OR('3-man'!AW$47="D",LEFT('3-man'!AW$47,3)="ST&gt;",OR(AND('3-man'!AW$48="ST&gt;1",AW102&gt;=100),AND('3-man'!AW$49="ST&gt;1",AW110&gt;=100))))),'3-man'!AW$46,0)</f>
        <v/>
      </c>
      <c r="AX101">
        <f>IF(OR('3-man'!AX$47="P",'3-man'!AX$47="R",AND('3-man'!AX$46&lt;=IF('3-man'!$BF$32="",999,'3-man'!$BF$32),OR('3-man'!AX$47="D",LEFT('3-man'!AX$47,3)="ST&gt;",OR(AND('3-man'!AX$48="ST&gt;1",AX102&gt;=100),AND('3-man'!AX$49="ST&gt;1",AX110&gt;=100))))),'3-man'!AX$46,0)</f>
        <v/>
      </c>
      <c r="AY101">
        <f>IF(OR('3-man'!AY$47="P",'3-man'!AY$47="R",AND('3-man'!AY$46&lt;=IF('3-man'!$BF$32="",999,'3-man'!$BF$32),OR('3-man'!AY$47="D",LEFT('3-man'!AY$47,3)="ST&gt;",OR(AND('3-man'!AY$48="ST&gt;1",AY102&gt;=100),AND('3-man'!AY$49="ST&gt;1",AY110&gt;=100))))),'3-man'!AY$46,0)</f>
        <v/>
      </c>
      <c r="AZ101">
        <f>IF(OR('3-man'!AZ$47="P",'3-man'!AZ$47="R",AND('3-man'!AZ$46&lt;=IF('3-man'!$BF$32="",999,'3-man'!$BF$32),OR('3-man'!AZ$47="D",LEFT('3-man'!AZ$47,3)="ST&gt;",OR(AND('3-man'!AZ$48="ST&gt;1",AZ102&gt;=100),AND('3-man'!AZ$49="ST&gt;1",AZ110&gt;=100))))),'3-man'!AZ$46,0)</f>
        <v/>
      </c>
      <c r="BA101">
        <f>IF(OR('3-man'!BA$47="P",'3-man'!BA$47="R",AND('3-man'!BA$46&lt;=IF('3-man'!$BF$32="",999,'3-man'!$BF$32),OR('3-man'!BA$47="D",LEFT('3-man'!BA$47,3)="ST&gt;",OR(AND('3-man'!BA$48="ST&gt;1",BA102&gt;=100),AND('3-man'!BA$49="ST&gt;1",BA110&gt;=100))))),'3-man'!BA$46,0)</f>
        <v/>
      </c>
      <c r="BB101">
        <f>IF(OR('3-man'!BB$47="P",'3-man'!BB$47="R",AND('3-man'!BB$46&lt;=IF('3-man'!$BF$32="",999,'3-man'!$BF$32),OR('3-man'!BB$47="D",LEFT('3-man'!BB$47,3)="ST&gt;",OR(AND('3-man'!BB$48="ST&gt;1",BB102&gt;=100),AND('3-man'!BB$49="ST&gt;1",BB110&gt;=100))))),'3-man'!BB$46,0)</f>
        <v/>
      </c>
      <c r="BC101">
        <f>IF(OR('3-man'!BC$47="P",'3-man'!BC$47="R",AND('3-man'!BC$46&lt;=IF('3-man'!$BF$32="",999,'3-man'!$BF$32),OR('3-man'!BC$47="D",LEFT('3-man'!BC$47,3)="ST&gt;",OR(AND('3-man'!BC$48="ST&gt;1",BC102&gt;=100),AND('3-man'!BC$49="ST&gt;1",BC110&gt;=100))))),'3-man'!BC$46,0)</f>
        <v/>
      </c>
      <c r="BD101">
        <f>IF(OR('3-man'!BD$47="P",'3-man'!BD$47="R",AND('3-man'!BD$46&lt;=IF('3-man'!$BF$32="",999,'3-man'!$BF$32),OR('3-man'!BD$47="D",LEFT('3-man'!BD$47,3)="ST&gt;",OR(AND('3-man'!BD$48="ST&gt;1",BD102&gt;=100),AND('3-man'!BD$49="ST&gt;1",BD110&gt;=100))))),'3-man'!BD$46,0)</f>
        <v/>
      </c>
      <c r="BE101">
        <f>IF(OR('3-man'!BE$47="P",'3-man'!BE$47="R",AND('3-man'!BE$46&lt;=IF('3-man'!$BF$32="",999,'3-man'!$BF$32),OR('3-man'!BE$47="D",LEFT('3-man'!BE$47,3)="ST&gt;",OR(AND('3-man'!BE$48="ST&gt;1",BE102&gt;=100),AND('3-man'!BE$49="ST&gt;1",BE110&gt;=100))))),'3-man'!BE$46,0)</f>
        <v/>
      </c>
      <c r="BF101">
        <f>IF(OR('3-man'!BF$47="P",'3-man'!BF$47="R",AND('3-man'!BF$46&lt;=IF('3-man'!$BF$32="",999,'3-man'!$BF$32),OR('3-man'!BF$47="D",LEFT('3-man'!BF$47,3)="ST&gt;",OR(AND('3-man'!BF$48="ST&gt;1",BF102&gt;=100),AND('3-man'!BF$49="ST&gt;1",BF110&gt;=100))))),'3-man'!BF$46,0)</f>
        <v/>
      </c>
      <c r="BG101">
        <f>IF(OR('3-man'!BG$47="P",'3-man'!BG$47="R",AND('3-man'!BG$46&lt;=IF('3-man'!$BF$32="",999,'3-man'!$BF$32),OR('3-man'!BG$47="D",LEFT('3-man'!BG$47,3)="ST&gt;",OR(AND('3-man'!BG$48="ST&gt;1",BG102&gt;=100),AND('3-man'!BG$49="ST&gt;1",BG110&gt;=100))))),'3-man'!BG$46,0)</f>
        <v/>
      </c>
      <c r="BH101">
        <f>IF(OR('3-man'!BH$47="P",'3-man'!BH$47="R",AND('3-man'!BH$46&lt;=IF('3-man'!$BF$32="",999,'3-man'!$BF$32),OR('3-man'!BH$47="D",LEFT('3-man'!BH$47,3)="ST&gt;",OR(AND('3-man'!BH$48="ST&gt;1",BH102&gt;=100),AND('3-man'!BH$49="ST&gt;1",BH110&gt;=100))))),'3-man'!BH$46,0)</f>
        <v/>
      </c>
      <c r="BI101">
        <f>IF(OR('3-man'!BI$47="P",'3-man'!BI$47="R",AND('3-man'!BI$46&lt;=IF('3-man'!$BF$32="",999,'3-man'!$BF$32),OR('3-man'!BI$47="D",LEFT('3-man'!BI$47,3)="ST&gt;",OR(AND('3-man'!BI$48="ST&gt;1",BI102&gt;=100),AND('3-man'!BI$49="ST&gt;1",BI110&gt;=100))))),'3-man'!BI$46,0)</f>
        <v/>
      </c>
      <c r="BJ101">
        <f>IF(OR('3-man'!BJ$47="P",'3-man'!BJ$47="R",AND('3-man'!BJ$46&lt;=IF('3-man'!$BF$32="",999,'3-man'!$BF$32),OR('3-man'!BJ$47="D",LEFT('3-man'!BJ$47,3)="ST&gt;",OR(AND('3-man'!BJ$48="ST&gt;1",BJ102&gt;=100),AND('3-man'!BJ$49="ST&gt;1",BJ110&gt;=100))))),'3-man'!BJ$46,0)</f>
        <v/>
      </c>
      <c r="BK101">
        <f>IF(OR('3-man'!BK$47="P",'3-man'!BK$47="R",AND('3-man'!BK$46&lt;=IF('3-man'!$BF$32="",999,'3-man'!$BF$32),OR('3-man'!BK$47="D",LEFT('3-man'!BK$47,3)="ST&gt;",OR(AND('3-man'!BK$48="ST&gt;1",BK102&gt;=100),AND('3-man'!BK$49="ST&gt;1",BK110&gt;=100))))),'3-man'!BK$46,0)</f>
        <v/>
      </c>
      <c r="BL101">
        <f>IF(OR('3-man'!BL$47="P",'3-man'!BL$47="R",AND('3-man'!BL$46&lt;=IF('3-man'!$BF$32="",999,'3-man'!$BF$32),OR('3-man'!BL$47="D",LEFT('3-man'!BL$47,3)="ST&gt;",OR(AND('3-man'!BL$48="ST&gt;1",BL102&gt;=100),AND('3-man'!BL$49="ST&gt;1",BL110&gt;=100))))),'3-man'!BL$46,0)</f>
        <v/>
      </c>
      <c r="BM101">
        <f>IF(OR('3-man'!BM$47="P",'3-man'!BM$47="R",AND('3-man'!BM$46&lt;=IF('3-man'!$BF$32="",999,'3-man'!$BF$32),OR('3-man'!BM$47="D",LEFT('3-man'!BM$47,3)="ST&gt;",OR(AND('3-man'!BM$48="ST&gt;1",BM102&gt;=100),AND('3-man'!BM$49="ST&gt;1",BM110&gt;=100))))),'3-man'!BM$46,0)</f>
        <v/>
      </c>
      <c r="BN101">
        <f>IF(OR('3-man'!BN$47="P",'3-man'!BN$47="R",AND('3-man'!BN$46&lt;=IF('3-man'!$BF$32="",999,'3-man'!$BF$32),OR('3-man'!BN$47="D",LEFT('3-man'!BN$47,3)="ST&gt;",OR(AND('3-man'!BN$48="ST&gt;1",BN102&gt;=100),AND('3-man'!BN$49="ST&gt;1",BN110&gt;=100))))),'3-man'!BN$46,0)</f>
        <v/>
      </c>
      <c r="BO101">
        <f>IF(OR('3-man'!BO$47="P",'3-man'!BO$47="R",AND('3-man'!BO$46&lt;=IF('3-man'!$BF$32="",999,'3-man'!$BF$32),OR('3-man'!BO$47="D",LEFT('3-man'!BO$47,3)="ST&gt;",OR(AND('3-man'!BO$48="ST&gt;1",BO102&gt;=100),AND('3-man'!BO$49="ST&gt;1",BO110&gt;=100))))),'3-man'!BO$46,0)</f>
        <v/>
      </c>
      <c r="BP101">
        <f>IF(OR('3-man'!BP$47="P",'3-man'!BP$47="R",AND('3-man'!BP$46&lt;=IF('3-man'!$BF$32="",999,'3-man'!$BF$32),OR('3-man'!BP$47="D",LEFT('3-man'!BP$47,3)="ST&gt;",OR(AND('3-man'!BP$48="ST&gt;1",BP102&gt;=100),AND('3-man'!BP$49="ST&gt;1",BP110&gt;=100))))),'3-man'!BP$46,0)</f>
        <v/>
      </c>
      <c r="BQ101">
        <f>IF(OR('3-man'!BQ$47="P",'3-man'!BQ$47="R",AND('3-man'!BQ$46&lt;=IF('3-man'!$BF$32="",999,'3-man'!$BF$32),OR('3-man'!BQ$47="D",LEFT('3-man'!BQ$47,3)="ST&gt;",OR(AND('3-man'!BQ$48="ST&gt;1",BQ102&gt;=100),AND('3-man'!BQ$49="ST&gt;1",BQ110&gt;=100))))),'3-man'!BQ$46,0)</f>
        <v/>
      </c>
      <c r="BR101">
        <f>IF(OR('3-man'!BR$47="P",'3-man'!BR$47="R",AND('3-man'!BR$46&lt;=IF('3-man'!$BF$32="",999,'3-man'!$BF$32),OR('3-man'!BR$47="D",LEFT('3-man'!BR$47,3)="ST&gt;",OR(AND('3-man'!BR$48="ST&gt;1",BR102&gt;=100),AND('3-man'!BR$49="ST&gt;1",BR110&gt;=100))))),'3-man'!BR$46,0)</f>
        <v/>
      </c>
      <c r="BS101">
        <f>IF(OR('3-man'!BS$47="P",'3-man'!BS$47="R",AND('3-man'!BS$46&lt;=IF('3-man'!$BF$32="",999,'3-man'!$BF$32),OR('3-man'!BS$47="D",LEFT('3-man'!BS$47,3)="ST&gt;",OR(AND('3-man'!BS$48="ST&gt;1",BS102&gt;=100),AND('3-man'!BS$49="ST&gt;1",BS110&gt;=100))))),'3-man'!BS$46,0)</f>
        <v/>
      </c>
      <c r="BT101">
        <f>IF(OR('3-man'!BT$47="P",'3-man'!BT$47="R",AND('3-man'!BT$46&lt;=IF('3-man'!$BF$32="",999,'3-man'!$BF$32),OR('3-man'!BT$47="D",LEFT('3-man'!BT$47,3)="ST&gt;",OR(AND('3-man'!BT$48="ST&gt;1",BT102&gt;=100),AND('3-man'!BT$49="ST&gt;1",BT110&gt;=100))))),'3-man'!BT$46,0)</f>
        <v/>
      </c>
      <c r="BU101">
        <f>IF(OR('3-man'!BU$47="P",'3-man'!BU$47="R",AND('3-man'!BU$46&lt;=IF('3-man'!$BF$32="",999,'3-man'!$BF$32),OR('3-man'!BU$47="D",LEFT('3-man'!BU$47,3)="ST&gt;",OR(AND('3-man'!BU$48="ST&gt;1",BU102&gt;=100),AND('3-man'!BU$49="ST&gt;1",BU110&gt;=100))))),'3-man'!BU$46,0)</f>
        <v/>
      </c>
      <c r="BV101">
        <f>IF(OR('3-man'!BV$47="P",'3-man'!BV$47="R",AND('3-man'!BV$46&lt;=IF('3-man'!$BF$32="",999,'3-man'!$BF$32),OR('3-man'!BV$47="D",LEFT('3-man'!BV$47,3)="ST&gt;",OR(AND('3-man'!BV$48="ST&gt;1",BV102&gt;=100),AND('3-man'!BV$49="ST&gt;1",BV110&gt;=100))))),'3-man'!BV$46,0)</f>
        <v/>
      </c>
      <c r="BW101">
        <f>IF(OR('3-man'!BW$47="P",'3-man'!BW$47="R",AND('3-man'!BW$46&lt;=IF('3-man'!$BF$32="",999,'3-man'!$BF$32),OR('3-man'!BW$47="D",LEFT('3-man'!BW$47,3)="ST&gt;",OR(AND('3-man'!BW$48="ST&gt;1",BW102&gt;=100),AND('3-man'!BW$49="ST&gt;1",BW110&gt;=100))))),'3-man'!BW$46,0)</f>
        <v/>
      </c>
      <c r="BX101">
        <f>IF(OR('3-man'!BX$47="P",'3-man'!BX$47="R",AND('3-man'!BX$46&lt;=IF('3-man'!$BF$32="",999,'3-man'!$BF$32),OR('3-man'!BX$47="D",LEFT('3-man'!BX$47,3)="ST&gt;",OR(AND('3-man'!BX$48="ST&gt;1",BX102&gt;=100),AND('3-man'!BX$49="ST&gt;1",BX110&gt;=100))))),'3-man'!BX$46,0)</f>
        <v/>
      </c>
      <c r="BY101">
        <f>IF(OR('3-man'!BY$47="P",'3-man'!BY$47="R",AND('3-man'!BY$46&lt;=IF('3-man'!$BF$32="",999,'3-man'!$BF$32),OR('3-man'!BY$47="D",LEFT('3-man'!BY$47,3)="ST&gt;",OR(AND('3-man'!BY$48="ST&gt;1",BY102&gt;=100),AND('3-man'!BY$49="ST&gt;1",BY110&gt;=100))))),'3-man'!BY$46,0)</f>
        <v/>
      </c>
      <c r="BZ101">
        <f>IF(OR('3-man'!BZ$47="P",'3-man'!BZ$47="R",AND('3-man'!BZ$46&lt;=IF('3-man'!$BF$32="",999,'3-man'!$BF$32),OR('3-man'!BZ$47="D",LEFT('3-man'!BZ$47,3)="ST&gt;",OR(AND('3-man'!BZ$48="ST&gt;1",BZ102&gt;=100),AND('3-man'!BZ$49="ST&gt;1",BZ110&gt;=100))))),'3-man'!BZ$46,0)</f>
        <v/>
      </c>
      <c r="CA101">
        <f>IF(OR('3-man'!CA$47="P",'3-man'!CA$47="R",AND('3-man'!CA$46&lt;=IF('3-man'!$BF$32="",999,'3-man'!$BF$32),OR('3-man'!CA$47="D",LEFT('3-man'!CA$47,3)="ST&gt;",OR(AND('3-man'!CA$48="ST&gt;1",CA102&gt;=100),AND('3-man'!CA$49="ST&gt;1",CA110&gt;=100))))),'3-man'!CA$46,0)</f>
        <v/>
      </c>
      <c r="CB101">
        <f>IF(OR('3-man'!CB$47="P",'3-man'!CB$47="R",AND('3-man'!CB$46&lt;=IF('3-man'!$BF$32="",999,'3-man'!$BF$32),OR('3-man'!CB$47="D",LEFT('3-man'!CB$47,3)="ST&gt;",OR(AND('3-man'!CB$48="ST&gt;1",CB102&gt;=100),AND('3-man'!CB$49="ST&gt;1",CB110&gt;=100))))),'3-man'!CB$46,0)</f>
        <v/>
      </c>
      <c r="CC101">
        <f>IF(OR('3-man'!CC$47="P",'3-man'!CC$47="R",AND('3-man'!CC$46&lt;=IF('3-man'!$BF$32="",999,'3-man'!$BF$32),OR('3-man'!CC$47="D",LEFT('3-man'!CC$47,3)="ST&gt;",OR(AND('3-man'!CC$48="ST&gt;1",CC102&gt;=100),AND('3-man'!CC$49="ST&gt;1",CC110&gt;=100))))),'3-man'!CC$46,0)</f>
        <v/>
      </c>
      <c r="CD101">
        <f>IF(OR('3-man'!CD$47="P",'3-man'!CD$47="R",AND('3-man'!CD$46&lt;=IF('3-man'!$BF$32="",999,'3-man'!$BF$32),OR('3-man'!CD$47="D",LEFT('3-man'!CD$47,3)="ST&gt;",OR(AND('3-man'!CD$48="ST&gt;1",CD102&gt;=100),AND('3-man'!CD$49="ST&gt;1",CD110&gt;=100))))),'3-man'!CD$46,0)</f>
        <v/>
      </c>
    </row>
    <row r="102">
      <c r="A102" t="inlineStr">
        <is>
          <t>P2 s1</t>
        </is>
      </c>
      <c r="C102">
        <f>MIN(100,B103+IF(AND(B103&lt;100,B104+1&gt;=IF(OR('3-man'!$F$33=TRUE,'3-man'!$F$33="TRUE",'3-man'!$F$33="Yes"),25,50)),10,0)+IF('3-man'!C$46=$Q$108,25,0))</f>
        <v/>
      </c>
      <c r="D102">
        <f>MIN(100,C103+IF(AND(C103&lt;100,C104+1&gt;=IF(OR('3-man'!$F$33=TRUE,'3-man'!$F$33="TRUE",'3-man'!$F$33="Yes"),25,50)),10,0)+IF('3-man'!D$46=$Q$108,25,0))</f>
        <v/>
      </c>
      <c r="E102">
        <f>MIN(100,D103+IF(AND(D103&lt;100,D104+1&gt;=IF(OR('3-man'!$F$33=TRUE,'3-man'!$F$33="TRUE",'3-man'!$F$33="Yes"),25,50)),10,0)+IF('3-man'!E$46=$Q$108,25,0))</f>
        <v/>
      </c>
      <c r="F102">
        <f>MIN(100,E103+IF(AND(E103&lt;100,E104+1&gt;=IF(OR('3-man'!$F$33=TRUE,'3-man'!$F$33="TRUE",'3-man'!$F$33="Yes"),25,50)),10,0)+IF('3-man'!F$46=$Q$108,25,0))</f>
        <v/>
      </c>
      <c r="G102">
        <f>MIN(100,F103+IF(AND(F103&lt;100,F104+1&gt;=IF(OR('3-man'!$F$33=TRUE,'3-man'!$F$33="TRUE",'3-man'!$F$33="Yes"),25,50)),10,0)+IF('3-man'!G$46=$Q$108,25,0))</f>
        <v/>
      </c>
      <c r="H102">
        <f>MIN(100,G103+IF(AND(G103&lt;100,G104+1&gt;=IF(OR('3-man'!$F$33=TRUE,'3-man'!$F$33="TRUE",'3-man'!$F$33="Yes"),25,50)),10,0)+IF('3-man'!H$46=$Q$108,25,0))</f>
        <v/>
      </c>
      <c r="I102">
        <f>MIN(100,H103+IF(AND(H103&lt;100,H104+1&gt;=IF(OR('3-man'!$F$33=TRUE,'3-man'!$F$33="TRUE",'3-man'!$F$33="Yes"),25,50)),10,0)+IF('3-man'!I$46=$Q$108,25,0))</f>
        <v/>
      </c>
      <c r="J102">
        <f>MIN(100,I103+IF(AND(I103&lt;100,I104+1&gt;=IF(OR('3-man'!$F$33=TRUE,'3-man'!$F$33="TRUE",'3-man'!$F$33="Yes"),25,50)),10,0)+IF('3-man'!J$46=$Q$108,25,0))</f>
        <v/>
      </c>
      <c r="K102">
        <f>MIN(100,J103+IF(AND(J103&lt;100,J104+1&gt;=IF(OR('3-man'!$F$33=TRUE,'3-man'!$F$33="TRUE",'3-man'!$F$33="Yes"),25,50)),10,0)+IF('3-man'!K$46=$Q$108,25,0))</f>
        <v/>
      </c>
      <c r="L102">
        <f>MIN(100,K103+IF(AND(K103&lt;100,K104+1&gt;=IF(OR('3-man'!$F$33=TRUE,'3-man'!$F$33="TRUE",'3-man'!$F$33="Yes"),25,50)),10,0)+IF('3-man'!L$46=$Q$108,25,0))</f>
        <v/>
      </c>
      <c r="M102">
        <f>MIN(100,L103+IF(AND(L103&lt;100,L104+1&gt;=IF(OR('3-man'!$F$33=TRUE,'3-man'!$F$33="TRUE",'3-man'!$F$33="Yes"),25,50)),10,0)+IF('3-man'!M$46=$Q$108,25,0))</f>
        <v/>
      </c>
      <c r="N102">
        <f>MIN(100,M103+IF(AND(M103&lt;100,M104+1&gt;=IF(OR('3-man'!$F$33=TRUE,'3-man'!$F$33="TRUE",'3-man'!$F$33="Yes"),25,50)),10,0)+IF('3-man'!N$46=$Q$108,25,0))</f>
        <v/>
      </c>
      <c r="O102">
        <f>MIN(100,N103+IF(AND(N103&lt;100,N104+1&gt;=IF(OR('3-man'!$F$33=TRUE,'3-man'!$F$33="TRUE",'3-man'!$F$33="Yes"),25,50)),10,0)+IF('3-man'!O$46=$Q$108,25,0))</f>
        <v/>
      </c>
      <c r="P102">
        <f>MIN(100,O103+IF(AND(O103&lt;100,O104+1&gt;=IF(OR('3-man'!$F$33=TRUE,'3-man'!$F$33="TRUE",'3-man'!$F$33="Yes"),25,50)),10,0)+IF('3-man'!P$46=$Q$108,25,0))</f>
        <v/>
      </c>
      <c r="Q102">
        <f>MIN(100,P103+IF(AND(P103&lt;100,P104+1&gt;=IF(OR('3-man'!$F$33=TRUE,'3-man'!$F$33="TRUE",'3-man'!$F$33="Yes"),25,50)),10,0)+IF('3-man'!Q$46=$Q$108,25,0))</f>
        <v/>
      </c>
      <c r="R102">
        <f>MIN(100,Q103+IF(AND(Q103&lt;100,Q104+1&gt;=IF(OR('3-man'!$F$33=TRUE,'3-man'!$F$33="TRUE",'3-man'!$F$33="Yes"),25,50)),10,0)+IF('3-man'!R$46=$Q$108,25,0))</f>
        <v/>
      </c>
      <c r="S102">
        <f>MIN(100,R103+IF(AND(R103&lt;100,R104+1&gt;=IF(OR('3-man'!$F$33=TRUE,'3-man'!$F$33="TRUE",'3-man'!$F$33="Yes"),25,50)),10,0)+IF('3-man'!S$46=$Q$108,25,0))</f>
        <v/>
      </c>
      <c r="T102">
        <f>MIN(100,S103+IF(AND(S103&lt;100,S104+1&gt;=IF(OR('3-man'!$F$33=TRUE,'3-man'!$F$33="TRUE",'3-man'!$F$33="Yes"),25,50)),10,0)+IF('3-man'!T$46=$Q$108,25,0))</f>
        <v/>
      </c>
      <c r="U102">
        <f>MIN(100,T103+IF(AND(T103&lt;100,T104+1&gt;=IF(OR('3-man'!$F$33=TRUE,'3-man'!$F$33="TRUE",'3-man'!$F$33="Yes"),25,50)),10,0)+IF('3-man'!U$46=$Q$108,25,0))</f>
        <v/>
      </c>
      <c r="V102">
        <f>MIN(100,U103+IF(AND(U103&lt;100,U104+1&gt;=IF(OR('3-man'!$F$33=TRUE,'3-man'!$F$33="TRUE",'3-man'!$F$33="Yes"),25,50)),10,0)+IF('3-man'!V$46=$Q$108,25,0))</f>
        <v/>
      </c>
      <c r="W102">
        <f>MIN(100,V103+IF(AND(V103&lt;100,V104+1&gt;=IF(OR('3-man'!$F$33=TRUE,'3-man'!$F$33="TRUE",'3-man'!$F$33="Yes"),25,50)),10,0)+IF('3-man'!W$46=$Q$108,25,0))</f>
        <v/>
      </c>
      <c r="X102">
        <f>MIN(100,W103+IF(AND(W103&lt;100,W104+1&gt;=IF(OR('3-man'!$F$33=TRUE,'3-man'!$F$33="TRUE",'3-man'!$F$33="Yes"),25,50)),10,0)+IF('3-man'!X$46=$Q$108,25,0))</f>
        <v/>
      </c>
      <c r="Y102">
        <f>MIN(100,X103+IF(AND(X103&lt;100,X104+1&gt;=IF(OR('3-man'!$F$33=TRUE,'3-man'!$F$33="TRUE",'3-man'!$F$33="Yes"),25,50)),10,0)+IF('3-man'!Y$46=$Q$108,25,0))</f>
        <v/>
      </c>
      <c r="Z102">
        <f>MIN(100,Y103+IF(AND(Y103&lt;100,Y104+1&gt;=IF(OR('3-man'!$F$33=TRUE,'3-man'!$F$33="TRUE",'3-man'!$F$33="Yes"),25,50)),10,0)+IF('3-man'!Z$46=$Q$108,25,0))</f>
        <v/>
      </c>
      <c r="AA102">
        <f>MIN(100,Z103+IF(AND(Z103&lt;100,Z104+1&gt;=IF(OR('3-man'!$F$33=TRUE,'3-man'!$F$33="TRUE",'3-man'!$F$33="Yes"),25,50)),10,0)+IF('3-man'!AA$46=$Q$108,25,0))</f>
        <v/>
      </c>
      <c r="AB102">
        <f>MIN(100,AA103+IF(AND(AA103&lt;100,AA104+1&gt;=IF(OR('3-man'!$F$33=TRUE,'3-man'!$F$33="TRUE",'3-man'!$F$33="Yes"),25,50)),10,0)+IF('3-man'!AB$46=$Q$108,25,0))</f>
        <v/>
      </c>
      <c r="AC102">
        <f>MIN(100,AB103+IF(AND(AB103&lt;100,AB104+1&gt;=IF(OR('3-man'!$F$33=TRUE,'3-man'!$F$33="TRUE",'3-man'!$F$33="Yes"),25,50)),10,0)+IF('3-man'!AC$46=$Q$108,25,0))</f>
        <v/>
      </c>
      <c r="AD102">
        <f>MIN(100,AC103+IF(AND(AC103&lt;100,AC104+1&gt;=IF(OR('3-man'!$F$33=TRUE,'3-man'!$F$33="TRUE",'3-man'!$F$33="Yes"),25,50)),10,0)+IF('3-man'!AD$46=$Q$108,25,0))</f>
        <v/>
      </c>
      <c r="AE102">
        <f>MIN(100,AD103+IF(AND(AD103&lt;100,AD104+1&gt;=IF(OR('3-man'!$F$33=TRUE,'3-man'!$F$33="TRUE",'3-man'!$F$33="Yes"),25,50)),10,0)+IF('3-man'!AE$46=$Q$108,25,0))</f>
        <v/>
      </c>
      <c r="AF102">
        <f>MIN(100,AE103+IF(AND(AE103&lt;100,AE104+1&gt;=IF(OR('3-man'!$F$33=TRUE,'3-man'!$F$33="TRUE",'3-man'!$F$33="Yes"),25,50)),10,0)+IF('3-man'!AF$46=$Q$108,25,0))</f>
        <v/>
      </c>
      <c r="AG102">
        <f>MIN(100,AF103+IF(AND(AF103&lt;100,AF104+1&gt;=IF(OR('3-man'!$F$33=TRUE,'3-man'!$F$33="TRUE",'3-man'!$F$33="Yes"),25,50)),10,0)+IF('3-man'!AG$46=$Q$108,25,0))</f>
        <v/>
      </c>
      <c r="AH102">
        <f>MIN(100,AG103+IF(AND(AG103&lt;100,AG104+1&gt;=IF(OR('3-man'!$F$33=TRUE,'3-man'!$F$33="TRUE",'3-man'!$F$33="Yes"),25,50)),10,0)+IF('3-man'!AH$46=$Q$108,25,0))</f>
        <v/>
      </c>
      <c r="AI102">
        <f>MIN(100,AH103+IF(AND(AH103&lt;100,AH104+1&gt;=IF(OR('3-man'!$F$33=TRUE,'3-man'!$F$33="TRUE",'3-man'!$F$33="Yes"),25,50)),10,0)+IF('3-man'!AI$46=$Q$108,25,0))</f>
        <v/>
      </c>
      <c r="AJ102">
        <f>MIN(100,AI103+IF(AND(AI103&lt;100,AI104+1&gt;=IF(OR('3-man'!$F$33=TRUE,'3-man'!$F$33="TRUE",'3-man'!$F$33="Yes"),25,50)),10,0)+IF('3-man'!AJ$46=$Q$108,25,0))</f>
        <v/>
      </c>
      <c r="AK102">
        <f>MIN(100,AJ103+IF(AND(AJ103&lt;100,AJ104+1&gt;=IF(OR('3-man'!$F$33=TRUE,'3-man'!$F$33="TRUE",'3-man'!$F$33="Yes"),25,50)),10,0)+IF('3-man'!AK$46=$Q$108,25,0))</f>
        <v/>
      </c>
      <c r="AL102">
        <f>MIN(100,AK103+IF(AND(AK103&lt;100,AK104+1&gt;=IF(OR('3-man'!$F$33=TRUE,'3-man'!$F$33="TRUE",'3-man'!$F$33="Yes"),25,50)),10,0)+IF('3-man'!AL$46=$Q$108,25,0))</f>
        <v/>
      </c>
      <c r="AM102">
        <f>MIN(100,AL103+IF(AND(AL103&lt;100,AL104+1&gt;=IF(OR('3-man'!$F$33=TRUE,'3-man'!$F$33="TRUE",'3-man'!$F$33="Yes"),25,50)),10,0)+IF('3-man'!AM$46=$Q$108,25,0))</f>
        <v/>
      </c>
      <c r="AN102">
        <f>MIN(100,AM103+IF(AND(AM103&lt;100,AM104+1&gt;=IF(OR('3-man'!$F$33=TRUE,'3-man'!$F$33="TRUE",'3-man'!$F$33="Yes"),25,50)),10,0)+IF('3-man'!AN$46=$Q$108,25,0))</f>
        <v/>
      </c>
      <c r="AO102">
        <f>MIN(100,AN103+IF(AND(AN103&lt;100,AN104+1&gt;=IF(OR('3-man'!$F$33=TRUE,'3-man'!$F$33="TRUE",'3-man'!$F$33="Yes"),25,50)),10,0)+IF('3-man'!AO$46=$Q$108,25,0))</f>
        <v/>
      </c>
      <c r="AP102">
        <f>MIN(100,AO103+IF(AND(AO103&lt;100,AO104+1&gt;=IF(OR('3-man'!$F$33=TRUE,'3-man'!$F$33="TRUE",'3-man'!$F$33="Yes"),25,50)),10,0)+IF('3-man'!AP$46=$Q$108,25,0))</f>
        <v/>
      </c>
      <c r="AQ102">
        <f>MIN(100,AP103+IF(AND(AP103&lt;100,AP104+1&gt;=IF(OR('3-man'!$F$33=TRUE,'3-man'!$F$33="TRUE",'3-man'!$F$33="Yes"),25,50)),10,0)+IF('3-man'!AQ$46=$Q$108,25,0))</f>
        <v/>
      </c>
      <c r="AR102">
        <f>MIN(100,AQ103+IF(AND(AQ103&lt;100,AQ104+1&gt;=IF(OR('3-man'!$F$33=TRUE,'3-man'!$F$33="TRUE",'3-man'!$F$33="Yes"),25,50)),10,0)+IF('3-man'!AR$46=$Q$108,25,0))</f>
        <v/>
      </c>
      <c r="AS102">
        <f>MIN(100,AR103+IF(AND(AR103&lt;100,AR104+1&gt;=IF(OR('3-man'!$F$33=TRUE,'3-man'!$F$33="TRUE",'3-man'!$F$33="Yes"),25,50)),10,0)+IF('3-man'!AS$46=$Q$108,25,0))</f>
        <v/>
      </c>
      <c r="AT102">
        <f>MIN(100,AS103+IF(AND(AS103&lt;100,AS104+1&gt;=IF(OR('3-man'!$F$33=TRUE,'3-man'!$F$33="TRUE",'3-man'!$F$33="Yes"),25,50)),10,0)+IF('3-man'!AT$46=$Q$108,25,0))</f>
        <v/>
      </c>
      <c r="AU102">
        <f>MIN(100,AT103+IF(AND(AT103&lt;100,AT104+1&gt;=IF(OR('3-man'!$F$33=TRUE,'3-man'!$F$33="TRUE",'3-man'!$F$33="Yes"),25,50)),10,0)+IF('3-man'!AU$46=$Q$108,25,0))</f>
        <v/>
      </c>
      <c r="AV102">
        <f>MIN(100,AU103+IF(AND(AU103&lt;100,AU104+1&gt;=IF(OR('3-man'!$F$33=TRUE,'3-man'!$F$33="TRUE",'3-man'!$F$33="Yes"),25,50)),10,0)+IF('3-man'!AV$46=$Q$108,25,0))</f>
        <v/>
      </c>
      <c r="AW102">
        <f>MIN(100,AV103+IF(AND(AV103&lt;100,AV104+1&gt;=IF(OR('3-man'!$F$33=TRUE,'3-man'!$F$33="TRUE",'3-man'!$F$33="Yes"),25,50)),10,0)+IF('3-man'!AW$46=$Q$108,25,0))</f>
        <v/>
      </c>
      <c r="AX102">
        <f>MIN(100,AW103+IF(AND(AW103&lt;100,AW104+1&gt;=IF(OR('3-man'!$F$33=TRUE,'3-man'!$F$33="TRUE",'3-man'!$F$33="Yes"),25,50)),10,0)+IF('3-man'!AX$46=$Q$108,25,0))</f>
        <v/>
      </c>
      <c r="AY102">
        <f>MIN(100,AX103+IF(AND(AX103&lt;100,AX104+1&gt;=IF(OR('3-man'!$F$33=TRUE,'3-man'!$F$33="TRUE",'3-man'!$F$33="Yes"),25,50)),10,0)+IF('3-man'!AY$46=$Q$108,25,0))</f>
        <v/>
      </c>
      <c r="AZ102">
        <f>MIN(100,AY103+IF(AND(AY103&lt;100,AY104+1&gt;=IF(OR('3-man'!$F$33=TRUE,'3-man'!$F$33="TRUE",'3-man'!$F$33="Yes"),25,50)),10,0)+IF('3-man'!AZ$46=$Q$108,25,0))</f>
        <v/>
      </c>
      <c r="BA102">
        <f>MIN(100,AZ103+IF(AND(AZ103&lt;100,AZ104+1&gt;=IF(OR('3-man'!$F$33=TRUE,'3-man'!$F$33="TRUE",'3-man'!$F$33="Yes"),25,50)),10,0)+IF('3-man'!BA$46=$Q$108,25,0))</f>
        <v/>
      </c>
      <c r="BB102">
        <f>MIN(100,BA103+IF(AND(BA103&lt;100,BA104+1&gt;=IF(OR('3-man'!$F$33=TRUE,'3-man'!$F$33="TRUE",'3-man'!$F$33="Yes"),25,50)),10,0)+IF('3-man'!BB$46=$Q$108,25,0))</f>
        <v/>
      </c>
      <c r="BC102">
        <f>MIN(100,BB103+IF(AND(BB103&lt;100,BB104+1&gt;=IF(OR('3-man'!$F$33=TRUE,'3-man'!$F$33="TRUE",'3-man'!$F$33="Yes"),25,50)),10,0)+IF('3-man'!BC$46=$Q$108,25,0))</f>
        <v/>
      </c>
      <c r="BD102">
        <f>MIN(100,BC103+IF(AND(BC103&lt;100,BC104+1&gt;=IF(OR('3-man'!$F$33=TRUE,'3-man'!$F$33="TRUE",'3-man'!$F$33="Yes"),25,50)),10,0)+IF('3-man'!BD$46=$Q$108,25,0))</f>
        <v/>
      </c>
      <c r="BE102">
        <f>MIN(100,BD103+IF(AND(BD103&lt;100,BD104+1&gt;=IF(OR('3-man'!$F$33=TRUE,'3-man'!$F$33="TRUE",'3-man'!$F$33="Yes"),25,50)),10,0)+IF('3-man'!BE$46=$Q$108,25,0))</f>
        <v/>
      </c>
      <c r="BF102">
        <f>MIN(100,BE103+IF(AND(BE103&lt;100,BE104+1&gt;=IF(OR('3-man'!$F$33=TRUE,'3-man'!$F$33="TRUE",'3-man'!$F$33="Yes"),25,50)),10,0)+IF('3-man'!BF$46=$Q$108,25,0))</f>
        <v/>
      </c>
      <c r="BG102">
        <f>MIN(100,BF103+IF(AND(BF103&lt;100,BF104+1&gt;=IF(OR('3-man'!$F$33=TRUE,'3-man'!$F$33="TRUE",'3-man'!$F$33="Yes"),25,50)),10,0)+IF('3-man'!BG$46=$Q$108,25,0))</f>
        <v/>
      </c>
      <c r="BH102">
        <f>MIN(100,BG103+IF(AND(BG103&lt;100,BG104+1&gt;=IF(OR('3-man'!$F$33=TRUE,'3-man'!$F$33="TRUE",'3-man'!$F$33="Yes"),25,50)),10,0)+IF('3-man'!BH$46=$Q$108,25,0))</f>
        <v/>
      </c>
      <c r="BI102">
        <f>MIN(100,BH103+IF(AND(BH103&lt;100,BH104+1&gt;=IF(OR('3-man'!$F$33=TRUE,'3-man'!$F$33="TRUE",'3-man'!$F$33="Yes"),25,50)),10,0)+IF('3-man'!BI$46=$Q$108,25,0))</f>
        <v/>
      </c>
      <c r="BJ102">
        <f>MIN(100,BI103+IF(AND(BI103&lt;100,BI104+1&gt;=IF(OR('3-man'!$F$33=TRUE,'3-man'!$F$33="TRUE",'3-man'!$F$33="Yes"),25,50)),10,0)+IF('3-man'!BJ$46=$Q$108,25,0))</f>
        <v/>
      </c>
      <c r="BK102">
        <f>MIN(100,BJ103+IF(AND(BJ103&lt;100,BJ104+1&gt;=IF(OR('3-man'!$F$33=TRUE,'3-man'!$F$33="TRUE",'3-man'!$F$33="Yes"),25,50)),10,0)+IF('3-man'!BK$46=$Q$108,25,0))</f>
        <v/>
      </c>
      <c r="BL102">
        <f>MIN(100,BK103+IF(AND(BK103&lt;100,BK104+1&gt;=IF(OR('3-man'!$F$33=TRUE,'3-man'!$F$33="TRUE",'3-man'!$F$33="Yes"),25,50)),10,0)+IF('3-man'!BL$46=$Q$108,25,0))</f>
        <v/>
      </c>
      <c r="BM102">
        <f>MIN(100,BL103+IF(AND(BL103&lt;100,BL104+1&gt;=IF(OR('3-man'!$F$33=TRUE,'3-man'!$F$33="TRUE",'3-man'!$F$33="Yes"),25,50)),10,0)+IF('3-man'!BM$46=$Q$108,25,0))</f>
        <v/>
      </c>
      <c r="BN102">
        <f>MIN(100,BM103+IF(AND(BM103&lt;100,BM104+1&gt;=IF(OR('3-man'!$F$33=TRUE,'3-man'!$F$33="TRUE",'3-man'!$F$33="Yes"),25,50)),10,0)+IF('3-man'!BN$46=$Q$108,25,0))</f>
        <v/>
      </c>
      <c r="BO102">
        <f>MIN(100,BN103+IF(AND(BN103&lt;100,BN104+1&gt;=IF(OR('3-man'!$F$33=TRUE,'3-man'!$F$33="TRUE",'3-man'!$F$33="Yes"),25,50)),10,0)+IF('3-man'!BO$46=$Q$108,25,0))</f>
        <v/>
      </c>
      <c r="BP102">
        <f>MIN(100,BO103+IF(AND(BO103&lt;100,BO104+1&gt;=IF(OR('3-man'!$F$33=TRUE,'3-man'!$F$33="TRUE",'3-man'!$F$33="Yes"),25,50)),10,0)+IF('3-man'!BP$46=$Q$108,25,0))</f>
        <v/>
      </c>
      <c r="BQ102">
        <f>MIN(100,BP103+IF(AND(BP103&lt;100,BP104+1&gt;=IF(OR('3-man'!$F$33=TRUE,'3-man'!$F$33="TRUE",'3-man'!$F$33="Yes"),25,50)),10,0)+IF('3-man'!BQ$46=$Q$108,25,0))</f>
        <v/>
      </c>
      <c r="BR102">
        <f>MIN(100,BQ103+IF(AND(BQ103&lt;100,BQ104+1&gt;=IF(OR('3-man'!$F$33=TRUE,'3-man'!$F$33="TRUE",'3-man'!$F$33="Yes"),25,50)),10,0)+IF('3-man'!BR$46=$Q$108,25,0))</f>
        <v/>
      </c>
      <c r="BS102">
        <f>MIN(100,BR103+IF(AND(BR103&lt;100,BR104+1&gt;=IF(OR('3-man'!$F$33=TRUE,'3-man'!$F$33="TRUE",'3-man'!$F$33="Yes"),25,50)),10,0)+IF('3-man'!BS$46=$Q$108,25,0))</f>
        <v/>
      </c>
      <c r="BT102">
        <f>MIN(100,BS103+IF(AND(BS103&lt;100,BS104+1&gt;=IF(OR('3-man'!$F$33=TRUE,'3-man'!$F$33="TRUE",'3-man'!$F$33="Yes"),25,50)),10,0)+IF('3-man'!BT$46=$Q$108,25,0))</f>
        <v/>
      </c>
      <c r="BU102">
        <f>MIN(100,BT103+IF(AND(BT103&lt;100,BT104+1&gt;=IF(OR('3-man'!$F$33=TRUE,'3-man'!$F$33="TRUE",'3-man'!$F$33="Yes"),25,50)),10,0)+IF('3-man'!BU$46=$Q$108,25,0))</f>
        <v/>
      </c>
      <c r="BV102">
        <f>MIN(100,BU103+IF(AND(BU103&lt;100,BU104+1&gt;=IF(OR('3-man'!$F$33=TRUE,'3-man'!$F$33="TRUE",'3-man'!$F$33="Yes"),25,50)),10,0)+IF('3-man'!BV$46=$Q$108,25,0))</f>
        <v/>
      </c>
      <c r="BW102">
        <f>MIN(100,BV103+IF(AND(BV103&lt;100,BV104+1&gt;=IF(OR('3-man'!$F$33=TRUE,'3-man'!$F$33="TRUE",'3-man'!$F$33="Yes"),25,50)),10,0)+IF('3-man'!BW$46=$Q$108,25,0))</f>
        <v/>
      </c>
      <c r="BX102">
        <f>MIN(100,BW103+IF(AND(BW103&lt;100,BW104+1&gt;=IF(OR('3-man'!$F$33=TRUE,'3-man'!$F$33="TRUE",'3-man'!$F$33="Yes"),25,50)),10,0)+IF('3-man'!BX$46=$Q$108,25,0))</f>
        <v/>
      </c>
      <c r="BY102">
        <f>MIN(100,BX103+IF(AND(BX103&lt;100,BX104+1&gt;=IF(OR('3-man'!$F$33=TRUE,'3-man'!$F$33="TRUE",'3-man'!$F$33="Yes"),25,50)),10,0)+IF('3-man'!BY$46=$Q$108,25,0))</f>
        <v/>
      </c>
      <c r="BZ102">
        <f>MIN(100,BY103+IF(AND(BY103&lt;100,BY104+1&gt;=IF(OR('3-man'!$F$33=TRUE,'3-man'!$F$33="TRUE",'3-man'!$F$33="Yes"),25,50)),10,0)+IF('3-man'!BZ$46=$Q$108,25,0))</f>
        <v/>
      </c>
      <c r="CA102">
        <f>MIN(100,BZ103+IF(AND(BZ103&lt;100,BZ104+1&gt;=IF(OR('3-man'!$F$33=TRUE,'3-man'!$F$33="TRUE",'3-man'!$F$33="Yes"),25,50)),10,0)+IF('3-man'!CA$46=$Q$108,25,0))</f>
        <v/>
      </c>
      <c r="CB102">
        <f>MIN(100,CA103+IF(AND(CA103&lt;100,CA104+1&gt;=IF(OR('3-man'!$F$33=TRUE,'3-man'!$F$33="TRUE",'3-man'!$F$33="Yes"),25,50)),10,0)+IF('3-man'!CB$46=$Q$108,25,0))</f>
        <v/>
      </c>
      <c r="CC102">
        <f>MIN(100,CB103+IF(AND(CB103&lt;100,CB104+1&gt;=IF(OR('3-man'!$F$33=TRUE,'3-man'!$F$33="TRUE",'3-man'!$F$33="Yes"),25,50)),10,0)+IF('3-man'!CC$46=$Q$108,25,0))</f>
        <v/>
      </c>
      <c r="CD102">
        <f>MIN(100,CC103+IF(AND(CC103&lt;100,CC104+1&gt;=IF(OR('3-man'!$F$33=TRUE,'3-man'!$F$33="TRUE",'3-man'!$F$33="Yes"),25,50)),10,0)+IF('3-man'!CD$46=$Q$108,25,0))</f>
        <v/>
      </c>
    </row>
    <row r="103">
      <c r="A103" t="inlineStr">
        <is>
          <t>P2 spec</t>
        </is>
      </c>
      <c r="B103">
        <f>IF('3-man'!$C$33="",100,'3-man'!$C$33)</f>
        <v/>
      </c>
      <c r="C103">
        <f>IF('3-man'!C$48="R",MIN(100,C102+10),IF('3-man'!C$48="P",MIN(100,C102+25),IF(AND('3-man'!C$48="D",C102&gt;=35,'3-man'!C$46&lt;=IF('3-man'!$BF$32="",999,'3-man'!$BF$32)),C102-35,IF(AND(LEFT('3-man'!C$48,3)="ST&gt;",C102&gt;=100,'3-man'!C$46&lt;=IF('3-man'!$BF$32="",999,'3-man'!$BF$32)),0,IF(AND(OR(AND('3-man'!C$47="ST&gt;2",C94&gt;=100),AND('3-man'!C$49="ST&gt;2",C110&gt;=100)),'3-man'!C$46&lt;=IF('3-man'!$BF$32="",999,'3-man'!$BF$32)),100,C102)))))</f>
        <v/>
      </c>
      <c r="D103">
        <f>IF('3-man'!D$48="R",MIN(100,D102+10),IF('3-man'!D$48="P",MIN(100,D102+25),IF(AND('3-man'!D$48="D",D102&gt;=35,'3-man'!D$46&lt;=IF('3-man'!$BF$32="",999,'3-man'!$BF$32)),D102-35,IF(AND(LEFT('3-man'!D$48,3)="ST&gt;",D102&gt;=100,'3-man'!D$46&lt;=IF('3-man'!$BF$32="",999,'3-man'!$BF$32)),0,IF(AND(OR(AND('3-man'!D$47="ST&gt;2",D94&gt;=100),AND('3-man'!D$49="ST&gt;2",D110&gt;=100)),'3-man'!D$46&lt;=IF('3-man'!$BF$32="",999,'3-man'!$BF$32)),100,D102)))))</f>
        <v/>
      </c>
      <c r="E103">
        <f>IF('3-man'!E$48="R",MIN(100,E102+10),IF('3-man'!E$48="P",MIN(100,E102+25),IF(AND('3-man'!E$48="D",E102&gt;=35,'3-man'!E$46&lt;=IF('3-man'!$BF$32="",999,'3-man'!$BF$32)),E102-35,IF(AND(LEFT('3-man'!E$48,3)="ST&gt;",E102&gt;=100,'3-man'!E$46&lt;=IF('3-man'!$BF$32="",999,'3-man'!$BF$32)),0,IF(AND(OR(AND('3-man'!E$47="ST&gt;2",E94&gt;=100),AND('3-man'!E$49="ST&gt;2",E110&gt;=100)),'3-man'!E$46&lt;=IF('3-man'!$BF$32="",999,'3-man'!$BF$32)),100,E102)))))</f>
        <v/>
      </c>
      <c r="F103">
        <f>IF('3-man'!F$48="R",MIN(100,F102+10),IF('3-man'!F$48="P",MIN(100,F102+25),IF(AND('3-man'!F$48="D",F102&gt;=35,'3-man'!F$46&lt;=IF('3-man'!$BF$32="",999,'3-man'!$BF$32)),F102-35,IF(AND(LEFT('3-man'!F$48,3)="ST&gt;",F102&gt;=100,'3-man'!F$46&lt;=IF('3-man'!$BF$32="",999,'3-man'!$BF$32)),0,IF(AND(OR(AND('3-man'!F$47="ST&gt;2",F94&gt;=100),AND('3-man'!F$49="ST&gt;2",F110&gt;=100)),'3-man'!F$46&lt;=IF('3-man'!$BF$32="",999,'3-man'!$BF$32)),100,F102)))))</f>
        <v/>
      </c>
      <c r="G103">
        <f>IF('3-man'!G$48="R",MIN(100,G102+10),IF('3-man'!G$48="P",MIN(100,G102+25),IF(AND('3-man'!G$48="D",G102&gt;=35,'3-man'!G$46&lt;=IF('3-man'!$BF$32="",999,'3-man'!$BF$32)),G102-35,IF(AND(LEFT('3-man'!G$48,3)="ST&gt;",G102&gt;=100,'3-man'!G$46&lt;=IF('3-man'!$BF$32="",999,'3-man'!$BF$32)),0,IF(AND(OR(AND('3-man'!G$47="ST&gt;2",G94&gt;=100),AND('3-man'!G$49="ST&gt;2",G110&gt;=100)),'3-man'!G$46&lt;=IF('3-man'!$BF$32="",999,'3-man'!$BF$32)),100,G102)))))</f>
        <v/>
      </c>
      <c r="H103">
        <f>IF('3-man'!H$48="R",MIN(100,H102+10),IF('3-man'!H$48="P",MIN(100,H102+25),IF(AND('3-man'!H$48="D",H102&gt;=35,'3-man'!H$46&lt;=IF('3-man'!$BF$32="",999,'3-man'!$BF$32)),H102-35,IF(AND(LEFT('3-man'!H$48,3)="ST&gt;",H102&gt;=100,'3-man'!H$46&lt;=IF('3-man'!$BF$32="",999,'3-man'!$BF$32)),0,IF(AND(OR(AND('3-man'!H$47="ST&gt;2",H94&gt;=100),AND('3-man'!H$49="ST&gt;2",H110&gt;=100)),'3-man'!H$46&lt;=IF('3-man'!$BF$32="",999,'3-man'!$BF$32)),100,H102)))))</f>
        <v/>
      </c>
      <c r="I103">
        <f>IF('3-man'!I$48="R",MIN(100,I102+10),IF('3-man'!I$48="P",MIN(100,I102+25),IF(AND('3-man'!I$48="D",I102&gt;=35,'3-man'!I$46&lt;=IF('3-man'!$BF$32="",999,'3-man'!$BF$32)),I102-35,IF(AND(LEFT('3-man'!I$48,3)="ST&gt;",I102&gt;=100,'3-man'!I$46&lt;=IF('3-man'!$BF$32="",999,'3-man'!$BF$32)),0,IF(AND(OR(AND('3-man'!I$47="ST&gt;2",I94&gt;=100),AND('3-man'!I$49="ST&gt;2",I110&gt;=100)),'3-man'!I$46&lt;=IF('3-man'!$BF$32="",999,'3-man'!$BF$32)),100,I102)))))</f>
        <v/>
      </c>
      <c r="J103">
        <f>IF('3-man'!J$48="R",MIN(100,J102+10),IF('3-man'!J$48="P",MIN(100,J102+25),IF(AND('3-man'!J$48="D",J102&gt;=35,'3-man'!J$46&lt;=IF('3-man'!$BF$32="",999,'3-man'!$BF$32)),J102-35,IF(AND(LEFT('3-man'!J$48,3)="ST&gt;",J102&gt;=100,'3-man'!J$46&lt;=IF('3-man'!$BF$32="",999,'3-man'!$BF$32)),0,IF(AND(OR(AND('3-man'!J$47="ST&gt;2",J94&gt;=100),AND('3-man'!J$49="ST&gt;2",J110&gt;=100)),'3-man'!J$46&lt;=IF('3-man'!$BF$32="",999,'3-man'!$BF$32)),100,J102)))))</f>
        <v/>
      </c>
      <c r="K103">
        <f>IF('3-man'!K$48="R",MIN(100,K102+10),IF('3-man'!K$48="P",MIN(100,K102+25),IF(AND('3-man'!K$48="D",K102&gt;=35,'3-man'!K$46&lt;=IF('3-man'!$BF$32="",999,'3-man'!$BF$32)),K102-35,IF(AND(LEFT('3-man'!K$48,3)="ST&gt;",K102&gt;=100,'3-man'!K$46&lt;=IF('3-man'!$BF$32="",999,'3-man'!$BF$32)),0,IF(AND(OR(AND('3-man'!K$47="ST&gt;2",K94&gt;=100),AND('3-man'!K$49="ST&gt;2",K110&gt;=100)),'3-man'!K$46&lt;=IF('3-man'!$BF$32="",999,'3-man'!$BF$32)),100,K102)))))</f>
        <v/>
      </c>
      <c r="L103">
        <f>IF('3-man'!L$48="R",MIN(100,L102+10),IF('3-man'!L$48="P",MIN(100,L102+25),IF(AND('3-man'!L$48="D",L102&gt;=35,'3-man'!L$46&lt;=IF('3-man'!$BF$32="",999,'3-man'!$BF$32)),L102-35,IF(AND(LEFT('3-man'!L$48,3)="ST&gt;",L102&gt;=100,'3-man'!L$46&lt;=IF('3-man'!$BF$32="",999,'3-man'!$BF$32)),0,IF(AND(OR(AND('3-man'!L$47="ST&gt;2",L94&gt;=100),AND('3-man'!L$49="ST&gt;2",L110&gt;=100)),'3-man'!L$46&lt;=IF('3-man'!$BF$32="",999,'3-man'!$BF$32)),100,L102)))))</f>
        <v/>
      </c>
      <c r="M103">
        <f>IF('3-man'!M$48="R",MIN(100,M102+10),IF('3-man'!M$48="P",MIN(100,M102+25),IF(AND('3-man'!M$48="D",M102&gt;=35,'3-man'!M$46&lt;=IF('3-man'!$BF$32="",999,'3-man'!$BF$32)),M102-35,IF(AND(LEFT('3-man'!M$48,3)="ST&gt;",M102&gt;=100,'3-man'!M$46&lt;=IF('3-man'!$BF$32="",999,'3-man'!$BF$32)),0,IF(AND(OR(AND('3-man'!M$47="ST&gt;2",M94&gt;=100),AND('3-man'!M$49="ST&gt;2",M110&gt;=100)),'3-man'!M$46&lt;=IF('3-man'!$BF$32="",999,'3-man'!$BF$32)),100,M102)))))</f>
        <v/>
      </c>
      <c r="N103">
        <f>IF('3-man'!N$48="R",MIN(100,N102+10),IF('3-man'!N$48="P",MIN(100,N102+25),IF(AND('3-man'!N$48="D",N102&gt;=35,'3-man'!N$46&lt;=IF('3-man'!$BF$32="",999,'3-man'!$BF$32)),N102-35,IF(AND(LEFT('3-man'!N$48,3)="ST&gt;",N102&gt;=100,'3-man'!N$46&lt;=IF('3-man'!$BF$32="",999,'3-man'!$BF$32)),0,IF(AND(OR(AND('3-man'!N$47="ST&gt;2",N94&gt;=100),AND('3-man'!N$49="ST&gt;2",N110&gt;=100)),'3-man'!N$46&lt;=IF('3-man'!$BF$32="",999,'3-man'!$BF$32)),100,N102)))))</f>
        <v/>
      </c>
      <c r="O103">
        <f>IF('3-man'!O$48="R",MIN(100,O102+10),IF('3-man'!O$48="P",MIN(100,O102+25),IF(AND('3-man'!O$48="D",O102&gt;=35,'3-man'!O$46&lt;=IF('3-man'!$BF$32="",999,'3-man'!$BF$32)),O102-35,IF(AND(LEFT('3-man'!O$48,3)="ST&gt;",O102&gt;=100,'3-man'!O$46&lt;=IF('3-man'!$BF$32="",999,'3-man'!$BF$32)),0,IF(AND(OR(AND('3-man'!O$47="ST&gt;2",O94&gt;=100),AND('3-man'!O$49="ST&gt;2",O110&gt;=100)),'3-man'!O$46&lt;=IF('3-man'!$BF$32="",999,'3-man'!$BF$32)),100,O102)))))</f>
        <v/>
      </c>
      <c r="P103">
        <f>IF('3-man'!P$48="R",MIN(100,P102+10),IF('3-man'!P$48="P",MIN(100,P102+25),IF(AND('3-man'!P$48="D",P102&gt;=35,'3-man'!P$46&lt;=IF('3-man'!$BF$32="",999,'3-man'!$BF$32)),P102-35,IF(AND(LEFT('3-man'!P$48,3)="ST&gt;",P102&gt;=100,'3-man'!P$46&lt;=IF('3-man'!$BF$32="",999,'3-man'!$BF$32)),0,IF(AND(OR(AND('3-man'!P$47="ST&gt;2",P94&gt;=100),AND('3-man'!P$49="ST&gt;2",P110&gt;=100)),'3-man'!P$46&lt;=IF('3-man'!$BF$32="",999,'3-man'!$BF$32)),100,P102)))))</f>
        <v/>
      </c>
      <c r="Q103">
        <f>IF('3-man'!Q$48="R",MIN(100,Q102+10),IF('3-man'!Q$48="P",MIN(100,Q102+25),IF(AND('3-man'!Q$48="D",Q102&gt;=35,'3-man'!Q$46&lt;=IF('3-man'!$BF$32="",999,'3-man'!$BF$32)),Q102-35,IF(AND(LEFT('3-man'!Q$48,3)="ST&gt;",Q102&gt;=100,'3-man'!Q$46&lt;=IF('3-man'!$BF$32="",999,'3-man'!$BF$32)),0,IF(AND(OR(AND('3-man'!Q$47="ST&gt;2",Q94&gt;=100),AND('3-man'!Q$49="ST&gt;2",Q110&gt;=100)),'3-man'!Q$46&lt;=IF('3-man'!$BF$32="",999,'3-man'!$BF$32)),100,Q102)))))</f>
        <v/>
      </c>
      <c r="R103">
        <f>IF('3-man'!R$48="R",MIN(100,R102+10),IF('3-man'!R$48="P",MIN(100,R102+25),IF(AND('3-man'!R$48="D",R102&gt;=35,'3-man'!R$46&lt;=IF('3-man'!$BF$32="",999,'3-man'!$BF$32)),R102-35,IF(AND(LEFT('3-man'!R$48,3)="ST&gt;",R102&gt;=100,'3-man'!R$46&lt;=IF('3-man'!$BF$32="",999,'3-man'!$BF$32)),0,IF(AND(OR(AND('3-man'!R$47="ST&gt;2",R94&gt;=100),AND('3-man'!R$49="ST&gt;2",R110&gt;=100)),'3-man'!R$46&lt;=IF('3-man'!$BF$32="",999,'3-man'!$BF$32)),100,R102)))))</f>
        <v/>
      </c>
      <c r="S103">
        <f>IF('3-man'!S$48="R",MIN(100,S102+10),IF('3-man'!S$48="P",MIN(100,S102+25),IF(AND('3-man'!S$48="D",S102&gt;=35,'3-man'!S$46&lt;=IF('3-man'!$BF$32="",999,'3-man'!$BF$32)),S102-35,IF(AND(LEFT('3-man'!S$48,3)="ST&gt;",S102&gt;=100,'3-man'!S$46&lt;=IF('3-man'!$BF$32="",999,'3-man'!$BF$32)),0,IF(AND(OR(AND('3-man'!S$47="ST&gt;2",S94&gt;=100),AND('3-man'!S$49="ST&gt;2",S110&gt;=100)),'3-man'!S$46&lt;=IF('3-man'!$BF$32="",999,'3-man'!$BF$32)),100,S102)))))</f>
        <v/>
      </c>
      <c r="T103">
        <f>IF('3-man'!T$48="R",MIN(100,T102+10),IF('3-man'!T$48="P",MIN(100,T102+25),IF(AND('3-man'!T$48="D",T102&gt;=35,'3-man'!T$46&lt;=IF('3-man'!$BF$32="",999,'3-man'!$BF$32)),T102-35,IF(AND(LEFT('3-man'!T$48,3)="ST&gt;",T102&gt;=100,'3-man'!T$46&lt;=IF('3-man'!$BF$32="",999,'3-man'!$BF$32)),0,IF(AND(OR(AND('3-man'!T$47="ST&gt;2",T94&gt;=100),AND('3-man'!T$49="ST&gt;2",T110&gt;=100)),'3-man'!T$46&lt;=IF('3-man'!$BF$32="",999,'3-man'!$BF$32)),100,T102)))))</f>
        <v/>
      </c>
      <c r="U103">
        <f>IF('3-man'!U$48="R",MIN(100,U102+10),IF('3-man'!U$48="P",MIN(100,U102+25),IF(AND('3-man'!U$48="D",U102&gt;=35,'3-man'!U$46&lt;=IF('3-man'!$BF$32="",999,'3-man'!$BF$32)),U102-35,IF(AND(LEFT('3-man'!U$48,3)="ST&gt;",U102&gt;=100,'3-man'!U$46&lt;=IF('3-man'!$BF$32="",999,'3-man'!$BF$32)),0,IF(AND(OR(AND('3-man'!U$47="ST&gt;2",U94&gt;=100),AND('3-man'!U$49="ST&gt;2",U110&gt;=100)),'3-man'!U$46&lt;=IF('3-man'!$BF$32="",999,'3-man'!$BF$32)),100,U102)))))</f>
        <v/>
      </c>
      <c r="V103">
        <f>IF('3-man'!V$48="R",MIN(100,V102+10),IF('3-man'!V$48="P",MIN(100,V102+25),IF(AND('3-man'!V$48="D",V102&gt;=35,'3-man'!V$46&lt;=IF('3-man'!$BF$32="",999,'3-man'!$BF$32)),V102-35,IF(AND(LEFT('3-man'!V$48,3)="ST&gt;",V102&gt;=100,'3-man'!V$46&lt;=IF('3-man'!$BF$32="",999,'3-man'!$BF$32)),0,IF(AND(OR(AND('3-man'!V$47="ST&gt;2",V94&gt;=100),AND('3-man'!V$49="ST&gt;2",V110&gt;=100)),'3-man'!V$46&lt;=IF('3-man'!$BF$32="",999,'3-man'!$BF$32)),100,V102)))))</f>
        <v/>
      </c>
      <c r="W103">
        <f>IF('3-man'!W$48="R",MIN(100,W102+10),IF('3-man'!W$48="P",MIN(100,W102+25),IF(AND('3-man'!W$48="D",W102&gt;=35,'3-man'!W$46&lt;=IF('3-man'!$BF$32="",999,'3-man'!$BF$32)),W102-35,IF(AND(LEFT('3-man'!W$48,3)="ST&gt;",W102&gt;=100,'3-man'!W$46&lt;=IF('3-man'!$BF$32="",999,'3-man'!$BF$32)),0,IF(AND(OR(AND('3-man'!W$47="ST&gt;2",W94&gt;=100),AND('3-man'!W$49="ST&gt;2",W110&gt;=100)),'3-man'!W$46&lt;=IF('3-man'!$BF$32="",999,'3-man'!$BF$32)),100,W102)))))</f>
        <v/>
      </c>
      <c r="X103">
        <f>IF('3-man'!X$48="R",MIN(100,X102+10),IF('3-man'!X$48="P",MIN(100,X102+25),IF(AND('3-man'!X$48="D",X102&gt;=35,'3-man'!X$46&lt;=IF('3-man'!$BF$32="",999,'3-man'!$BF$32)),X102-35,IF(AND(LEFT('3-man'!X$48,3)="ST&gt;",X102&gt;=100,'3-man'!X$46&lt;=IF('3-man'!$BF$32="",999,'3-man'!$BF$32)),0,IF(AND(OR(AND('3-man'!X$47="ST&gt;2",X94&gt;=100),AND('3-man'!X$49="ST&gt;2",X110&gt;=100)),'3-man'!X$46&lt;=IF('3-man'!$BF$32="",999,'3-man'!$BF$32)),100,X102)))))</f>
        <v/>
      </c>
      <c r="Y103">
        <f>IF('3-man'!Y$48="R",MIN(100,Y102+10),IF('3-man'!Y$48="P",MIN(100,Y102+25),IF(AND('3-man'!Y$48="D",Y102&gt;=35,'3-man'!Y$46&lt;=IF('3-man'!$BF$32="",999,'3-man'!$BF$32)),Y102-35,IF(AND(LEFT('3-man'!Y$48,3)="ST&gt;",Y102&gt;=100,'3-man'!Y$46&lt;=IF('3-man'!$BF$32="",999,'3-man'!$BF$32)),0,IF(AND(OR(AND('3-man'!Y$47="ST&gt;2",Y94&gt;=100),AND('3-man'!Y$49="ST&gt;2",Y110&gt;=100)),'3-man'!Y$46&lt;=IF('3-man'!$BF$32="",999,'3-man'!$BF$32)),100,Y102)))))</f>
        <v/>
      </c>
      <c r="Z103">
        <f>IF('3-man'!Z$48="R",MIN(100,Z102+10),IF('3-man'!Z$48="P",MIN(100,Z102+25),IF(AND('3-man'!Z$48="D",Z102&gt;=35,'3-man'!Z$46&lt;=IF('3-man'!$BF$32="",999,'3-man'!$BF$32)),Z102-35,IF(AND(LEFT('3-man'!Z$48,3)="ST&gt;",Z102&gt;=100,'3-man'!Z$46&lt;=IF('3-man'!$BF$32="",999,'3-man'!$BF$32)),0,IF(AND(OR(AND('3-man'!Z$47="ST&gt;2",Z94&gt;=100),AND('3-man'!Z$49="ST&gt;2",Z110&gt;=100)),'3-man'!Z$46&lt;=IF('3-man'!$BF$32="",999,'3-man'!$BF$32)),100,Z102)))))</f>
        <v/>
      </c>
      <c r="AA103">
        <f>IF('3-man'!AA$48="R",MIN(100,AA102+10),IF('3-man'!AA$48="P",MIN(100,AA102+25),IF(AND('3-man'!AA$48="D",AA102&gt;=35,'3-man'!AA$46&lt;=IF('3-man'!$BF$32="",999,'3-man'!$BF$32)),AA102-35,IF(AND(LEFT('3-man'!AA$48,3)="ST&gt;",AA102&gt;=100,'3-man'!AA$46&lt;=IF('3-man'!$BF$32="",999,'3-man'!$BF$32)),0,IF(AND(OR(AND('3-man'!AA$47="ST&gt;2",AA94&gt;=100),AND('3-man'!AA$49="ST&gt;2",AA110&gt;=100)),'3-man'!AA$46&lt;=IF('3-man'!$BF$32="",999,'3-man'!$BF$32)),100,AA102)))))</f>
        <v/>
      </c>
      <c r="AB103">
        <f>IF('3-man'!AB$48="R",MIN(100,AB102+10),IF('3-man'!AB$48="P",MIN(100,AB102+25),IF(AND('3-man'!AB$48="D",AB102&gt;=35,'3-man'!AB$46&lt;=IF('3-man'!$BF$32="",999,'3-man'!$BF$32)),AB102-35,IF(AND(LEFT('3-man'!AB$48,3)="ST&gt;",AB102&gt;=100,'3-man'!AB$46&lt;=IF('3-man'!$BF$32="",999,'3-man'!$BF$32)),0,IF(AND(OR(AND('3-man'!AB$47="ST&gt;2",AB94&gt;=100),AND('3-man'!AB$49="ST&gt;2",AB110&gt;=100)),'3-man'!AB$46&lt;=IF('3-man'!$BF$32="",999,'3-man'!$BF$32)),100,AB102)))))</f>
        <v/>
      </c>
      <c r="AC103">
        <f>IF('3-man'!AC$48="R",MIN(100,AC102+10),IF('3-man'!AC$48="P",MIN(100,AC102+25),IF(AND('3-man'!AC$48="D",AC102&gt;=35,'3-man'!AC$46&lt;=IF('3-man'!$BF$32="",999,'3-man'!$BF$32)),AC102-35,IF(AND(LEFT('3-man'!AC$48,3)="ST&gt;",AC102&gt;=100,'3-man'!AC$46&lt;=IF('3-man'!$BF$32="",999,'3-man'!$BF$32)),0,IF(AND(OR(AND('3-man'!AC$47="ST&gt;2",AC94&gt;=100),AND('3-man'!AC$49="ST&gt;2",AC110&gt;=100)),'3-man'!AC$46&lt;=IF('3-man'!$BF$32="",999,'3-man'!$BF$32)),100,AC102)))))</f>
        <v/>
      </c>
      <c r="AD103">
        <f>IF('3-man'!AD$48="R",MIN(100,AD102+10),IF('3-man'!AD$48="P",MIN(100,AD102+25),IF(AND('3-man'!AD$48="D",AD102&gt;=35,'3-man'!AD$46&lt;=IF('3-man'!$BF$32="",999,'3-man'!$BF$32)),AD102-35,IF(AND(LEFT('3-man'!AD$48,3)="ST&gt;",AD102&gt;=100,'3-man'!AD$46&lt;=IF('3-man'!$BF$32="",999,'3-man'!$BF$32)),0,IF(AND(OR(AND('3-man'!AD$47="ST&gt;2",AD94&gt;=100),AND('3-man'!AD$49="ST&gt;2",AD110&gt;=100)),'3-man'!AD$46&lt;=IF('3-man'!$BF$32="",999,'3-man'!$BF$32)),100,AD102)))))</f>
        <v/>
      </c>
      <c r="AE103">
        <f>IF('3-man'!AE$48="R",MIN(100,AE102+10),IF('3-man'!AE$48="P",MIN(100,AE102+25),IF(AND('3-man'!AE$48="D",AE102&gt;=35,'3-man'!AE$46&lt;=IF('3-man'!$BF$32="",999,'3-man'!$BF$32)),AE102-35,IF(AND(LEFT('3-man'!AE$48,3)="ST&gt;",AE102&gt;=100,'3-man'!AE$46&lt;=IF('3-man'!$BF$32="",999,'3-man'!$BF$32)),0,IF(AND(OR(AND('3-man'!AE$47="ST&gt;2",AE94&gt;=100),AND('3-man'!AE$49="ST&gt;2",AE110&gt;=100)),'3-man'!AE$46&lt;=IF('3-man'!$BF$32="",999,'3-man'!$BF$32)),100,AE102)))))</f>
        <v/>
      </c>
      <c r="AF103">
        <f>IF('3-man'!AF$48="R",MIN(100,AF102+10),IF('3-man'!AF$48="P",MIN(100,AF102+25),IF(AND('3-man'!AF$48="D",AF102&gt;=35,'3-man'!AF$46&lt;=IF('3-man'!$BF$32="",999,'3-man'!$BF$32)),AF102-35,IF(AND(LEFT('3-man'!AF$48,3)="ST&gt;",AF102&gt;=100,'3-man'!AF$46&lt;=IF('3-man'!$BF$32="",999,'3-man'!$BF$32)),0,IF(AND(OR(AND('3-man'!AF$47="ST&gt;2",AF94&gt;=100),AND('3-man'!AF$49="ST&gt;2",AF110&gt;=100)),'3-man'!AF$46&lt;=IF('3-man'!$BF$32="",999,'3-man'!$BF$32)),100,AF102)))))</f>
        <v/>
      </c>
      <c r="AG103">
        <f>IF('3-man'!AG$48="R",MIN(100,AG102+10),IF('3-man'!AG$48="P",MIN(100,AG102+25),IF(AND('3-man'!AG$48="D",AG102&gt;=35,'3-man'!AG$46&lt;=IF('3-man'!$BF$32="",999,'3-man'!$BF$32)),AG102-35,IF(AND(LEFT('3-man'!AG$48,3)="ST&gt;",AG102&gt;=100,'3-man'!AG$46&lt;=IF('3-man'!$BF$32="",999,'3-man'!$BF$32)),0,IF(AND(OR(AND('3-man'!AG$47="ST&gt;2",AG94&gt;=100),AND('3-man'!AG$49="ST&gt;2",AG110&gt;=100)),'3-man'!AG$46&lt;=IF('3-man'!$BF$32="",999,'3-man'!$BF$32)),100,AG102)))))</f>
        <v/>
      </c>
      <c r="AH103">
        <f>IF('3-man'!AH$48="R",MIN(100,AH102+10),IF('3-man'!AH$48="P",MIN(100,AH102+25),IF(AND('3-man'!AH$48="D",AH102&gt;=35,'3-man'!AH$46&lt;=IF('3-man'!$BF$32="",999,'3-man'!$BF$32)),AH102-35,IF(AND(LEFT('3-man'!AH$48,3)="ST&gt;",AH102&gt;=100,'3-man'!AH$46&lt;=IF('3-man'!$BF$32="",999,'3-man'!$BF$32)),0,IF(AND(OR(AND('3-man'!AH$47="ST&gt;2",AH94&gt;=100),AND('3-man'!AH$49="ST&gt;2",AH110&gt;=100)),'3-man'!AH$46&lt;=IF('3-man'!$BF$32="",999,'3-man'!$BF$32)),100,AH102)))))</f>
        <v/>
      </c>
      <c r="AI103">
        <f>IF('3-man'!AI$48="R",MIN(100,AI102+10),IF('3-man'!AI$48="P",MIN(100,AI102+25),IF(AND('3-man'!AI$48="D",AI102&gt;=35,'3-man'!AI$46&lt;=IF('3-man'!$BF$32="",999,'3-man'!$BF$32)),AI102-35,IF(AND(LEFT('3-man'!AI$48,3)="ST&gt;",AI102&gt;=100,'3-man'!AI$46&lt;=IF('3-man'!$BF$32="",999,'3-man'!$BF$32)),0,IF(AND(OR(AND('3-man'!AI$47="ST&gt;2",AI94&gt;=100),AND('3-man'!AI$49="ST&gt;2",AI110&gt;=100)),'3-man'!AI$46&lt;=IF('3-man'!$BF$32="",999,'3-man'!$BF$32)),100,AI102)))))</f>
        <v/>
      </c>
      <c r="AJ103">
        <f>IF('3-man'!AJ$48="R",MIN(100,AJ102+10),IF('3-man'!AJ$48="P",MIN(100,AJ102+25),IF(AND('3-man'!AJ$48="D",AJ102&gt;=35,'3-man'!AJ$46&lt;=IF('3-man'!$BF$32="",999,'3-man'!$BF$32)),AJ102-35,IF(AND(LEFT('3-man'!AJ$48,3)="ST&gt;",AJ102&gt;=100,'3-man'!AJ$46&lt;=IF('3-man'!$BF$32="",999,'3-man'!$BF$32)),0,IF(AND(OR(AND('3-man'!AJ$47="ST&gt;2",AJ94&gt;=100),AND('3-man'!AJ$49="ST&gt;2",AJ110&gt;=100)),'3-man'!AJ$46&lt;=IF('3-man'!$BF$32="",999,'3-man'!$BF$32)),100,AJ102)))))</f>
        <v/>
      </c>
      <c r="AK103">
        <f>IF('3-man'!AK$48="R",MIN(100,AK102+10),IF('3-man'!AK$48="P",MIN(100,AK102+25),IF(AND('3-man'!AK$48="D",AK102&gt;=35,'3-man'!AK$46&lt;=IF('3-man'!$BF$32="",999,'3-man'!$BF$32)),AK102-35,IF(AND(LEFT('3-man'!AK$48,3)="ST&gt;",AK102&gt;=100,'3-man'!AK$46&lt;=IF('3-man'!$BF$32="",999,'3-man'!$BF$32)),0,IF(AND(OR(AND('3-man'!AK$47="ST&gt;2",AK94&gt;=100),AND('3-man'!AK$49="ST&gt;2",AK110&gt;=100)),'3-man'!AK$46&lt;=IF('3-man'!$BF$32="",999,'3-man'!$BF$32)),100,AK102)))))</f>
        <v/>
      </c>
      <c r="AL103">
        <f>IF('3-man'!AL$48="R",MIN(100,AL102+10),IF('3-man'!AL$48="P",MIN(100,AL102+25),IF(AND('3-man'!AL$48="D",AL102&gt;=35,'3-man'!AL$46&lt;=IF('3-man'!$BF$32="",999,'3-man'!$BF$32)),AL102-35,IF(AND(LEFT('3-man'!AL$48,3)="ST&gt;",AL102&gt;=100,'3-man'!AL$46&lt;=IF('3-man'!$BF$32="",999,'3-man'!$BF$32)),0,IF(AND(OR(AND('3-man'!AL$47="ST&gt;2",AL94&gt;=100),AND('3-man'!AL$49="ST&gt;2",AL110&gt;=100)),'3-man'!AL$46&lt;=IF('3-man'!$BF$32="",999,'3-man'!$BF$32)),100,AL102)))))</f>
        <v/>
      </c>
      <c r="AM103">
        <f>IF('3-man'!AM$48="R",MIN(100,AM102+10),IF('3-man'!AM$48="P",MIN(100,AM102+25),IF(AND('3-man'!AM$48="D",AM102&gt;=35,'3-man'!AM$46&lt;=IF('3-man'!$BF$32="",999,'3-man'!$BF$32)),AM102-35,IF(AND(LEFT('3-man'!AM$48,3)="ST&gt;",AM102&gt;=100,'3-man'!AM$46&lt;=IF('3-man'!$BF$32="",999,'3-man'!$BF$32)),0,IF(AND(OR(AND('3-man'!AM$47="ST&gt;2",AM94&gt;=100),AND('3-man'!AM$49="ST&gt;2",AM110&gt;=100)),'3-man'!AM$46&lt;=IF('3-man'!$BF$32="",999,'3-man'!$BF$32)),100,AM102)))))</f>
        <v/>
      </c>
      <c r="AN103">
        <f>IF('3-man'!AN$48="R",MIN(100,AN102+10),IF('3-man'!AN$48="P",MIN(100,AN102+25),IF(AND('3-man'!AN$48="D",AN102&gt;=35,'3-man'!AN$46&lt;=IF('3-man'!$BF$32="",999,'3-man'!$BF$32)),AN102-35,IF(AND(LEFT('3-man'!AN$48,3)="ST&gt;",AN102&gt;=100,'3-man'!AN$46&lt;=IF('3-man'!$BF$32="",999,'3-man'!$BF$32)),0,IF(AND(OR(AND('3-man'!AN$47="ST&gt;2",AN94&gt;=100),AND('3-man'!AN$49="ST&gt;2",AN110&gt;=100)),'3-man'!AN$46&lt;=IF('3-man'!$BF$32="",999,'3-man'!$BF$32)),100,AN102)))))</f>
        <v/>
      </c>
      <c r="AO103">
        <f>IF('3-man'!AO$48="R",MIN(100,AO102+10),IF('3-man'!AO$48="P",MIN(100,AO102+25),IF(AND('3-man'!AO$48="D",AO102&gt;=35,'3-man'!AO$46&lt;=IF('3-man'!$BF$32="",999,'3-man'!$BF$32)),AO102-35,IF(AND(LEFT('3-man'!AO$48,3)="ST&gt;",AO102&gt;=100,'3-man'!AO$46&lt;=IF('3-man'!$BF$32="",999,'3-man'!$BF$32)),0,IF(AND(OR(AND('3-man'!AO$47="ST&gt;2",AO94&gt;=100),AND('3-man'!AO$49="ST&gt;2",AO110&gt;=100)),'3-man'!AO$46&lt;=IF('3-man'!$BF$32="",999,'3-man'!$BF$32)),100,AO102)))))</f>
        <v/>
      </c>
      <c r="AP103">
        <f>IF('3-man'!AP$48="R",MIN(100,AP102+10),IF('3-man'!AP$48="P",MIN(100,AP102+25),IF(AND('3-man'!AP$48="D",AP102&gt;=35,'3-man'!AP$46&lt;=IF('3-man'!$BF$32="",999,'3-man'!$BF$32)),AP102-35,IF(AND(LEFT('3-man'!AP$48,3)="ST&gt;",AP102&gt;=100,'3-man'!AP$46&lt;=IF('3-man'!$BF$32="",999,'3-man'!$BF$32)),0,IF(AND(OR(AND('3-man'!AP$47="ST&gt;2",AP94&gt;=100),AND('3-man'!AP$49="ST&gt;2",AP110&gt;=100)),'3-man'!AP$46&lt;=IF('3-man'!$BF$32="",999,'3-man'!$BF$32)),100,AP102)))))</f>
        <v/>
      </c>
      <c r="AQ103">
        <f>IF('3-man'!AQ$48="R",MIN(100,AQ102+10),IF('3-man'!AQ$48="P",MIN(100,AQ102+25),IF(AND('3-man'!AQ$48="D",AQ102&gt;=35,'3-man'!AQ$46&lt;=IF('3-man'!$BF$32="",999,'3-man'!$BF$32)),AQ102-35,IF(AND(LEFT('3-man'!AQ$48,3)="ST&gt;",AQ102&gt;=100,'3-man'!AQ$46&lt;=IF('3-man'!$BF$32="",999,'3-man'!$BF$32)),0,IF(AND(OR(AND('3-man'!AQ$47="ST&gt;2",AQ94&gt;=100),AND('3-man'!AQ$49="ST&gt;2",AQ110&gt;=100)),'3-man'!AQ$46&lt;=IF('3-man'!$BF$32="",999,'3-man'!$BF$32)),100,AQ102)))))</f>
        <v/>
      </c>
      <c r="AR103">
        <f>IF('3-man'!AR$48="R",MIN(100,AR102+10),IF('3-man'!AR$48="P",MIN(100,AR102+25),IF(AND('3-man'!AR$48="D",AR102&gt;=35,'3-man'!AR$46&lt;=IF('3-man'!$BF$32="",999,'3-man'!$BF$32)),AR102-35,IF(AND(LEFT('3-man'!AR$48,3)="ST&gt;",AR102&gt;=100,'3-man'!AR$46&lt;=IF('3-man'!$BF$32="",999,'3-man'!$BF$32)),0,IF(AND(OR(AND('3-man'!AR$47="ST&gt;2",AR94&gt;=100),AND('3-man'!AR$49="ST&gt;2",AR110&gt;=100)),'3-man'!AR$46&lt;=IF('3-man'!$BF$32="",999,'3-man'!$BF$32)),100,AR102)))))</f>
        <v/>
      </c>
      <c r="AS103">
        <f>IF('3-man'!AS$48="R",MIN(100,AS102+10),IF('3-man'!AS$48="P",MIN(100,AS102+25),IF(AND('3-man'!AS$48="D",AS102&gt;=35,'3-man'!AS$46&lt;=IF('3-man'!$BF$32="",999,'3-man'!$BF$32)),AS102-35,IF(AND(LEFT('3-man'!AS$48,3)="ST&gt;",AS102&gt;=100,'3-man'!AS$46&lt;=IF('3-man'!$BF$32="",999,'3-man'!$BF$32)),0,IF(AND(OR(AND('3-man'!AS$47="ST&gt;2",AS94&gt;=100),AND('3-man'!AS$49="ST&gt;2",AS110&gt;=100)),'3-man'!AS$46&lt;=IF('3-man'!$BF$32="",999,'3-man'!$BF$32)),100,AS102)))))</f>
        <v/>
      </c>
      <c r="AT103">
        <f>IF('3-man'!AT$48="R",MIN(100,AT102+10),IF('3-man'!AT$48="P",MIN(100,AT102+25),IF(AND('3-man'!AT$48="D",AT102&gt;=35,'3-man'!AT$46&lt;=IF('3-man'!$BF$32="",999,'3-man'!$BF$32)),AT102-35,IF(AND(LEFT('3-man'!AT$48,3)="ST&gt;",AT102&gt;=100,'3-man'!AT$46&lt;=IF('3-man'!$BF$32="",999,'3-man'!$BF$32)),0,IF(AND(OR(AND('3-man'!AT$47="ST&gt;2",AT94&gt;=100),AND('3-man'!AT$49="ST&gt;2",AT110&gt;=100)),'3-man'!AT$46&lt;=IF('3-man'!$BF$32="",999,'3-man'!$BF$32)),100,AT102)))))</f>
        <v/>
      </c>
      <c r="AU103">
        <f>IF('3-man'!AU$48="R",MIN(100,AU102+10),IF('3-man'!AU$48="P",MIN(100,AU102+25),IF(AND('3-man'!AU$48="D",AU102&gt;=35,'3-man'!AU$46&lt;=IF('3-man'!$BF$32="",999,'3-man'!$BF$32)),AU102-35,IF(AND(LEFT('3-man'!AU$48,3)="ST&gt;",AU102&gt;=100,'3-man'!AU$46&lt;=IF('3-man'!$BF$32="",999,'3-man'!$BF$32)),0,IF(AND(OR(AND('3-man'!AU$47="ST&gt;2",AU94&gt;=100),AND('3-man'!AU$49="ST&gt;2",AU110&gt;=100)),'3-man'!AU$46&lt;=IF('3-man'!$BF$32="",999,'3-man'!$BF$32)),100,AU102)))))</f>
        <v/>
      </c>
      <c r="AV103">
        <f>IF('3-man'!AV$48="R",MIN(100,AV102+10),IF('3-man'!AV$48="P",MIN(100,AV102+25),IF(AND('3-man'!AV$48="D",AV102&gt;=35,'3-man'!AV$46&lt;=IF('3-man'!$BF$32="",999,'3-man'!$BF$32)),AV102-35,IF(AND(LEFT('3-man'!AV$48,3)="ST&gt;",AV102&gt;=100,'3-man'!AV$46&lt;=IF('3-man'!$BF$32="",999,'3-man'!$BF$32)),0,IF(AND(OR(AND('3-man'!AV$47="ST&gt;2",AV94&gt;=100),AND('3-man'!AV$49="ST&gt;2",AV110&gt;=100)),'3-man'!AV$46&lt;=IF('3-man'!$BF$32="",999,'3-man'!$BF$32)),100,AV102)))))</f>
        <v/>
      </c>
      <c r="AW103">
        <f>IF('3-man'!AW$48="R",MIN(100,AW102+10),IF('3-man'!AW$48="P",MIN(100,AW102+25),IF(AND('3-man'!AW$48="D",AW102&gt;=35,'3-man'!AW$46&lt;=IF('3-man'!$BF$32="",999,'3-man'!$BF$32)),AW102-35,IF(AND(LEFT('3-man'!AW$48,3)="ST&gt;",AW102&gt;=100,'3-man'!AW$46&lt;=IF('3-man'!$BF$32="",999,'3-man'!$BF$32)),0,IF(AND(OR(AND('3-man'!AW$47="ST&gt;2",AW94&gt;=100),AND('3-man'!AW$49="ST&gt;2",AW110&gt;=100)),'3-man'!AW$46&lt;=IF('3-man'!$BF$32="",999,'3-man'!$BF$32)),100,AW102)))))</f>
        <v/>
      </c>
      <c r="AX103">
        <f>IF('3-man'!AX$48="R",MIN(100,AX102+10),IF('3-man'!AX$48="P",MIN(100,AX102+25),IF(AND('3-man'!AX$48="D",AX102&gt;=35,'3-man'!AX$46&lt;=IF('3-man'!$BF$32="",999,'3-man'!$BF$32)),AX102-35,IF(AND(LEFT('3-man'!AX$48,3)="ST&gt;",AX102&gt;=100,'3-man'!AX$46&lt;=IF('3-man'!$BF$32="",999,'3-man'!$BF$32)),0,IF(AND(OR(AND('3-man'!AX$47="ST&gt;2",AX94&gt;=100),AND('3-man'!AX$49="ST&gt;2",AX110&gt;=100)),'3-man'!AX$46&lt;=IF('3-man'!$BF$32="",999,'3-man'!$BF$32)),100,AX102)))))</f>
        <v/>
      </c>
      <c r="AY103">
        <f>IF('3-man'!AY$48="R",MIN(100,AY102+10),IF('3-man'!AY$48="P",MIN(100,AY102+25),IF(AND('3-man'!AY$48="D",AY102&gt;=35,'3-man'!AY$46&lt;=IF('3-man'!$BF$32="",999,'3-man'!$BF$32)),AY102-35,IF(AND(LEFT('3-man'!AY$48,3)="ST&gt;",AY102&gt;=100,'3-man'!AY$46&lt;=IF('3-man'!$BF$32="",999,'3-man'!$BF$32)),0,IF(AND(OR(AND('3-man'!AY$47="ST&gt;2",AY94&gt;=100),AND('3-man'!AY$49="ST&gt;2",AY110&gt;=100)),'3-man'!AY$46&lt;=IF('3-man'!$BF$32="",999,'3-man'!$BF$32)),100,AY102)))))</f>
        <v/>
      </c>
      <c r="AZ103">
        <f>IF('3-man'!AZ$48="R",MIN(100,AZ102+10),IF('3-man'!AZ$48="P",MIN(100,AZ102+25),IF(AND('3-man'!AZ$48="D",AZ102&gt;=35,'3-man'!AZ$46&lt;=IF('3-man'!$BF$32="",999,'3-man'!$BF$32)),AZ102-35,IF(AND(LEFT('3-man'!AZ$48,3)="ST&gt;",AZ102&gt;=100,'3-man'!AZ$46&lt;=IF('3-man'!$BF$32="",999,'3-man'!$BF$32)),0,IF(AND(OR(AND('3-man'!AZ$47="ST&gt;2",AZ94&gt;=100),AND('3-man'!AZ$49="ST&gt;2",AZ110&gt;=100)),'3-man'!AZ$46&lt;=IF('3-man'!$BF$32="",999,'3-man'!$BF$32)),100,AZ102)))))</f>
        <v/>
      </c>
      <c r="BA103">
        <f>IF('3-man'!BA$48="R",MIN(100,BA102+10),IF('3-man'!BA$48="P",MIN(100,BA102+25),IF(AND('3-man'!BA$48="D",BA102&gt;=35,'3-man'!BA$46&lt;=IF('3-man'!$BF$32="",999,'3-man'!$BF$32)),BA102-35,IF(AND(LEFT('3-man'!BA$48,3)="ST&gt;",BA102&gt;=100,'3-man'!BA$46&lt;=IF('3-man'!$BF$32="",999,'3-man'!$BF$32)),0,IF(AND(OR(AND('3-man'!BA$47="ST&gt;2",BA94&gt;=100),AND('3-man'!BA$49="ST&gt;2",BA110&gt;=100)),'3-man'!BA$46&lt;=IF('3-man'!$BF$32="",999,'3-man'!$BF$32)),100,BA102)))))</f>
        <v/>
      </c>
      <c r="BB103">
        <f>IF('3-man'!BB$48="R",MIN(100,BB102+10),IF('3-man'!BB$48="P",MIN(100,BB102+25),IF(AND('3-man'!BB$48="D",BB102&gt;=35,'3-man'!BB$46&lt;=IF('3-man'!$BF$32="",999,'3-man'!$BF$32)),BB102-35,IF(AND(LEFT('3-man'!BB$48,3)="ST&gt;",BB102&gt;=100,'3-man'!BB$46&lt;=IF('3-man'!$BF$32="",999,'3-man'!$BF$32)),0,IF(AND(OR(AND('3-man'!BB$47="ST&gt;2",BB94&gt;=100),AND('3-man'!BB$49="ST&gt;2",BB110&gt;=100)),'3-man'!BB$46&lt;=IF('3-man'!$BF$32="",999,'3-man'!$BF$32)),100,BB102)))))</f>
        <v/>
      </c>
      <c r="BC103">
        <f>IF('3-man'!BC$48="R",MIN(100,BC102+10),IF('3-man'!BC$48="P",MIN(100,BC102+25),IF(AND('3-man'!BC$48="D",BC102&gt;=35,'3-man'!BC$46&lt;=IF('3-man'!$BF$32="",999,'3-man'!$BF$32)),BC102-35,IF(AND(LEFT('3-man'!BC$48,3)="ST&gt;",BC102&gt;=100,'3-man'!BC$46&lt;=IF('3-man'!$BF$32="",999,'3-man'!$BF$32)),0,IF(AND(OR(AND('3-man'!BC$47="ST&gt;2",BC94&gt;=100),AND('3-man'!BC$49="ST&gt;2",BC110&gt;=100)),'3-man'!BC$46&lt;=IF('3-man'!$BF$32="",999,'3-man'!$BF$32)),100,BC102)))))</f>
        <v/>
      </c>
      <c r="BD103">
        <f>IF('3-man'!BD$48="R",MIN(100,BD102+10),IF('3-man'!BD$48="P",MIN(100,BD102+25),IF(AND('3-man'!BD$48="D",BD102&gt;=35,'3-man'!BD$46&lt;=IF('3-man'!$BF$32="",999,'3-man'!$BF$32)),BD102-35,IF(AND(LEFT('3-man'!BD$48,3)="ST&gt;",BD102&gt;=100,'3-man'!BD$46&lt;=IF('3-man'!$BF$32="",999,'3-man'!$BF$32)),0,IF(AND(OR(AND('3-man'!BD$47="ST&gt;2",BD94&gt;=100),AND('3-man'!BD$49="ST&gt;2",BD110&gt;=100)),'3-man'!BD$46&lt;=IF('3-man'!$BF$32="",999,'3-man'!$BF$32)),100,BD102)))))</f>
        <v/>
      </c>
      <c r="BE103">
        <f>IF('3-man'!BE$48="R",MIN(100,BE102+10),IF('3-man'!BE$48="P",MIN(100,BE102+25),IF(AND('3-man'!BE$48="D",BE102&gt;=35,'3-man'!BE$46&lt;=IF('3-man'!$BF$32="",999,'3-man'!$BF$32)),BE102-35,IF(AND(LEFT('3-man'!BE$48,3)="ST&gt;",BE102&gt;=100,'3-man'!BE$46&lt;=IF('3-man'!$BF$32="",999,'3-man'!$BF$32)),0,IF(AND(OR(AND('3-man'!BE$47="ST&gt;2",BE94&gt;=100),AND('3-man'!BE$49="ST&gt;2",BE110&gt;=100)),'3-man'!BE$46&lt;=IF('3-man'!$BF$32="",999,'3-man'!$BF$32)),100,BE102)))))</f>
        <v/>
      </c>
      <c r="BF103">
        <f>IF('3-man'!BF$48="R",MIN(100,BF102+10),IF('3-man'!BF$48="P",MIN(100,BF102+25),IF(AND('3-man'!BF$48="D",BF102&gt;=35,'3-man'!BF$46&lt;=IF('3-man'!$BF$32="",999,'3-man'!$BF$32)),BF102-35,IF(AND(LEFT('3-man'!BF$48,3)="ST&gt;",BF102&gt;=100,'3-man'!BF$46&lt;=IF('3-man'!$BF$32="",999,'3-man'!$BF$32)),0,IF(AND(OR(AND('3-man'!BF$47="ST&gt;2",BF94&gt;=100),AND('3-man'!BF$49="ST&gt;2",BF110&gt;=100)),'3-man'!BF$46&lt;=IF('3-man'!$BF$32="",999,'3-man'!$BF$32)),100,BF102)))))</f>
        <v/>
      </c>
      <c r="BG103">
        <f>IF('3-man'!BG$48="R",MIN(100,BG102+10),IF('3-man'!BG$48="P",MIN(100,BG102+25),IF(AND('3-man'!BG$48="D",BG102&gt;=35,'3-man'!BG$46&lt;=IF('3-man'!$BF$32="",999,'3-man'!$BF$32)),BG102-35,IF(AND(LEFT('3-man'!BG$48,3)="ST&gt;",BG102&gt;=100,'3-man'!BG$46&lt;=IF('3-man'!$BF$32="",999,'3-man'!$BF$32)),0,IF(AND(OR(AND('3-man'!BG$47="ST&gt;2",BG94&gt;=100),AND('3-man'!BG$49="ST&gt;2",BG110&gt;=100)),'3-man'!BG$46&lt;=IF('3-man'!$BF$32="",999,'3-man'!$BF$32)),100,BG102)))))</f>
        <v/>
      </c>
      <c r="BH103">
        <f>IF('3-man'!BH$48="R",MIN(100,BH102+10),IF('3-man'!BH$48="P",MIN(100,BH102+25),IF(AND('3-man'!BH$48="D",BH102&gt;=35,'3-man'!BH$46&lt;=IF('3-man'!$BF$32="",999,'3-man'!$BF$32)),BH102-35,IF(AND(LEFT('3-man'!BH$48,3)="ST&gt;",BH102&gt;=100,'3-man'!BH$46&lt;=IF('3-man'!$BF$32="",999,'3-man'!$BF$32)),0,IF(AND(OR(AND('3-man'!BH$47="ST&gt;2",BH94&gt;=100),AND('3-man'!BH$49="ST&gt;2",BH110&gt;=100)),'3-man'!BH$46&lt;=IF('3-man'!$BF$32="",999,'3-man'!$BF$32)),100,BH102)))))</f>
        <v/>
      </c>
      <c r="BI103">
        <f>IF('3-man'!BI$48="R",MIN(100,BI102+10),IF('3-man'!BI$48="P",MIN(100,BI102+25),IF(AND('3-man'!BI$48="D",BI102&gt;=35,'3-man'!BI$46&lt;=IF('3-man'!$BF$32="",999,'3-man'!$BF$32)),BI102-35,IF(AND(LEFT('3-man'!BI$48,3)="ST&gt;",BI102&gt;=100,'3-man'!BI$46&lt;=IF('3-man'!$BF$32="",999,'3-man'!$BF$32)),0,IF(AND(OR(AND('3-man'!BI$47="ST&gt;2",BI94&gt;=100),AND('3-man'!BI$49="ST&gt;2",BI110&gt;=100)),'3-man'!BI$46&lt;=IF('3-man'!$BF$32="",999,'3-man'!$BF$32)),100,BI102)))))</f>
        <v/>
      </c>
      <c r="BJ103">
        <f>IF('3-man'!BJ$48="R",MIN(100,BJ102+10),IF('3-man'!BJ$48="P",MIN(100,BJ102+25),IF(AND('3-man'!BJ$48="D",BJ102&gt;=35,'3-man'!BJ$46&lt;=IF('3-man'!$BF$32="",999,'3-man'!$BF$32)),BJ102-35,IF(AND(LEFT('3-man'!BJ$48,3)="ST&gt;",BJ102&gt;=100,'3-man'!BJ$46&lt;=IF('3-man'!$BF$32="",999,'3-man'!$BF$32)),0,IF(AND(OR(AND('3-man'!BJ$47="ST&gt;2",BJ94&gt;=100),AND('3-man'!BJ$49="ST&gt;2",BJ110&gt;=100)),'3-man'!BJ$46&lt;=IF('3-man'!$BF$32="",999,'3-man'!$BF$32)),100,BJ102)))))</f>
        <v/>
      </c>
      <c r="BK103">
        <f>IF('3-man'!BK$48="R",MIN(100,BK102+10),IF('3-man'!BK$48="P",MIN(100,BK102+25),IF(AND('3-man'!BK$48="D",BK102&gt;=35,'3-man'!BK$46&lt;=IF('3-man'!$BF$32="",999,'3-man'!$BF$32)),BK102-35,IF(AND(LEFT('3-man'!BK$48,3)="ST&gt;",BK102&gt;=100,'3-man'!BK$46&lt;=IF('3-man'!$BF$32="",999,'3-man'!$BF$32)),0,IF(AND(OR(AND('3-man'!BK$47="ST&gt;2",BK94&gt;=100),AND('3-man'!BK$49="ST&gt;2",BK110&gt;=100)),'3-man'!BK$46&lt;=IF('3-man'!$BF$32="",999,'3-man'!$BF$32)),100,BK102)))))</f>
        <v/>
      </c>
      <c r="BL103">
        <f>IF('3-man'!BL$48="R",MIN(100,BL102+10),IF('3-man'!BL$48="P",MIN(100,BL102+25),IF(AND('3-man'!BL$48="D",BL102&gt;=35,'3-man'!BL$46&lt;=IF('3-man'!$BF$32="",999,'3-man'!$BF$32)),BL102-35,IF(AND(LEFT('3-man'!BL$48,3)="ST&gt;",BL102&gt;=100,'3-man'!BL$46&lt;=IF('3-man'!$BF$32="",999,'3-man'!$BF$32)),0,IF(AND(OR(AND('3-man'!BL$47="ST&gt;2",BL94&gt;=100),AND('3-man'!BL$49="ST&gt;2",BL110&gt;=100)),'3-man'!BL$46&lt;=IF('3-man'!$BF$32="",999,'3-man'!$BF$32)),100,BL102)))))</f>
        <v/>
      </c>
      <c r="BM103">
        <f>IF('3-man'!BM$48="R",MIN(100,BM102+10),IF('3-man'!BM$48="P",MIN(100,BM102+25),IF(AND('3-man'!BM$48="D",BM102&gt;=35,'3-man'!BM$46&lt;=IF('3-man'!$BF$32="",999,'3-man'!$BF$32)),BM102-35,IF(AND(LEFT('3-man'!BM$48,3)="ST&gt;",BM102&gt;=100,'3-man'!BM$46&lt;=IF('3-man'!$BF$32="",999,'3-man'!$BF$32)),0,IF(AND(OR(AND('3-man'!BM$47="ST&gt;2",BM94&gt;=100),AND('3-man'!BM$49="ST&gt;2",BM110&gt;=100)),'3-man'!BM$46&lt;=IF('3-man'!$BF$32="",999,'3-man'!$BF$32)),100,BM102)))))</f>
        <v/>
      </c>
      <c r="BN103">
        <f>IF('3-man'!BN$48="R",MIN(100,BN102+10),IF('3-man'!BN$48="P",MIN(100,BN102+25),IF(AND('3-man'!BN$48="D",BN102&gt;=35,'3-man'!BN$46&lt;=IF('3-man'!$BF$32="",999,'3-man'!$BF$32)),BN102-35,IF(AND(LEFT('3-man'!BN$48,3)="ST&gt;",BN102&gt;=100,'3-man'!BN$46&lt;=IF('3-man'!$BF$32="",999,'3-man'!$BF$32)),0,IF(AND(OR(AND('3-man'!BN$47="ST&gt;2",BN94&gt;=100),AND('3-man'!BN$49="ST&gt;2",BN110&gt;=100)),'3-man'!BN$46&lt;=IF('3-man'!$BF$32="",999,'3-man'!$BF$32)),100,BN102)))))</f>
        <v/>
      </c>
      <c r="BO103">
        <f>IF('3-man'!BO$48="R",MIN(100,BO102+10),IF('3-man'!BO$48="P",MIN(100,BO102+25),IF(AND('3-man'!BO$48="D",BO102&gt;=35,'3-man'!BO$46&lt;=IF('3-man'!$BF$32="",999,'3-man'!$BF$32)),BO102-35,IF(AND(LEFT('3-man'!BO$48,3)="ST&gt;",BO102&gt;=100,'3-man'!BO$46&lt;=IF('3-man'!$BF$32="",999,'3-man'!$BF$32)),0,IF(AND(OR(AND('3-man'!BO$47="ST&gt;2",BO94&gt;=100),AND('3-man'!BO$49="ST&gt;2",BO110&gt;=100)),'3-man'!BO$46&lt;=IF('3-man'!$BF$32="",999,'3-man'!$BF$32)),100,BO102)))))</f>
        <v/>
      </c>
      <c r="BP103">
        <f>IF('3-man'!BP$48="R",MIN(100,BP102+10),IF('3-man'!BP$48="P",MIN(100,BP102+25),IF(AND('3-man'!BP$48="D",BP102&gt;=35,'3-man'!BP$46&lt;=IF('3-man'!$BF$32="",999,'3-man'!$BF$32)),BP102-35,IF(AND(LEFT('3-man'!BP$48,3)="ST&gt;",BP102&gt;=100,'3-man'!BP$46&lt;=IF('3-man'!$BF$32="",999,'3-man'!$BF$32)),0,IF(AND(OR(AND('3-man'!BP$47="ST&gt;2",BP94&gt;=100),AND('3-man'!BP$49="ST&gt;2",BP110&gt;=100)),'3-man'!BP$46&lt;=IF('3-man'!$BF$32="",999,'3-man'!$BF$32)),100,BP102)))))</f>
        <v/>
      </c>
      <c r="BQ103">
        <f>IF('3-man'!BQ$48="R",MIN(100,BQ102+10),IF('3-man'!BQ$48="P",MIN(100,BQ102+25),IF(AND('3-man'!BQ$48="D",BQ102&gt;=35,'3-man'!BQ$46&lt;=IF('3-man'!$BF$32="",999,'3-man'!$BF$32)),BQ102-35,IF(AND(LEFT('3-man'!BQ$48,3)="ST&gt;",BQ102&gt;=100,'3-man'!BQ$46&lt;=IF('3-man'!$BF$32="",999,'3-man'!$BF$32)),0,IF(AND(OR(AND('3-man'!BQ$47="ST&gt;2",BQ94&gt;=100),AND('3-man'!BQ$49="ST&gt;2",BQ110&gt;=100)),'3-man'!BQ$46&lt;=IF('3-man'!$BF$32="",999,'3-man'!$BF$32)),100,BQ102)))))</f>
        <v/>
      </c>
      <c r="BR103">
        <f>IF('3-man'!BR$48="R",MIN(100,BR102+10),IF('3-man'!BR$48="P",MIN(100,BR102+25),IF(AND('3-man'!BR$48="D",BR102&gt;=35,'3-man'!BR$46&lt;=IF('3-man'!$BF$32="",999,'3-man'!$BF$32)),BR102-35,IF(AND(LEFT('3-man'!BR$48,3)="ST&gt;",BR102&gt;=100,'3-man'!BR$46&lt;=IF('3-man'!$BF$32="",999,'3-man'!$BF$32)),0,IF(AND(OR(AND('3-man'!BR$47="ST&gt;2",BR94&gt;=100),AND('3-man'!BR$49="ST&gt;2",BR110&gt;=100)),'3-man'!BR$46&lt;=IF('3-man'!$BF$32="",999,'3-man'!$BF$32)),100,BR102)))))</f>
        <v/>
      </c>
      <c r="BS103">
        <f>IF('3-man'!BS$48="R",MIN(100,BS102+10),IF('3-man'!BS$48="P",MIN(100,BS102+25),IF(AND('3-man'!BS$48="D",BS102&gt;=35,'3-man'!BS$46&lt;=IF('3-man'!$BF$32="",999,'3-man'!$BF$32)),BS102-35,IF(AND(LEFT('3-man'!BS$48,3)="ST&gt;",BS102&gt;=100,'3-man'!BS$46&lt;=IF('3-man'!$BF$32="",999,'3-man'!$BF$32)),0,IF(AND(OR(AND('3-man'!BS$47="ST&gt;2",BS94&gt;=100),AND('3-man'!BS$49="ST&gt;2",BS110&gt;=100)),'3-man'!BS$46&lt;=IF('3-man'!$BF$32="",999,'3-man'!$BF$32)),100,BS102)))))</f>
        <v/>
      </c>
      <c r="BT103">
        <f>IF('3-man'!BT$48="R",MIN(100,BT102+10),IF('3-man'!BT$48="P",MIN(100,BT102+25),IF(AND('3-man'!BT$48="D",BT102&gt;=35,'3-man'!BT$46&lt;=IF('3-man'!$BF$32="",999,'3-man'!$BF$32)),BT102-35,IF(AND(LEFT('3-man'!BT$48,3)="ST&gt;",BT102&gt;=100,'3-man'!BT$46&lt;=IF('3-man'!$BF$32="",999,'3-man'!$BF$32)),0,IF(AND(OR(AND('3-man'!BT$47="ST&gt;2",BT94&gt;=100),AND('3-man'!BT$49="ST&gt;2",BT110&gt;=100)),'3-man'!BT$46&lt;=IF('3-man'!$BF$32="",999,'3-man'!$BF$32)),100,BT102)))))</f>
        <v/>
      </c>
      <c r="BU103">
        <f>IF('3-man'!BU$48="R",MIN(100,BU102+10),IF('3-man'!BU$48="P",MIN(100,BU102+25),IF(AND('3-man'!BU$48="D",BU102&gt;=35,'3-man'!BU$46&lt;=IF('3-man'!$BF$32="",999,'3-man'!$BF$32)),BU102-35,IF(AND(LEFT('3-man'!BU$48,3)="ST&gt;",BU102&gt;=100,'3-man'!BU$46&lt;=IF('3-man'!$BF$32="",999,'3-man'!$BF$32)),0,IF(AND(OR(AND('3-man'!BU$47="ST&gt;2",BU94&gt;=100),AND('3-man'!BU$49="ST&gt;2",BU110&gt;=100)),'3-man'!BU$46&lt;=IF('3-man'!$BF$32="",999,'3-man'!$BF$32)),100,BU102)))))</f>
        <v/>
      </c>
      <c r="BV103">
        <f>IF('3-man'!BV$48="R",MIN(100,BV102+10),IF('3-man'!BV$48="P",MIN(100,BV102+25),IF(AND('3-man'!BV$48="D",BV102&gt;=35,'3-man'!BV$46&lt;=IF('3-man'!$BF$32="",999,'3-man'!$BF$32)),BV102-35,IF(AND(LEFT('3-man'!BV$48,3)="ST&gt;",BV102&gt;=100,'3-man'!BV$46&lt;=IF('3-man'!$BF$32="",999,'3-man'!$BF$32)),0,IF(AND(OR(AND('3-man'!BV$47="ST&gt;2",BV94&gt;=100),AND('3-man'!BV$49="ST&gt;2",BV110&gt;=100)),'3-man'!BV$46&lt;=IF('3-man'!$BF$32="",999,'3-man'!$BF$32)),100,BV102)))))</f>
        <v/>
      </c>
      <c r="BW103">
        <f>IF('3-man'!BW$48="R",MIN(100,BW102+10),IF('3-man'!BW$48="P",MIN(100,BW102+25),IF(AND('3-man'!BW$48="D",BW102&gt;=35,'3-man'!BW$46&lt;=IF('3-man'!$BF$32="",999,'3-man'!$BF$32)),BW102-35,IF(AND(LEFT('3-man'!BW$48,3)="ST&gt;",BW102&gt;=100,'3-man'!BW$46&lt;=IF('3-man'!$BF$32="",999,'3-man'!$BF$32)),0,IF(AND(OR(AND('3-man'!BW$47="ST&gt;2",BW94&gt;=100),AND('3-man'!BW$49="ST&gt;2",BW110&gt;=100)),'3-man'!BW$46&lt;=IF('3-man'!$BF$32="",999,'3-man'!$BF$32)),100,BW102)))))</f>
        <v/>
      </c>
      <c r="BX103">
        <f>IF('3-man'!BX$48="R",MIN(100,BX102+10),IF('3-man'!BX$48="P",MIN(100,BX102+25),IF(AND('3-man'!BX$48="D",BX102&gt;=35,'3-man'!BX$46&lt;=IF('3-man'!$BF$32="",999,'3-man'!$BF$32)),BX102-35,IF(AND(LEFT('3-man'!BX$48,3)="ST&gt;",BX102&gt;=100,'3-man'!BX$46&lt;=IF('3-man'!$BF$32="",999,'3-man'!$BF$32)),0,IF(AND(OR(AND('3-man'!BX$47="ST&gt;2",BX94&gt;=100),AND('3-man'!BX$49="ST&gt;2",BX110&gt;=100)),'3-man'!BX$46&lt;=IF('3-man'!$BF$32="",999,'3-man'!$BF$32)),100,BX102)))))</f>
        <v/>
      </c>
      <c r="BY103">
        <f>IF('3-man'!BY$48="R",MIN(100,BY102+10),IF('3-man'!BY$48="P",MIN(100,BY102+25),IF(AND('3-man'!BY$48="D",BY102&gt;=35,'3-man'!BY$46&lt;=IF('3-man'!$BF$32="",999,'3-man'!$BF$32)),BY102-35,IF(AND(LEFT('3-man'!BY$48,3)="ST&gt;",BY102&gt;=100,'3-man'!BY$46&lt;=IF('3-man'!$BF$32="",999,'3-man'!$BF$32)),0,IF(AND(OR(AND('3-man'!BY$47="ST&gt;2",BY94&gt;=100),AND('3-man'!BY$49="ST&gt;2",BY110&gt;=100)),'3-man'!BY$46&lt;=IF('3-man'!$BF$32="",999,'3-man'!$BF$32)),100,BY102)))))</f>
        <v/>
      </c>
      <c r="BZ103">
        <f>IF('3-man'!BZ$48="R",MIN(100,BZ102+10),IF('3-man'!BZ$48="P",MIN(100,BZ102+25),IF(AND('3-man'!BZ$48="D",BZ102&gt;=35,'3-man'!BZ$46&lt;=IF('3-man'!$BF$32="",999,'3-man'!$BF$32)),BZ102-35,IF(AND(LEFT('3-man'!BZ$48,3)="ST&gt;",BZ102&gt;=100,'3-man'!BZ$46&lt;=IF('3-man'!$BF$32="",999,'3-man'!$BF$32)),0,IF(AND(OR(AND('3-man'!BZ$47="ST&gt;2",BZ94&gt;=100),AND('3-man'!BZ$49="ST&gt;2",BZ110&gt;=100)),'3-man'!BZ$46&lt;=IF('3-man'!$BF$32="",999,'3-man'!$BF$32)),100,BZ102)))))</f>
        <v/>
      </c>
      <c r="CA103">
        <f>IF('3-man'!CA$48="R",MIN(100,CA102+10),IF('3-man'!CA$48="P",MIN(100,CA102+25),IF(AND('3-man'!CA$48="D",CA102&gt;=35,'3-man'!CA$46&lt;=IF('3-man'!$BF$32="",999,'3-man'!$BF$32)),CA102-35,IF(AND(LEFT('3-man'!CA$48,3)="ST&gt;",CA102&gt;=100,'3-man'!CA$46&lt;=IF('3-man'!$BF$32="",999,'3-man'!$BF$32)),0,IF(AND(OR(AND('3-man'!CA$47="ST&gt;2",CA94&gt;=100),AND('3-man'!CA$49="ST&gt;2",CA110&gt;=100)),'3-man'!CA$46&lt;=IF('3-man'!$BF$32="",999,'3-man'!$BF$32)),100,CA102)))))</f>
        <v/>
      </c>
      <c r="CB103">
        <f>IF('3-man'!CB$48="R",MIN(100,CB102+10),IF('3-man'!CB$48="P",MIN(100,CB102+25),IF(AND('3-man'!CB$48="D",CB102&gt;=35,'3-man'!CB$46&lt;=IF('3-man'!$BF$32="",999,'3-man'!$BF$32)),CB102-35,IF(AND(LEFT('3-man'!CB$48,3)="ST&gt;",CB102&gt;=100,'3-man'!CB$46&lt;=IF('3-man'!$BF$32="",999,'3-man'!$BF$32)),0,IF(AND(OR(AND('3-man'!CB$47="ST&gt;2",CB94&gt;=100),AND('3-man'!CB$49="ST&gt;2",CB110&gt;=100)),'3-man'!CB$46&lt;=IF('3-man'!$BF$32="",999,'3-man'!$BF$32)),100,CB102)))))</f>
        <v/>
      </c>
      <c r="CC103">
        <f>IF('3-man'!CC$48="R",MIN(100,CC102+10),IF('3-man'!CC$48="P",MIN(100,CC102+25),IF(AND('3-man'!CC$48="D",CC102&gt;=35,'3-man'!CC$46&lt;=IF('3-man'!$BF$32="",999,'3-man'!$BF$32)),CC102-35,IF(AND(LEFT('3-man'!CC$48,3)="ST&gt;",CC102&gt;=100,'3-man'!CC$46&lt;=IF('3-man'!$BF$32="",999,'3-man'!$BF$32)),0,IF(AND(OR(AND('3-man'!CC$47="ST&gt;2",CC94&gt;=100),AND('3-man'!CC$49="ST&gt;2",CC110&gt;=100)),'3-man'!CC$46&lt;=IF('3-man'!$BF$32="",999,'3-man'!$BF$32)),100,CC102)))))</f>
        <v/>
      </c>
      <c r="CD103">
        <f>IF('3-man'!CD$48="R",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IF('3-man'!C$48="R",0,IF(B103&gt;=100,0,IF(B104+1&gt;=IF(OR('3-man'!$F$33=TRUE,'3-man'!$F$33="TRUE",'3-man'!$F$33="Yes"),25,50),0,B104+1)))</f>
        <v/>
      </c>
      <c r="D104">
        <f>IF('3-man'!D$48="R",0,IF(C103&gt;=100,0,IF(C104+1&gt;=IF(OR('3-man'!$F$33=TRUE,'3-man'!$F$33="TRUE",'3-man'!$F$33="Yes"),25,50),0,C104+1)))</f>
        <v/>
      </c>
      <c r="E104">
        <f>IF('3-man'!E$48="R",0,IF(D103&gt;=100,0,IF(D104+1&gt;=IF(OR('3-man'!$F$33=TRUE,'3-man'!$F$33="TRUE",'3-man'!$F$33="Yes"),25,50),0,D104+1)))</f>
        <v/>
      </c>
      <c r="F104">
        <f>IF('3-man'!F$48="R",0,IF(E103&gt;=100,0,IF(E104+1&gt;=IF(OR('3-man'!$F$33=TRUE,'3-man'!$F$33="TRUE",'3-man'!$F$33="Yes"),25,50),0,E104+1)))</f>
        <v/>
      </c>
      <c r="G104">
        <f>IF('3-man'!G$48="R",0,IF(F103&gt;=100,0,IF(F104+1&gt;=IF(OR('3-man'!$F$33=TRUE,'3-man'!$F$33="TRUE",'3-man'!$F$33="Yes"),25,50),0,F104+1)))</f>
        <v/>
      </c>
      <c r="H104">
        <f>IF('3-man'!H$48="R",0,IF(G103&gt;=100,0,IF(G104+1&gt;=IF(OR('3-man'!$F$33=TRUE,'3-man'!$F$33="TRUE",'3-man'!$F$33="Yes"),25,50),0,G104+1)))</f>
        <v/>
      </c>
      <c r="I104">
        <f>IF('3-man'!I$48="R",0,IF(H103&gt;=100,0,IF(H104+1&gt;=IF(OR('3-man'!$F$33=TRUE,'3-man'!$F$33="TRUE",'3-man'!$F$33="Yes"),25,50),0,H104+1)))</f>
        <v/>
      </c>
      <c r="J104">
        <f>IF('3-man'!J$48="R",0,IF(I103&gt;=100,0,IF(I104+1&gt;=IF(OR('3-man'!$F$33=TRUE,'3-man'!$F$33="TRUE",'3-man'!$F$33="Yes"),25,50),0,I104+1)))</f>
        <v/>
      </c>
      <c r="K104">
        <f>IF('3-man'!K$48="R",0,IF(J103&gt;=100,0,IF(J104+1&gt;=IF(OR('3-man'!$F$33=TRUE,'3-man'!$F$33="TRUE",'3-man'!$F$33="Yes"),25,50),0,J104+1)))</f>
        <v/>
      </c>
      <c r="L104">
        <f>IF('3-man'!L$48="R",0,IF(K103&gt;=100,0,IF(K104+1&gt;=IF(OR('3-man'!$F$33=TRUE,'3-man'!$F$33="TRUE",'3-man'!$F$33="Yes"),25,50),0,K104+1)))</f>
        <v/>
      </c>
      <c r="M104">
        <f>IF('3-man'!M$48="R",0,IF(L103&gt;=100,0,IF(L104+1&gt;=IF(OR('3-man'!$F$33=TRUE,'3-man'!$F$33="TRUE",'3-man'!$F$33="Yes"),25,50),0,L104+1)))</f>
        <v/>
      </c>
      <c r="N104">
        <f>IF('3-man'!N$48="R",0,IF(M103&gt;=100,0,IF(M104+1&gt;=IF(OR('3-man'!$F$33=TRUE,'3-man'!$F$33="TRUE",'3-man'!$F$33="Yes"),25,50),0,M104+1)))</f>
        <v/>
      </c>
      <c r="O104">
        <f>IF('3-man'!O$48="R",0,IF(N103&gt;=100,0,IF(N104+1&gt;=IF(OR('3-man'!$F$33=TRUE,'3-man'!$F$33="TRUE",'3-man'!$F$33="Yes"),25,50),0,N104+1)))</f>
        <v/>
      </c>
      <c r="P104">
        <f>IF('3-man'!P$48="R",0,IF(O103&gt;=100,0,IF(O104+1&gt;=IF(OR('3-man'!$F$33=TRUE,'3-man'!$F$33="TRUE",'3-man'!$F$33="Yes"),25,50),0,O104+1)))</f>
        <v/>
      </c>
      <c r="Q104">
        <f>IF('3-man'!Q$48="R",0,IF(P103&gt;=100,0,IF(P104+1&gt;=IF(OR('3-man'!$F$33=TRUE,'3-man'!$F$33="TRUE",'3-man'!$F$33="Yes"),25,50),0,P104+1)))</f>
        <v/>
      </c>
      <c r="R104">
        <f>IF('3-man'!R$48="R",0,IF(Q103&gt;=100,0,IF(Q104+1&gt;=IF(OR('3-man'!$F$33=TRUE,'3-man'!$F$33="TRUE",'3-man'!$F$33="Yes"),25,50),0,Q104+1)))</f>
        <v/>
      </c>
      <c r="S104">
        <f>IF('3-man'!S$48="R",0,IF(R103&gt;=100,0,IF(R104+1&gt;=IF(OR('3-man'!$F$33=TRUE,'3-man'!$F$33="TRUE",'3-man'!$F$33="Yes"),25,50),0,R104+1)))</f>
        <v/>
      </c>
      <c r="T104">
        <f>IF('3-man'!T$48="R",0,IF(S103&gt;=100,0,IF(S104+1&gt;=IF(OR('3-man'!$F$33=TRUE,'3-man'!$F$33="TRUE",'3-man'!$F$33="Yes"),25,50),0,S104+1)))</f>
        <v/>
      </c>
      <c r="U104">
        <f>IF('3-man'!U$48="R",0,IF(T103&gt;=100,0,IF(T104+1&gt;=IF(OR('3-man'!$F$33=TRUE,'3-man'!$F$33="TRUE",'3-man'!$F$33="Yes"),25,50),0,T104+1)))</f>
        <v/>
      </c>
      <c r="V104">
        <f>IF('3-man'!V$48="R",0,IF(U103&gt;=100,0,IF(U104+1&gt;=IF(OR('3-man'!$F$33=TRUE,'3-man'!$F$33="TRUE",'3-man'!$F$33="Yes"),25,50),0,U104+1)))</f>
        <v/>
      </c>
      <c r="W104">
        <f>IF('3-man'!W$48="R",0,IF(V103&gt;=100,0,IF(V104+1&gt;=IF(OR('3-man'!$F$33=TRUE,'3-man'!$F$33="TRUE",'3-man'!$F$33="Yes"),25,50),0,V104+1)))</f>
        <v/>
      </c>
      <c r="X104">
        <f>IF('3-man'!X$48="R",0,IF(W103&gt;=100,0,IF(W104+1&gt;=IF(OR('3-man'!$F$33=TRUE,'3-man'!$F$33="TRUE",'3-man'!$F$33="Yes"),25,50),0,W104+1)))</f>
        <v/>
      </c>
      <c r="Y104">
        <f>IF('3-man'!Y$48="R",0,IF(X103&gt;=100,0,IF(X104+1&gt;=IF(OR('3-man'!$F$33=TRUE,'3-man'!$F$33="TRUE",'3-man'!$F$33="Yes"),25,50),0,X104+1)))</f>
        <v/>
      </c>
      <c r="Z104">
        <f>IF('3-man'!Z$48="R",0,IF(Y103&gt;=100,0,IF(Y104+1&gt;=IF(OR('3-man'!$F$33=TRUE,'3-man'!$F$33="TRUE",'3-man'!$F$33="Yes"),25,50),0,Y104+1)))</f>
        <v/>
      </c>
      <c r="AA104">
        <f>IF('3-man'!AA$48="R",0,IF(Z103&gt;=100,0,IF(Z104+1&gt;=IF(OR('3-man'!$F$33=TRUE,'3-man'!$F$33="TRUE",'3-man'!$F$33="Yes"),25,50),0,Z104+1)))</f>
        <v/>
      </c>
      <c r="AB104">
        <f>IF('3-man'!AB$48="R",0,IF(AA103&gt;=100,0,IF(AA104+1&gt;=IF(OR('3-man'!$F$33=TRUE,'3-man'!$F$33="TRUE",'3-man'!$F$33="Yes"),25,50),0,AA104+1)))</f>
        <v/>
      </c>
      <c r="AC104">
        <f>IF('3-man'!AC$48="R",0,IF(AB103&gt;=100,0,IF(AB104+1&gt;=IF(OR('3-man'!$F$33=TRUE,'3-man'!$F$33="TRUE",'3-man'!$F$33="Yes"),25,50),0,AB104+1)))</f>
        <v/>
      </c>
      <c r="AD104">
        <f>IF('3-man'!AD$48="R",0,IF(AC103&gt;=100,0,IF(AC104+1&gt;=IF(OR('3-man'!$F$33=TRUE,'3-man'!$F$33="TRUE",'3-man'!$F$33="Yes"),25,50),0,AC104+1)))</f>
        <v/>
      </c>
      <c r="AE104">
        <f>IF('3-man'!AE$48="R",0,IF(AD103&gt;=100,0,IF(AD104+1&gt;=IF(OR('3-man'!$F$33=TRUE,'3-man'!$F$33="TRUE",'3-man'!$F$33="Yes"),25,50),0,AD104+1)))</f>
        <v/>
      </c>
      <c r="AF104">
        <f>IF('3-man'!AF$48="R",0,IF(AE103&gt;=100,0,IF(AE104+1&gt;=IF(OR('3-man'!$F$33=TRUE,'3-man'!$F$33="TRUE",'3-man'!$F$33="Yes"),25,50),0,AE104+1)))</f>
        <v/>
      </c>
      <c r="AG104">
        <f>IF('3-man'!AG$48="R",0,IF(AF103&gt;=100,0,IF(AF104+1&gt;=IF(OR('3-man'!$F$33=TRUE,'3-man'!$F$33="TRUE",'3-man'!$F$33="Yes"),25,50),0,AF104+1)))</f>
        <v/>
      </c>
      <c r="AH104">
        <f>IF('3-man'!AH$48="R",0,IF(AG103&gt;=100,0,IF(AG104+1&gt;=IF(OR('3-man'!$F$33=TRUE,'3-man'!$F$33="TRUE",'3-man'!$F$33="Yes"),25,50),0,AG104+1)))</f>
        <v/>
      </c>
      <c r="AI104">
        <f>IF('3-man'!AI$48="R",0,IF(AH103&gt;=100,0,IF(AH104+1&gt;=IF(OR('3-man'!$F$33=TRUE,'3-man'!$F$33="TRUE",'3-man'!$F$33="Yes"),25,50),0,AH104+1)))</f>
        <v/>
      </c>
      <c r="AJ104">
        <f>IF('3-man'!AJ$48="R",0,IF(AI103&gt;=100,0,IF(AI104+1&gt;=IF(OR('3-man'!$F$33=TRUE,'3-man'!$F$33="TRUE",'3-man'!$F$33="Yes"),25,50),0,AI104+1)))</f>
        <v/>
      </c>
      <c r="AK104">
        <f>IF('3-man'!AK$48="R",0,IF(AJ103&gt;=100,0,IF(AJ104+1&gt;=IF(OR('3-man'!$F$33=TRUE,'3-man'!$F$33="TRUE",'3-man'!$F$33="Yes"),25,50),0,AJ104+1)))</f>
        <v/>
      </c>
      <c r="AL104">
        <f>IF('3-man'!AL$48="R",0,IF(AK103&gt;=100,0,IF(AK104+1&gt;=IF(OR('3-man'!$F$33=TRUE,'3-man'!$F$33="TRUE",'3-man'!$F$33="Yes"),25,50),0,AK104+1)))</f>
        <v/>
      </c>
      <c r="AM104">
        <f>IF('3-man'!AM$48="R",0,IF(AL103&gt;=100,0,IF(AL104+1&gt;=IF(OR('3-man'!$F$33=TRUE,'3-man'!$F$33="TRUE",'3-man'!$F$33="Yes"),25,50),0,AL104+1)))</f>
        <v/>
      </c>
      <c r="AN104">
        <f>IF('3-man'!AN$48="R",0,IF(AM103&gt;=100,0,IF(AM104+1&gt;=IF(OR('3-man'!$F$33=TRUE,'3-man'!$F$33="TRUE",'3-man'!$F$33="Yes"),25,50),0,AM104+1)))</f>
        <v/>
      </c>
      <c r="AO104">
        <f>IF('3-man'!AO$48="R",0,IF(AN103&gt;=100,0,IF(AN104+1&gt;=IF(OR('3-man'!$F$33=TRUE,'3-man'!$F$33="TRUE",'3-man'!$F$33="Yes"),25,50),0,AN104+1)))</f>
        <v/>
      </c>
      <c r="AP104">
        <f>IF('3-man'!AP$48="R",0,IF(AO103&gt;=100,0,IF(AO104+1&gt;=IF(OR('3-man'!$F$33=TRUE,'3-man'!$F$33="TRUE",'3-man'!$F$33="Yes"),25,50),0,AO104+1)))</f>
        <v/>
      </c>
      <c r="AQ104">
        <f>IF('3-man'!AQ$48="R",0,IF(AP103&gt;=100,0,IF(AP104+1&gt;=IF(OR('3-man'!$F$33=TRUE,'3-man'!$F$33="TRUE",'3-man'!$F$33="Yes"),25,50),0,AP104+1)))</f>
        <v/>
      </c>
      <c r="AR104">
        <f>IF('3-man'!AR$48="R",0,IF(AQ103&gt;=100,0,IF(AQ104+1&gt;=IF(OR('3-man'!$F$33=TRUE,'3-man'!$F$33="TRUE",'3-man'!$F$33="Yes"),25,50),0,AQ104+1)))</f>
        <v/>
      </c>
      <c r="AS104">
        <f>IF('3-man'!AS$48="R",0,IF(AR103&gt;=100,0,IF(AR104+1&gt;=IF(OR('3-man'!$F$33=TRUE,'3-man'!$F$33="TRUE",'3-man'!$F$33="Yes"),25,50),0,AR104+1)))</f>
        <v/>
      </c>
      <c r="AT104">
        <f>IF('3-man'!AT$48="R",0,IF(AS103&gt;=100,0,IF(AS104+1&gt;=IF(OR('3-man'!$F$33=TRUE,'3-man'!$F$33="TRUE",'3-man'!$F$33="Yes"),25,50),0,AS104+1)))</f>
        <v/>
      </c>
      <c r="AU104">
        <f>IF('3-man'!AU$48="R",0,IF(AT103&gt;=100,0,IF(AT104+1&gt;=IF(OR('3-man'!$F$33=TRUE,'3-man'!$F$33="TRUE",'3-man'!$F$33="Yes"),25,50),0,AT104+1)))</f>
        <v/>
      </c>
      <c r="AV104">
        <f>IF('3-man'!AV$48="R",0,IF(AU103&gt;=100,0,IF(AU104+1&gt;=IF(OR('3-man'!$F$33=TRUE,'3-man'!$F$33="TRUE",'3-man'!$F$33="Yes"),25,50),0,AU104+1)))</f>
        <v/>
      </c>
      <c r="AW104">
        <f>IF('3-man'!AW$48="R",0,IF(AV103&gt;=100,0,IF(AV104+1&gt;=IF(OR('3-man'!$F$33=TRUE,'3-man'!$F$33="TRUE",'3-man'!$F$33="Yes"),25,50),0,AV104+1)))</f>
        <v/>
      </c>
      <c r="AX104">
        <f>IF('3-man'!AX$48="R",0,IF(AW103&gt;=100,0,IF(AW104+1&gt;=IF(OR('3-man'!$F$33=TRUE,'3-man'!$F$33="TRUE",'3-man'!$F$33="Yes"),25,50),0,AW104+1)))</f>
        <v/>
      </c>
      <c r="AY104">
        <f>IF('3-man'!AY$48="R",0,IF(AX103&gt;=100,0,IF(AX104+1&gt;=IF(OR('3-man'!$F$33=TRUE,'3-man'!$F$33="TRUE",'3-man'!$F$33="Yes"),25,50),0,AX104+1)))</f>
        <v/>
      </c>
      <c r="AZ104">
        <f>IF('3-man'!AZ$48="R",0,IF(AY103&gt;=100,0,IF(AY104+1&gt;=IF(OR('3-man'!$F$33=TRUE,'3-man'!$F$33="TRUE",'3-man'!$F$33="Yes"),25,50),0,AY104+1)))</f>
        <v/>
      </c>
      <c r="BA104">
        <f>IF('3-man'!BA$48="R",0,IF(AZ103&gt;=100,0,IF(AZ104+1&gt;=IF(OR('3-man'!$F$33=TRUE,'3-man'!$F$33="TRUE",'3-man'!$F$33="Yes"),25,50),0,AZ104+1)))</f>
        <v/>
      </c>
      <c r="BB104">
        <f>IF('3-man'!BB$48="R",0,IF(BA103&gt;=100,0,IF(BA104+1&gt;=IF(OR('3-man'!$F$33=TRUE,'3-man'!$F$33="TRUE",'3-man'!$F$33="Yes"),25,50),0,BA104+1)))</f>
        <v/>
      </c>
      <c r="BC104">
        <f>IF('3-man'!BC$48="R",0,IF(BB103&gt;=100,0,IF(BB104+1&gt;=IF(OR('3-man'!$F$33=TRUE,'3-man'!$F$33="TRUE",'3-man'!$F$33="Yes"),25,50),0,BB104+1)))</f>
        <v/>
      </c>
      <c r="BD104">
        <f>IF('3-man'!BD$48="R",0,IF(BC103&gt;=100,0,IF(BC104+1&gt;=IF(OR('3-man'!$F$33=TRUE,'3-man'!$F$33="TRUE",'3-man'!$F$33="Yes"),25,50),0,BC104+1)))</f>
        <v/>
      </c>
      <c r="BE104">
        <f>IF('3-man'!BE$48="R",0,IF(BD103&gt;=100,0,IF(BD104+1&gt;=IF(OR('3-man'!$F$33=TRUE,'3-man'!$F$33="TRUE",'3-man'!$F$33="Yes"),25,50),0,BD104+1)))</f>
        <v/>
      </c>
      <c r="BF104">
        <f>IF('3-man'!BF$48="R",0,IF(BE103&gt;=100,0,IF(BE104+1&gt;=IF(OR('3-man'!$F$33=TRUE,'3-man'!$F$33="TRUE",'3-man'!$F$33="Yes"),25,50),0,BE104+1)))</f>
        <v/>
      </c>
      <c r="BG104">
        <f>IF('3-man'!BG$48="R",0,IF(BF103&gt;=100,0,IF(BF104+1&gt;=IF(OR('3-man'!$F$33=TRUE,'3-man'!$F$33="TRUE",'3-man'!$F$33="Yes"),25,50),0,BF104+1)))</f>
        <v/>
      </c>
      <c r="BH104">
        <f>IF('3-man'!BH$48="R",0,IF(BG103&gt;=100,0,IF(BG104+1&gt;=IF(OR('3-man'!$F$33=TRUE,'3-man'!$F$33="TRUE",'3-man'!$F$33="Yes"),25,50),0,BG104+1)))</f>
        <v/>
      </c>
      <c r="BI104">
        <f>IF('3-man'!BI$48="R",0,IF(BH103&gt;=100,0,IF(BH104+1&gt;=IF(OR('3-man'!$F$33=TRUE,'3-man'!$F$33="TRUE",'3-man'!$F$33="Yes"),25,50),0,BH104+1)))</f>
        <v/>
      </c>
      <c r="BJ104">
        <f>IF('3-man'!BJ$48="R",0,IF(BI103&gt;=100,0,IF(BI104+1&gt;=IF(OR('3-man'!$F$33=TRUE,'3-man'!$F$33="TRUE",'3-man'!$F$33="Yes"),25,50),0,BI104+1)))</f>
        <v/>
      </c>
      <c r="BK104">
        <f>IF('3-man'!BK$48="R",0,IF(BJ103&gt;=100,0,IF(BJ104+1&gt;=IF(OR('3-man'!$F$33=TRUE,'3-man'!$F$33="TRUE",'3-man'!$F$33="Yes"),25,50),0,BJ104+1)))</f>
        <v/>
      </c>
      <c r="BL104">
        <f>IF('3-man'!BL$48="R",0,IF(BK103&gt;=100,0,IF(BK104+1&gt;=IF(OR('3-man'!$F$33=TRUE,'3-man'!$F$33="TRUE",'3-man'!$F$33="Yes"),25,50),0,BK104+1)))</f>
        <v/>
      </c>
      <c r="BM104">
        <f>IF('3-man'!BM$48="R",0,IF(BL103&gt;=100,0,IF(BL104+1&gt;=IF(OR('3-man'!$F$33=TRUE,'3-man'!$F$33="TRUE",'3-man'!$F$33="Yes"),25,50),0,BL104+1)))</f>
        <v/>
      </c>
      <c r="BN104">
        <f>IF('3-man'!BN$48="R",0,IF(BM103&gt;=100,0,IF(BM104+1&gt;=IF(OR('3-man'!$F$33=TRUE,'3-man'!$F$33="TRUE",'3-man'!$F$33="Yes"),25,50),0,BM104+1)))</f>
        <v/>
      </c>
      <c r="BO104">
        <f>IF('3-man'!BO$48="R",0,IF(BN103&gt;=100,0,IF(BN104+1&gt;=IF(OR('3-man'!$F$33=TRUE,'3-man'!$F$33="TRUE",'3-man'!$F$33="Yes"),25,50),0,BN104+1)))</f>
        <v/>
      </c>
      <c r="BP104">
        <f>IF('3-man'!BP$48="R",0,IF(BO103&gt;=100,0,IF(BO104+1&gt;=IF(OR('3-man'!$F$33=TRUE,'3-man'!$F$33="TRUE",'3-man'!$F$33="Yes"),25,50),0,BO104+1)))</f>
        <v/>
      </c>
      <c r="BQ104">
        <f>IF('3-man'!BQ$48="R",0,IF(BP103&gt;=100,0,IF(BP104+1&gt;=IF(OR('3-man'!$F$33=TRUE,'3-man'!$F$33="TRUE",'3-man'!$F$33="Yes"),25,50),0,BP104+1)))</f>
        <v/>
      </c>
      <c r="BR104">
        <f>IF('3-man'!BR$48="R",0,IF(BQ103&gt;=100,0,IF(BQ104+1&gt;=IF(OR('3-man'!$F$33=TRUE,'3-man'!$F$33="TRUE",'3-man'!$F$33="Yes"),25,50),0,BQ104+1)))</f>
        <v/>
      </c>
      <c r="BS104">
        <f>IF('3-man'!BS$48="R",0,IF(BR103&gt;=100,0,IF(BR104+1&gt;=IF(OR('3-man'!$F$33=TRUE,'3-man'!$F$33="TRUE",'3-man'!$F$33="Yes"),25,50),0,BR104+1)))</f>
        <v/>
      </c>
      <c r="BT104">
        <f>IF('3-man'!BT$48="R",0,IF(BS103&gt;=100,0,IF(BS104+1&gt;=IF(OR('3-man'!$F$33=TRUE,'3-man'!$F$33="TRUE",'3-man'!$F$33="Yes"),25,50),0,BS104+1)))</f>
        <v/>
      </c>
      <c r="BU104">
        <f>IF('3-man'!BU$48="R",0,IF(BT103&gt;=100,0,IF(BT104+1&gt;=IF(OR('3-man'!$F$33=TRUE,'3-man'!$F$33="TRUE",'3-man'!$F$33="Yes"),25,50),0,BT104+1)))</f>
        <v/>
      </c>
      <c r="BV104">
        <f>IF('3-man'!BV$48="R",0,IF(BU103&gt;=100,0,IF(BU104+1&gt;=IF(OR('3-man'!$F$33=TRUE,'3-man'!$F$33="TRUE",'3-man'!$F$33="Yes"),25,50),0,BU104+1)))</f>
        <v/>
      </c>
      <c r="BW104">
        <f>IF('3-man'!BW$48="R",0,IF(BV103&gt;=100,0,IF(BV104+1&gt;=IF(OR('3-man'!$F$33=TRUE,'3-man'!$F$33="TRUE",'3-man'!$F$33="Yes"),25,50),0,BV104+1)))</f>
        <v/>
      </c>
      <c r="BX104">
        <f>IF('3-man'!BX$48="R",0,IF(BW103&gt;=100,0,IF(BW104+1&gt;=IF(OR('3-man'!$F$33=TRUE,'3-man'!$F$33="TRUE",'3-man'!$F$33="Yes"),25,50),0,BW104+1)))</f>
        <v/>
      </c>
      <c r="BY104">
        <f>IF('3-man'!BY$48="R",0,IF(BX103&gt;=100,0,IF(BX104+1&gt;=IF(OR('3-man'!$F$33=TRUE,'3-man'!$F$33="TRUE",'3-man'!$F$33="Yes"),25,50),0,BX104+1)))</f>
        <v/>
      </c>
      <c r="BZ104">
        <f>IF('3-man'!BZ$48="R",0,IF(BY103&gt;=100,0,IF(BY104+1&gt;=IF(OR('3-man'!$F$33=TRUE,'3-man'!$F$33="TRUE",'3-man'!$F$33="Yes"),25,50),0,BY104+1)))</f>
        <v/>
      </c>
      <c r="CA104">
        <f>IF('3-man'!CA$48="R",0,IF(BZ103&gt;=100,0,IF(BZ104+1&gt;=IF(OR('3-man'!$F$33=TRUE,'3-man'!$F$33="TRUE",'3-man'!$F$33="Yes"),25,50),0,BZ104+1)))</f>
        <v/>
      </c>
      <c r="CB104">
        <f>IF('3-man'!CB$48="R",0,IF(CA103&gt;=100,0,IF(CA104+1&gt;=IF(OR('3-man'!$F$33=TRUE,'3-man'!$F$33="TRUE",'3-man'!$F$33="Yes"),25,50),0,CA104+1)))</f>
        <v/>
      </c>
      <c r="CC104">
        <f>IF('3-man'!CC$48="R",0,IF(CB103&gt;=100,0,IF(CB104+1&gt;=IF(OR('3-man'!$F$33=TRUE,'3-man'!$F$33="TRUE",'3-man'!$F$33="Yes"),25,50),0,CB104+1)))</f>
        <v/>
      </c>
      <c r="CD104">
        <f>IF('3-man'!CD$48="R",0,IF(CC103&gt;=100,0,IF(CC104+1&gt;=IF(OR('3-man'!$F$33=TRUE,'3-man'!$F$33="TRUE",'3-man'!$F$33="Yes"),25,50),0,CC104+1)))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row>
    <row r="109">
      <c r="A109" t="inlineStr">
        <is>
          <t>P2 act</t>
        </is>
      </c>
      <c r="C109">
        <f>IF(OR('3-man'!C$48="P",'3-man'!C$48="R",AND('3-man'!C$46&lt;=IF('3-man'!$BF$32="",999,'3-man'!$BF$32),OR('3-man'!C$48="D",LEFT('3-man'!C$48,3)="ST&gt;",OR(AND('3-man'!C$47="ST&gt;2",C94&gt;=100),AND('3-man'!C$49="ST&gt;2",C110&gt;=100))))),'3-man'!C$46,0)</f>
        <v/>
      </c>
      <c r="D109">
        <f>IF(OR('3-man'!D$48="P",'3-man'!D$48="R",AND('3-man'!D$46&lt;=IF('3-man'!$BF$32="",999,'3-man'!$BF$32),OR('3-man'!D$48="D",LEFT('3-man'!D$48,3)="ST&gt;",OR(AND('3-man'!D$47="ST&gt;2",D94&gt;=100),AND('3-man'!D$49="ST&gt;2",D110&gt;=100))))),'3-man'!D$46,0)</f>
        <v/>
      </c>
      <c r="E109">
        <f>IF(OR('3-man'!E$48="P",'3-man'!E$48="R",AND('3-man'!E$46&lt;=IF('3-man'!$BF$32="",999,'3-man'!$BF$32),OR('3-man'!E$48="D",LEFT('3-man'!E$48,3)="ST&gt;",OR(AND('3-man'!E$47="ST&gt;2",E94&gt;=100),AND('3-man'!E$49="ST&gt;2",E110&gt;=100))))),'3-man'!E$46,0)</f>
        <v/>
      </c>
      <c r="F109">
        <f>IF(OR('3-man'!F$48="P",'3-man'!F$48="R",AND('3-man'!F$46&lt;=IF('3-man'!$BF$32="",999,'3-man'!$BF$32),OR('3-man'!F$48="D",LEFT('3-man'!F$48,3)="ST&gt;",OR(AND('3-man'!F$47="ST&gt;2",F94&gt;=100),AND('3-man'!F$49="ST&gt;2",F110&gt;=100))))),'3-man'!F$46,0)</f>
        <v/>
      </c>
      <c r="G109">
        <f>IF(OR('3-man'!G$48="P",'3-man'!G$48="R",AND('3-man'!G$46&lt;=IF('3-man'!$BF$32="",999,'3-man'!$BF$32),OR('3-man'!G$48="D",LEFT('3-man'!G$48,3)="ST&gt;",OR(AND('3-man'!G$47="ST&gt;2",G94&gt;=100),AND('3-man'!G$49="ST&gt;2",G110&gt;=100))))),'3-man'!G$46,0)</f>
        <v/>
      </c>
      <c r="H109">
        <f>IF(OR('3-man'!H$48="P",'3-man'!H$48="R",AND('3-man'!H$46&lt;=IF('3-man'!$BF$32="",999,'3-man'!$BF$32),OR('3-man'!H$48="D",LEFT('3-man'!H$48,3)="ST&gt;",OR(AND('3-man'!H$47="ST&gt;2",H94&gt;=100),AND('3-man'!H$49="ST&gt;2",H110&gt;=100))))),'3-man'!H$46,0)</f>
        <v/>
      </c>
      <c r="I109">
        <f>IF(OR('3-man'!I$48="P",'3-man'!I$48="R",AND('3-man'!I$46&lt;=IF('3-man'!$BF$32="",999,'3-man'!$BF$32),OR('3-man'!I$48="D",LEFT('3-man'!I$48,3)="ST&gt;",OR(AND('3-man'!I$47="ST&gt;2",I94&gt;=100),AND('3-man'!I$49="ST&gt;2",I110&gt;=100))))),'3-man'!I$46,0)</f>
        <v/>
      </c>
      <c r="J109">
        <f>IF(OR('3-man'!J$48="P",'3-man'!J$48="R",AND('3-man'!J$46&lt;=IF('3-man'!$BF$32="",999,'3-man'!$BF$32),OR('3-man'!J$48="D",LEFT('3-man'!J$48,3)="ST&gt;",OR(AND('3-man'!J$47="ST&gt;2",J94&gt;=100),AND('3-man'!J$49="ST&gt;2",J110&gt;=100))))),'3-man'!J$46,0)</f>
        <v/>
      </c>
      <c r="K109">
        <f>IF(OR('3-man'!K$48="P",'3-man'!K$48="R",AND('3-man'!K$46&lt;=IF('3-man'!$BF$32="",999,'3-man'!$BF$32),OR('3-man'!K$48="D",LEFT('3-man'!K$48,3)="ST&gt;",OR(AND('3-man'!K$47="ST&gt;2",K94&gt;=100),AND('3-man'!K$49="ST&gt;2",K110&gt;=100))))),'3-man'!K$46,0)</f>
        <v/>
      </c>
      <c r="L109">
        <f>IF(OR('3-man'!L$48="P",'3-man'!L$48="R",AND('3-man'!L$46&lt;=IF('3-man'!$BF$32="",999,'3-man'!$BF$32),OR('3-man'!L$48="D",LEFT('3-man'!L$48,3)="ST&gt;",OR(AND('3-man'!L$47="ST&gt;2",L94&gt;=100),AND('3-man'!L$49="ST&gt;2",L110&gt;=100))))),'3-man'!L$46,0)</f>
        <v/>
      </c>
      <c r="M109">
        <f>IF(OR('3-man'!M$48="P",'3-man'!M$48="R",AND('3-man'!M$46&lt;=IF('3-man'!$BF$32="",999,'3-man'!$BF$32),OR('3-man'!M$48="D",LEFT('3-man'!M$48,3)="ST&gt;",OR(AND('3-man'!M$47="ST&gt;2",M94&gt;=100),AND('3-man'!M$49="ST&gt;2",M110&gt;=100))))),'3-man'!M$46,0)</f>
        <v/>
      </c>
      <c r="N109">
        <f>IF(OR('3-man'!N$48="P",'3-man'!N$48="R",AND('3-man'!N$46&lt;=IF('3-man'!$BF$32="",999,'3-man'!$BF$32),OR('3-man'!N$48="D",LEFT('3-man'!N$48,3)="ST&gt;",OR(AND('3-man'!N$47="ST&gt;2",N94&gt;=100),AND('3-man'!N$49="ST&gt;2",N110&gt;=100))))),'3-man'!N$46,0)</f>
        <v/>
      </c>
      <c r="O109">
        <f>IF(OR('3-man'!O$48="P",'3-man'!O$48="R",AND('3-man'!O$46&lt;=IF('3-man'!$BF$32="",999,'3-man'!$BF$32),OR('3-man'!O$48="D",LEFT('3-man'!O$48,3)="ST&gt;",OR(AND('3-man'!O$47="ST&gt;2",O94&gt;=100),AND('3-man'!O$49="ST&gt;2",O110&gt;=100))))),'3-man'!O$46,0)</f>
        <v/>
      </c>
      <c r="P109">
        <f>IF(OR('3-man'!P$48="P",'3-man'!P$48="R",AND('3-man'!P$46&lt;=IF('3-man'!$BF$32="",999,'3-man'!$BF$32),OR('3-man'!P$48="D",LEFT('3-man'!P$48,3)="ST&gt;",OR(AND('3-man'!P$47="ST&gt;2",P94&gt;=100),AND('3-man'!P$49="ST&gt;2",P110&gt;=100))))),'3-man'!P$46,0)</f>
        <v/>
      </c>
      <c r="Q109">
        <f>IF(OR('3-man'!Q$48="P",'3-man'!Q$48="R",AND('3-man'!Q$46&lt;=IF('3-man'!$BF$32="",999,'3-man'!$BF$32),OR('3-man'!Q$48="D",LEFT('3-man'!Q$48,3)="ST&gt;",OR(AND('3-man'!Q$47="ST&gt;2",Q94&gt;=100),AND('3-man'!Q$49="ST&gt;2",Q110&gt;=100))))),'3-man'!Q$46,0)</f>
        <v/>
      </c>
      <c r="R109">
        <f>IF(OR('3-man'!R$48="P",'3-man'!R$48="R",AND('3-man'!R$46&lt;=IF('3-man'!$BF$32="",999,'3-man'!$BF$32),OR('3-man'!R$48="D",LEFT('3-man'!R$48,3)="ST&gt;",OR(AND('3-man'!R$47="ST&gt;2",R94&gt;=100),AND('3-man'!R$49="ST&gt;2",R110&gt;=100))))),'3-man'!R$46,0)</f>
        <v/>
      </c>
      <c r="S109">
        <f>IF(OR('3-man'!S$48="P",'3-man'!S$48="R",AND('3-man'!S$46&lt;=IF('3-man'!$BF$32="",999,'3-man'!$BF$32),OR('3-man'!S$48="D",LEFT('3-man'!S$48,3)="ST&gt;",OR(AND('3-man'!S$47="ST&gt;2",S94&gt;=100),AND('3-man'!S$49="ST&gt;2",S110&gt;=100))))),'3-man'!S$46,0)</f>
        <v/>
      </c>
      <c r="T109">
        <f>IF(OR('3-man'!T$48="P",'3-man'!T$48="R",AND('3-man'!T$46&lt;=IF('3-man'!$BF$32="",999,'3-man'!$BF$32),OR('3-man'!T$48="D",LEFT('3-man'!T$48,3)="ST&gt;",OR(AND('3-man'!T$47="ST&gt;2",T94&gt;=100),AND('3-man'!T$49="ST&gt;2",T110&gt;=100))))),'3-man'!T$46,0)</f>
        <v/>
      </c>
      <c r="U109">
        <f>IF(OR('3-man'!U$48="P",'3-man'!U$48="R",AND('3-man'!U$46&lt;=IF('3-man'!$BF$32="",999,'3-man'!$BF$32),OR('3-man'!U$48="D",LEFT('3-man'!U$48,3)="ST&gt;",OR(AND('3-man'!U$47="ST&gt;2",U94&gt;=100),AND('3-man'!U$49="ST&gt;2",U110&gt;=100))))),'3-man'!U$46,0)</f>
        <v/>
      </c>
      <c r="V109">
        <f>IF(OR('3-man'!V$48="P",'3-man'!V$48="R",AND('3-man'!V$46&lt;=IF('3-man'!$BF$32="",999,'3-man'!$BF$32),OR('3-man'!V$48="D",LEFT('3-man'!V$48,3)="ST&gt;",OR(AND('3-man'!V$47="ST&gt;2",V94&gt;=100),AND('3-man'!V$49="ST&gt;2",V110&gt;=100))))),'3-man'!V$46,0)</f>
        <v/>
      </c>
      <c r="W109">
        <f>IF(OR('3-man'!W$48="P",'3-man'!W$48="R",AND('3-man'!W$46&lt;=IF('3-man'!$BF$32="",999,'3-man'!$BF$32),OR('3-man'!W$48="D",LEFT('3-man'!W$48,3)="ST&gt;",OR(AND('3-man'!W$47="ST&gt;2",W94&gt;=100),AND('3-man'!W$49="ST&gt;2",W110&gt;=100))))),'3-man'!W$46,0)</f>
        <v/>
      </c>
      <c r="X109">
        <f>IF(OR('3-man'!X$48="P",'3-man'!X$48="R",AND('3-man'!X$46&lt;=IF('3-man'!$BF$32="",999,'3-man'!$BF$32),OR('3-man'!X$48="D",LEFT('3-man'!X$48,3)="ST&gt;",OR(AND('3-man'!X$47="ST&gt;2",X94&gt;=100),AND('3-man'!X$49="ST&gt;2",X110&gt;=100))))),'3-man'!X$46,0)</f>
        <v/>
      </c>
      <c r="Y109">
        <f>IF(OR('3-man'!Y$48="P",'3-man'!Y$48="R",AND('3-man'!Y$46&lt;=IF('3-man'!$BF$32="",999,'3-man'!$BF$32),OR('3-man'!Y$48="D",LEFT('3-man'!Y$48,3)="ST&gt;",OR(AND('3-man'!Y$47="ST&gt;2",Y94&gt;=100),AND('3-man'!Y$49="ST&gt;2",Y110&gt;=100))))),'3-man'!Y$46,0)</f>
        <v/>
      </c>
      <c r="Z109">
        <f>IF(OR('3-man'!Z$48="P",'3-man'!Z$48="R",AND('3-man'!Z$46&lt;=IF('3-man'!$BF$32="",999,'3-man'!$BF$32),OR('3-man'!Z$48="D",LEFT('3-man'!Z$48,3)="ST&gt;",OR(AND('3-man'!Z$47="ST&gt;2",Z94&gt;=100),AND('3-man'!Z$49="ST&gt;2",Z110&gt;=100))))),'3-man'!Z$46,0)</f>
        <v/>
      </c>
      <c r="AA109">
        <f>IF(OR('3-man'!AA$48="P",'3-man'!AA$48="R",AND('3-man'!AA$46&lt;=IF('3-man'!$BF$32="",999,'3-man'!$BF$32),OR('3-man'!AA$48="D",LEFT('3-man'!AA$48,3)="ST&gt;",OR(AND('3-man'!AA$47="ST&gt;2",AA94&gt;=100),AND('3-man'!AA$49="ST&gt;2",AA110&gt;=100))))),'3-man'!AA$46,0)</f>
        <v/>
      </c>
      <c r="AB109">
        <f>IF(OR('3-man'!AB$48="P",'3-man'!AB$48="R",AND('3-man'!AB$46&lt;=IF('3-man'!$BF$32="",999,'3-man'!$BF$32),OR('3-man'!AB$48="D",LEFT('3-man'!AB$48,3)="ST&gt;",OR(AND('3-man'!AB$47="ST&gt;2",AB94&gt;=100),AND('3-man'!AB$49="ST&gt;2",AB110&gt;=100))))),'3-man'!AB$46,0)</f>
        <v/>
      </c>
      <c r="AC109">
        <f>IF(OR('3-man'!AC$48="P",'3-man'!AC$48="R",AND('3-man'!AC$46&lt;=IF('3-man'!$BF$32="",999,'3-man'!$BF$32),OR('3-man'!AC$48="D",LEFT('3-man'!AC$48,3)="ST&gt;",OR(AND('3-man'!AC$47="ST&gt;2",AC94&gt;=100),AND('3-man'!AC$49="ST&gt;2",AC110&gt;=100))))),'3-man'!AC$46,0)</f>
        <v/>
      </c>
      <c r="AD109">
        <f>IF(OR('3-man'!AD$48="P",'3-man'!AD$48="R",AND('3-man'!AD$46&lt;=IF('3-man'!$BF$32="",999,'3-man'!$BF$32),OR('3-man'!AD$48="D",LEFT('3-man'!AD$48,3)="ST&gt;",OR(AND('3-man'!AD$47="ST&gt;2",AD94&gt;=100),AND('3-man'!AD$49="ST&gt;2",AD110&gt;=100))))),'3-man'!AD$46,0)</f>
        <v/>
      </c>
      <c r="AE109">
        <f>IF(OR('3-man'!AE$48="P",'3-man'!AE$48="R",AND('3-man'!AE$46&lt;=IF('3-man'!$BF$32="",999,'3-man'!$BF$32),OR('3-man'!AE$48="D",LEFT('3-man'!AE$48,3)="ST&gt;",OR(AND('3-man'!AE$47="ST&gt;2",AE94&gt;=100),AND('3-man'!AE$49="ST&gt;2",AE110&gt;=100))))),'3-man'!AE$46,0)</f>
        <v/>
      </c>
      <c r="AF109">
        <f>IF(OR('3-man'!AF$48="P",'3-man'!AF$48="R",AND('3-man'!AF$46&lt;=IF('3-man'!$BF$32="",999,'3-man'!$BF$32),OR('3-man'!AF$48="D",LEFT('3-man'!AF$48,3)="ST&gt;",OR(AND('3-man'!AF$47="ST&gt;2",AF94&gt;=100),AND('3-man'!AF$49="ST&gt;2",AF110&gt;=100))))),'3-man'!AF$46,0)</f>
        <v/>
      </c>
      <c r="AG109">
        <f>IF(OR('3-man'!AG$48="P",'3-man'!AG$48="R",AND('3-man'!AG$46&lt;=IF('3-man'!$BF$32="",999,'3-man'!$BF$32),OR('3-man'!AG$48="D",LEFT('3-man'!AG$48,3)="ST&gt;",OR(AND('3-man'!AG$47="ST&gt;2",AG94&gt;=100),AND('3-man'!AG$49="ST&gt;2",AG110&gt;=100))))),'3-man'!AG$46,0)</f>
        <v/>
      </c>
      <c r="AH109">
        <f>IF(OR('3-man'!AH$48="P",'3-man'!AH$48="R",AND('3-man'!AH$46&lt;=IF('3-man'!$BF$32="",999,'3-man'!$BF$32),OR('3-man'!AH$48="D",LEFT('3-man'!AH$48,3)="ST&gt;",OR(AND('3-man'!AH$47="ST&gt;2",AH94&gt;=100),AND('3-man'!AH$49="ST&gt;2",AH110&gt;=100))))),'3-man'!AH$46,0)</f>
        <v/>
      </c>
      <c r="AI109">
        <f>IF(OR('3-man'!AI$48="P",'3-man'!AI$48="R",AND('3-man'!AI$46&lt;=IF('3-man'!$BF$32="",999,'3-man'!$BF$32),OR('3-man'!AI$48="D",LEFT('3-man'!AI$48,3)="ST&gt;",OR(AND('3-man'!AI$47="ST&gt;2",AI94&gt;=100),AND('3-man'!AI$49="ST&gt;2",AI110&gt;=100))))),'3-man'!AI$46,0)</f>
        <v/>
      </c>
      <c r="AJ109">
        <f>IF(OR('3-man'!AJ$48="P",'3-man'!AJ$48="R",AND('3-man'!AJ$46&lt;=IF('3-man'!$BF$32="",999,'3-man'!$BF$32),OR('3-man'!AJ$48="D",LEFT('3-man'!AJ$48,3)="ST&gt;",OR(AND('3-man'!AJ$47="ST&gt;2",AJ94&gt;=100),AND('3-man'!AJ$49="ST&gt;2",AJ110&gt;=100))))),'3-man'!AJ$46,0)</f>
        <v/>
      </c>
      <c r="AK109">
        <f>IF(OR('3-man'!AK$48="P",'3-man'!AK$48="R",AND('3-man'!AK$46&lt;=IF('3-man'!$BF$32="",999,'3-man'!$BF$32),OR('3-man'!AK$48="D",LEFT('3-man'!AK$48,3)="ST&gt;",OR(AND('3-man'!AK$47="ST&gt;2",AK94&gt;=100),AND('3-man'!AK$49="ST&gt;2",AK110&gt;=100))))),'3-man'!AK$46,0)</f>
        <v/>
      </c>
      <c r="AL109">
        <f>IF(OR('3-man'!AL$48="P",'3-man'!AL$48="R",AND('3-man'!AL$46&lt;=IF('3-man'!$BF$32="",999,'3-man'!$BF$32),OR('3-man'!AL$48="D",LEFT('3-man'!AL$48,3)="ST&gt;",OR(AND('3-man'!AL$47="ST&gt;2",AL94&gt;=100),AND('3-man'!AL$49="ST&gt;2",AL110&gt;=100))))),'3-man'!AL$46,0)</f>
        <v/>
      </c>
      <c r="AM109">
        <f>IF(OR('3-man'!AM$48="P",'3-man'!AM$48="R",AND('3-man'!AM$46&lt;=IF('3-man'!$BF$32="",999,'3-man'!$BF$32),OR('3-man'!AM$48="D",LEFT('3-man'!AM$48,3)="ST&gt;",OR(AND('3-man'!AM$47="ST&gt;2",AM94&gt;=100),AND('3-man'!AM$49="ST&gt;2",AM110&gt;=100))))),'3-man'!AM$46,0)</f>
        <v/>
      </c>
      <c r="AN109">
        <f>IF(OR('3-man'!AN$48="P",'3-man'!AN$48="R",AND('3-man'!AN$46&lt;=IF('3-man'!$BF$32="",999,'3-man'!$BF$32),OR('3-man'!AN$48="D",LEFT('3-man'!AN$48,3)="ST&gt;",OR(AND('3-man'!AN$47="ST&gt;2",AN94&gt;=100),AND('3-man'!AN$49="ST&gt;2",AN110&gt;=100))))),'3-man'!AN$46,0)</f>
        <v/>
      </c>
      <c r="AO109">
        <f>IF(OR('3-man'!AO$48="P",'3-man'!AO$48="R",AND('3-man'!AO$46&lt;=IF('3-man'!$BF$32="",999,'3-man'!$BF$32),OR('3-man'!AO$48="D",LEFT('3-man'!AO$48,3)="ST&gt;",OR(AND('3-man'!AO$47="ST&gt;2",AO94&gt;=100),AND('3-man'!AO$49="ST&gt;2",AO110&gt;=100))))),'3-man'!AO$46,0)</f>
        <v/>
      </c>
      <c r="AP109">
        <f>IF(OR('3-man'!AP$48="P",'3-man'!AP$48="R",AND('3-man'!AP$46&lt;=IF('3-man'!$BF$32="",999,'3-man'!$BF$32),OR('3-man'!AP$48="D",LEFT('3-man'!AP$48,3)="ST&gt;",OR(AND('3-man'!AP$47="ST&gt;2",AP94&gt;=100),AND('3-man'!AP$49="ST&gt;2",AP110&gt;=100))))),'3-man'!AP$46,0)</f>
        <v/>
      </c>
      <c r="AQ109">
        <f>IF(OR('3-man'!AQ$48="P",'3-man'!AQ$48="R",AND('3-man'!AQ$46&lt;=IF('3-man'!$BF$32="",999,'3-man'!$BF$32),OR('3-man'!AQ$48="D",LEFT('3-man'!AQ$48,3)="ST&gt;",OR(AND('3-man'!AQ$47="ST&gt;2",AQ94&gt;=100),AND('3-man'!AQ$49="ST&gt;2",AQ110&gt;=100))))),'3-man'!AQ$46,0)</f>
        <v/>
      </c>
      <c r="AR109">
        <f>IF(OR('3-man'!AR$48="P",'3-man'!AR$48="R",AND('3-man'!AR$46&lt;=IF('3-man'!$BF$32="",999,'3-man'!$BF$32),OR('3-man'!AR$48="D",LEFT('3-man'!AR$48,3)="ST&gt;",OR(AND('3-man'!AR$47="ST&gt;2",AR94&gt;=100),AND('3-man'!AR$49="ST&gt;2",AR110&gt;=100))))),'3-man'!AR$46,0)</f>
        <v/>
      </c>
      <c r="AS109">
        <f>IF(OR('3-man'!AS$48="P",'3-man'!AS$48="R",AND('3-man'!AS$46&lt;=IF('3-man'!$BF$32="",999,'3-man'!$BF$32),OR('3-man'!AS$48="D",LEFT('3-man'!AS$48,3)="ST&gt;",OR(AND('3-man'!AS$47="ST&gt;2",AS94&gt;=100),AND('3-man'!AS$49="ST&gt;2",AS110&gt;=100))))),'3-man'!AS$46,0)</f>
        <v/>
      </c>
      <c r="AT109">
        <f>IF(OR('3-man'!AT$48="P",'3-man'!AT$48="R",AND('3-man'!AT$46&lt;=IF('3-man'!$BF$32="",999,'3-man'!$BF$32),OR('3-man'!AT$48="D",LEFT('3-man'!AT$48,3)="ST&gt;",OR(AND('3-man'!AT$47="ST&gt;2",AT94&gt;=100),AND('3-man'!AT$49="ST&gt;2",AT110&gt;=100))))),'3-man'!AT$46,0)</f>
        <v/>
      </c>
      <c r="AU109">
        <f>IF(OR('3-man'!AU$48="P",'3-man'!AU$48="R",AND('3-man'!AU$46&lt;=IF('3-man'!$BF$32="",999,'3-man'!$BF$32),OR('3-man'!AU$48="D",LEFT('3-man'!AU$48,3)="ST&gt;",OR(AND('3-man'!AU$47="ST&gt;2",AU94&gt;=100),AND('3-man'!AU$49="ST&gt;2",AU110&gt;=100))))),'3-man'!AU$46,0)</f>
        <v/>
      </c>
      <c r="AV109">
        <f>IF(OR('3-man'!AV$48="P",'3-man'!AV$48="R",AND('3-man'!AV$46&lt;=IF('3-man'!$BF$32="",999,'3-man'!$BF$32),OR('3-man'!AV$48="D",LEFT('3-man'!AV$48,3)="ST&gt;",OR(AND('3-man'!AV$47="ST&gt;2",AV94&gt;=100),AND('3-man'!AV$49="ST&gt;2",AV110&gt;=100))))),'3-man'!AV$46,0)</f>
        <v/>
      </c>
      <c r="AW109">
        <f>IF(OR('3-man'!AW$48="P",'3-man'!AW$48="R",AND('3-man'!AW$46&lt;=IF('3-man'!$BF$32="",999,'3-man'!$BF$32),OR('3-man'!AW$48="D",LEFT('3-man'!AW$48,3)="ST&gt;",OR(AND('3-man'!AW$47="ST&gt;2",AW94&gt;=100),AND('3-man'!AW$49="ST&gt;2",AW110&gt;=100))))),'3-man'!AW$46,0)</f>
        <v/>
      </c>
      <c r="AX109">
        <f>IF(OR('3-man'!AX$48="P",'3-man'!AX$48="R",AND('3-man'!AX$46&lt;=IF('3-man'!$BF$32="",999,'3-man'!$BF$32),OR('3-man'!AX$48="D",LEFT('3-man'!AX$48,3)="ST&gt;",OR(AND('3-man'!AX$47="ST&gt;2",AX94&gt;=100),AND('3-man'!AX$49="ST&gt;2",AX110&gt;=100))))),'3-man'!AX$46,0)</f>
        <v/>
      </c>
      <c r="AY109">
        <f>IF(OR('3-man'!AY$48="P",'3-man'!AY$48="R",AND('3-man'!AY$46&lt;=IF('3-man'!$BF$32="",999,'3-man'!$BF$32),OR('3-man'!AY$48="D",LEFT('3-man'!AY$48,3)="ST&gt;",OR(AND('3-man'!AY$47="ST&gt;2",AY94&gt;=100),AND('3-man'!AY$49="ST&gt;2",AY110&gt;=100))))),'3-man'!AY$46,0)</f>
        <v/>
      </c>
      <c r="AZ109">
        <f>IF(OR('3-man'!AZ$48="P",'3-man'!AZ$48="R",AND('3-man'!AZ$46&lt;=IF('3-man'!$BF$32="",999,'3-man'!$BF$32),OR('3-man'!AZ$48="D",LEFT('3-man'!AZ$48,3)="ST&gt;",OR(AND('3-man'!AZ$47="ST&gt;2",AZ94&gt;=100),AND('3-man'!AZ$49="ST&gt;2",AZ110&gt;=100))))),'3-man'!AZ$46,0)</f>
        <v/>
      </c>
      <c r="BA109">
        <f>IF(OR('3-man'!BA$48="P",'3-man'!BA$48="R",AND('3-man'!BA$46&lt;=IF('3-man'!$BF$32="",999,'3-man'!$BF$32),OR('3-man'!BA$48="D",LEFT('3-man'!BA$48,3)="ST&gt;",OR(AND('3-man'!BA$47="ST&gt;2",BA94&gt;=100),AND('3-man'!BA$49="ST&gt;2",BA110&gt;=100))))),'3-man'!BA$46,0)</f>
        <v/>
      </c>
      <c r="BB109">
        <f>IF(OR('3-man'!BB$48="P",'3-man'!BB$48="R",AND('3-man'!BB$46&lt;=IF('3-man'!$BF$32="",999,'3-man'!$BF$32),OR('3-man'!BB$48="D",LEFT('3-man'!BB$48,3)="ST&gt;",OR(AND('3-man'!BB$47="ST&gt;2",BB94&gt;=100),AND('3-man'!BB$49="ST&gt;2",BB110&gt;=100))))),'3-man'!BB$46,0)</f>
        <v/>
      </c>
      <c r="BC109">
        <f>IF(OR('3-man'!BC$48="P",'3-man'!BC$48="R",AND('3-man'!BC$46&lt;=IF('3-man'!$BF$32="",999,'3-man'!$BF$32),OR('3-man'!BC$48="D",LEFT('3-man'!BC$48,3)="ST&gt;",OR(AND('3-man'!BC$47="ST&gt;2",BC94&gt;=100),AND('3-man'!BC$49="ST&gt;2",BC110&gt;=100))))),'3-man'!BC$46,0)</f>
        <v/>
      </c>
      <c r="BD109">
        <f>IF(OR('3-man'!BD$48="P",'3-man'!BD$48="R",AND('3-man'!BD$46&lt;=IF('3-man'!$BF$32="",999,'3-man'!$BF$32),OR('3-man'!BD$48="D",LEFT('3-man'!BD$48,3)="ST&gt;",OR(AND('3-man'!BD$47="ST&gt;2",BD94&gt;=100),AND('3-man'!BD$49="ST&gt;2",BD110&gt;=100))))),'3-man'!BD$46,0)</f>
        <v/>
      </c>
      <c r="BE109">
        <f>IF(OR('3-man'!BE$48="P",'3-man'!BE$48="R",AND('3-man'!BE$46&lt;=IF('3-man'!$BF$32="",999,'3-man'!$BF$32),OR('3-man'!BE$48="D",LEFT('3-man'!BE$48,3)="ST&gt;",OR(AND('3-man'!BE$47="ST&gt;2",BE94&gt;=100),AND('3-man'!BE$49="ST&gt;2",BE110&gt;=100))))),'3-man'!BE$46,0)</f>
        <v/>
      </c>
      <c r="BF109">
        <f>IF(OR('3-man'!BF$48="P",'3-man'!BF$48="R",AND('3-man'!BF$46&lt;=IF('3-man'!$BF$32="",999,'3-man'!$BF$32),OR('3-man'!BF$48="D",LEFT('3-man'!BF$48,3)="ST&gt;",OR(AND('3-man'!BF$47="ST&gt;2",BF94&gt;=100),AND('3-man'!BF$49="ST&gt;2",BF110&gt;=100))))),'3-man'!BF$46,0)</f>
        <v/>
      </c>
      <c r="BG109">
        <f>IF(OR('3-man'!BG$48="P",'3-man'!BG$48="R",AND('3-man'!BG$46&lt;=IF('3-man'!$BF$32="",999,'3-man'!$BF$32),OR('3-man'!BG$48="D",LEFT('3-man'!BG$48,3)="ST&gt;",OR(AND('3-man'!BG$47="ST&gt;2",BG94&gt;=100),AND('3-man'!BG$49="ST&gt;2",BG110&gt;=100))))),'3-man'!BG$46,0)</f>
        <v/>
      </c>
      <c r="BH109">
        <f>IF(OR('3-man'!BH$48="P",'3-man'!BH$48="R",AND('3-man'!BH$46&lt;=IF('3-man'!$BF$32="",999,'3-man'!$BF$32),OR('3-man'!BH$48="D",LEFT('3-man'!BH$48,3)="ST&gt;",OR(AND('3-man'!BH$47="ST&gt;2",BH94&gt;=100),AND('3-man'!BH$49="ST&gt;2",BH110&gt;=100))))),'3-man'!BH$46,0)</f>
        <v/>
      </c>
      <c r="BI109">
        <f>IF(OR('3-man'!BI$48="P",'3-man'!BI$48="R",AND('3-man'!BI$46&lt;=IF('3-man'!$BF$32="",999,'3-man'!$BF$32),OR('3-man'!BI$48="D",LEFT('3-man'!BI$48,3)="ST&gt;",OR(AND('3-man'!BI$47="ST&gt;2",BI94&gt;=100),AND('3-man'!BI$49="ST&gt;2",BI110&gt;=100))))),'3-man'!BI$46,0)</f>
        <v/>
      </c>
      <c r="BJ109">
        <f>IF(OR('3-man'!BJ$48="P",'3-man'!BJ$48="R",AND('3-man'!BJ$46&lt;=IF('3-man'!$BF$32="",999,'3-man'!$BF$32),OR('3-man'!BJ$48="D",LEFT('3-man'!BJ$48,3)="ST&gt;",OR(AND('3-man'!BJ$47="ST&gt;2",BJ94&gt;=100),AND('3-man'!BJ$49="ST&gt;2",BJ110&gt;=100))))),'3-man'!BJ$46,0)</f>
        <v/>
      </c>
      <c r="BK109">
        <f>IF(OR('3-man'!BK$48="P",'3-man'!BK$48="R",AND('3-man'!BK$46&lt;=IF('3-man'!$BF$32="",999,'3-man'!$BF$32),OR('3-man'!BK$48="D",LEFT('3-man'!BK$48,3)="ST&gt;",OR(AND('3-man'!BK$47="ST&gt;2",BK94&gt;=100),AND('3-man'!BK$49="ST&gt;2",BK110&gt;=100))))),'3-man'!BK$46,0)</f>
        <v/>
      </c>
      <c r="BL109">
        <f>IF(OR('3-man'!BL$48="P",'3-man'!BL$48="R",AND('3-man'!BL$46&lt;=IF('3-man'!$BF$32="",999,'3-man'!$BF$32),OR('3-man'!BL$48="D",LEFT('3-man'!BL$48,3)="ST&gt;",OR(AND('3-man'!BL$47="ST&gt;2",BL94&gt;=100),AND('3-man'!BL$49="ST&gt;2",BL110&gt;=100))))),'3-man'!BL$46,0)</f>
        <v/>
      </c>
      <c r="BM109">
        <f>IF(OR('3-man'!BM$48="P",'3-man'!BM$48="R",AND('3-man'!BM$46&lt;=IF('3-man'!$BF$32="",999,'3-man'!$BF$32),OR('3-man'!BM$48="D",LEFT('3-man'!BM$48,3)="ST&gt;",OR(AND('3-man'!BM$47="ST&gt;2",BM94&gt;=100),AND('3-man'!BM$49="ST&gt;2",BM110&gt;=100))))),'3-man'!BM$46,0)</f>
        <v/>
      </c>
      <c r="BN109">
        <f>IF(OR('3-man'!BN$48="P",'3-man'!BN$48="R",AND('3-man'!BN$46&lt;=IF('3-man'!$BF$32="",999,'3-man'!$BF$32),OR('3-man'!BN$48="D",LEFT('3-man'!BN$48,3)="ST&gt;",OR(AND('3-man'!BN$47="ST&gt;2",BN94&gt;=100),AND('3-man'!BN$49="ST&gt;2",BN110&gt;=100))))),'3-man'!BN$46,0)</f>
        <v/>
      </c>
      <c r="BO109">
        <f>IF(OR('3-man'!BO$48="P",'3-man'!BO$48="R",AND('3-man'!BO$46&lt;=IF('3-man'!$BF$32="",999,'3-man'!$BF$32),OR('3-man'!BO$48="D",LEFT('3-man'!BO$48,3)="ST&gt;",OR(AND('3-man'!BO$47="ST&gt;2",BO94&gt;=100),AND('3-man'!BO$49="ST&gt;2",BO110&gt;=100))))),'3-man'!BO$46,0)</f>
        <v/>
      </c>
      <c r="BP109">
        <f>IF(OR('3-man'!BP$48="P",'3-man'!BP$48="R",AND('3-man'!BP$46&lt;=IF('3-man'!$BF$32="",999,'3-man'!$BF$32),OR('3-man'!BP$48="D",LEFT('3-man'!BP$48,3)="ST&gt;",OR(AND('3-man'!BP$47="ST&gt;2",BP94&gt;=100),AND('3-man'!BP$49="ST&gt;2",BP110&gt;=100))))),'3-man'!BP$46,0)</f>
        <v/>
      </c>
      <c r="BQ109">
        <f>IF(OR('3-man'!BQ$48="P",'3-man'!BQ$48="R",AND('3-man'!BQ$46&lt;=IF('3-man'!$BF$32="",999,'3-man'!$BF$32),OR('3-man'!BQ$48="D",LEFT('3-man'!BQ$48,3)="ST&gt;",OR(AND('3-man'!BQ$47="ST&gt;2",BQ94&gt;=100),AND('3-man'!BQ$49="ST&gt;2",BQ110&gt;=100))))),'3-man'!BQ$46,0)</f>
        <v/>
      </c>
      <c r="BR109">
        <f>IF(OR('3-man'!BR$48="P",'3-man'!BR$48="R",AND('3-man'!BR$46&lt;=IF('3-man'!$BF$32="",999,'3-man'!$BF$32),OR('3-man'!BR$48="D",LEFT('3-man'!BR$48,3)="ST&gt;",OR(AND('3-man'!BR$47="ST&gt;2",BR94&gt;=100),AND('3-man'!BR$49="ST&gt;2",BR110&gt;=100))))),'3-man'!BR$46,0)</f>
        <v/>
      </c>
      <c r="BS109">
        <f>IF(OR('3-man'!BS$48="P",'3-man'!BS$48="R",AND('3-man'!BS$46&lt;=IF('3-man'!$BF$32="",999,'3-man'!$BF$32),OR('3-man'!BS$48="D",LEFT('3-man'!BS$48,3)="ST&gt;",OR(AND('3-man'!BS$47="ST&gt;2",BS94&gt;=100),AND('3-man'!BS$49="ST&gt;2",BS110&gt;=100))))),'3-man'!BS$46,0)</f>
        <v/>
      </c>
      <c r="BT109">
        <f>IF(OR('3-man'!BT$48="P",'3-man'!BT$48="R",AND('3-man'!BT$46&lt;=IF('3-man'!$BF$32="",999,'3-man'!$BF$32),OR('3-man'!BT$48="D",LEFT('3-man'!BT$48,3)="ST&gt;",OR(AND('3-man'!BT$47="ST&gt;2",BT94&gt;=100),AND('3-man'!BT$49="ST&gt;2",BT110&gt;=100))))),'3-man'!BT$46,0)</f>
        <v/>
      </c>
      <c r="BU109">
        <f>IF(OR('3-man'!BU$48="P",'3-man'!BU$48="R",AND('3-man'!BU$46&lt;=IF('3-man'!$BF$32="",999,'3-man'!$BF$32),OR('3-man'!BU$48="D",LEFT('3-man'!BU$48,3)="ST&gt;",OR(AND('3-man'!BU$47="ST&gt;2",BU94&gt;=100),AND('3-man'!BU$49="ST&gt;2",BU110&gt;=100))))),'3-man'!BU$46,0)</f>
        <v/>
      </c>
      <c r="BV109">
        <f>IF(OR('3-man'!BV$48="P",'3-man'!BV$48="R",AND('3-man'!BV$46&lt;=IF('3-man'!$BF$32="",999,'3-man'!$BF$32),OR('3-man'!BV$48="D",LEFT('3-man'!BV$48,3)="ST&gt;",OR(AND('3-man'!BV$47="ST&gt;2",BV94&gt;=100),AND('3-man'!BV$49="ST&gt;2",BV110&gt;=100))))),'3-man'!BV$46,0)</f>
        <v/>
      </c>
      <c r="BW109">
        <f>IF(OR('3-man'!BW$48="P",'3-man'!BW$48="R",AND('3-man'!BW$46&lt;=IF('3-man'!$BF$32="",999,'3-man'!$BF$32),OR('3-man'!BW$48="D",LEFT('3-man'!BW$48,3)="ST&gt;",OR(AND('3-man'!BW$47="ST&gt;2",BW94&gt;=100),AND('3-man'!BW$49="ST&gt;2",BW110&gt;=100))))),'3-man'!BW$46,0)</f>
        <v/>
      </c>
      <c r="BX109">
        <f>IF(OR('3-man'!BX$48="P",'3-man'!BX$48="R",AND('3-man'!BX$46&lt;=IF('3-man'!$BF$32="",999,'3-man'!$BF$32),OR('3-man'!BX$48="D",LEFT('3-man'!BX$48,3)="ST&gt;",OR(AND('3-man'!BX$47="ST&gt;2",BX94&gt;=100),AND('3-man'!BX$49="ST&gt;2",BX110&gt;=100))))),'3-man'!BX$46,0)</f>
        <v/>
      </c>
      <c r="BY109">
        <f>IF(OR('3-man'!BY$48="P",'3-man'!BY$48="R",AND('3-man'!BY$46&lt;=IF('3-man'!$BF$32="",999,'3-man'!$BF$32),OR('3-man'!BY$48="D",LEFT('3-man'!BY$48,3)="ST&gt;",OR(AND('3-man'!BY$47="ST&gt;2",BY94&gt;=100),AND('3-man'!BY$49="ST&gt;2",BY110&gt;=100))))),'3-man'!BY$46,0)</f>
        <v/>
      </c>
      <c r="BZ109">
        <f>IF(OR('3-man'!BZ$48="P",'3-man'!BZ$48="R",AND('3-man'!BZ$46&lt;=IF('3-man'!$BF$32="",999,'3-man'!$BF$32),OR('3-man'!BZ$48="D",LEFT('3-man'!BZ$48,3)="ST&gt;",OR(AND('3-man'!BZ$47="ST&gt;2",BZ94&gt;=100),AND('3-man'!BZ$49="ST&gt;2",BZ110&gt;=100))))),'3-man'!BZ$46,0)</f>
        <v/>
      </c>
      <c r="CA109">
        <f>IF(OR('3-man'!CA$48="P",'3-man'!CA$48="R",AND('3-man'!CA$46&lt;=IF('3-man'!$BF$32="",999,'3-man'!$BF$32),OR('3-man'!CA$48="D",LEFT('3-man'!CA$48,3)="ST&gt;",OR(AND('3-man'!CA$47="ST&gt;2",CA94&gt;=100),AND('3-man'!CA$49="ST&gt;2",CA110&gt;=100))))),'3-man'!CA$46,0)</f>
        <v/>
      </c>
      <c r="CB109">
        <f>IF(OR('3-man'!CB$48="P",'3-man'!CB$48="R",AND('3-man'!CB$46&lt;=IF('3-man'!$BF$32="",999,'3-man'!$BF$32),OR('3-man'!CB$48="D",LEFT('3-man'!CB$48,3)="ST&gt;",OR(AND('3-man'!CB$47="ST&gt;2",CB94&gt;=100),AND('3-man'!CB$49="ST&gt;2",CB110&gt;=100))))),'3-man'!CB$46,0)</f>
        <v/>
      </c>
      <c r="CC109">
        <f>IF(OR('3-man'!CC$48="P",'3-man'!CC$48="R",AND('3-man'!CC$46&lt;=IF('3-man'!$BF$32="",999,'3-man'!$BF$32),OR('3-man'!CC$48="D",LEFT('3-man'!CC$48,3)="ST&gt;",OR(AND('3-man'!CC$47="ST&gt;2",CC94&gt;=100),AND('3-man'!CC$49="ST&gt;2",CC110&gt;=100))))),'3-man'!CC$46,0)</f>
        <v/>
      </c>
      <c r="CD109">
        <f>IF(OR('3-man'!CD$48="P",'3-man'!CD$48="R",AND('3-man'!CD$46&lt;=IF('3-man'!$BF$32="",999,'3-man'!$BF$32),OR('3-man'!CD$48="D",LEFT('3-man'!CD$48,3)="ST&gt;",OR(AND('3-man'!CD$47="ST&gt;2",CD94&gt;=100),AND('3-man'!CD$49="ST&gt;2",CD110&gt;=100))))),'3-man'!CD$46,0)</f>
        <v/>
      </c>
    </row>
    <row r="110">
      <c r="A110" t="inlineStr">
        <is>
          <t>P3 s1</t>
        </is>
      </c>
      <c r="C110">
        <f>MIN(100,B111+IF(AND(B111&lt;100,B112+1&gt;=IF(OR('3-man'!$F$34=TRUE,'3-man'!$F$34="TRUE",'3-man'!$F$34="Yes"),25,50)),10,0)+IF('3-man'!C$46=$Q$116,25,0))</f>
        <v/>
      </c>
      <c r="D110">
        <f>MIN(100,C111+IF(AND(C111&lt;100,C112+1&gt;=IF(OR('3-man'!$F$34=TRUE,'3-man'!$F$34="TRUE",'3-man'!$F$34="Yes"),25,50)),10,0)+IF('3-man'!D$46=$Q$116,25,0))</f>
        <v/>
      </c>
      <c r="E110">
        <f>MIN(100,D111+IF(AND(D111&lt;100,D112+1&gt;=IF(OR('3-man'!$F$34=TRUE,'3-man'!$F$34="TRUE",'3-man'!$F$34="Yes"),25,50)),10,0)+IF('3-man'!E$46=$Q$116,25,0))</f>
        <v/>
      </c>
      <c r="F110">
        <f>MIN(100,E111+IF(AND(E111&lt;100,E112+1&gt;=IF(OR('3-man'!$F$34=TRUE,'3-man'!$F$34="TRUE",'3-man'!$F$34="Yes"),25,50)),10,0)+IF('3-man'!F$46=$Q$116,25,0))</f>
        <v/>
      </c>
      <c r="G110">
        <f>MIN(100,F111+IF(AND(F111&lt;100,F112+1&gt;=IF(OR('3-man'!$F$34=TRUE,'3-man'!$F$34="TRUE",'3-man'!$F$34="Yes"),25,50)),10,0)+IF('3-man'!G$46=$Q$116,25,0))</f>
        <v/>
      </c>
      <c r="H110">
        <f>MIN(100,G111+IF(AND(G111&lt;100,G112+1&gt;=IF(OR('3-man'!$F$34=TRUE,'3-man'!$F$34="TRUE",'3-man'!$F$34="Yes"),25,50)),10,0)+IF('3-man'!H$46=$Q$116,25,0))</f>
        <v/>
      </c>
      <c r="I110">
        <f>MIN(100,H111+IF(AND(H111&lt;100,H112+1&gt;=IF(OR('3-man'!$F$34=TRUE,'3-man'!$F$34="TRUE",'3-man'!$F$34="Yes"),25,50)),10,0)+IF('3-man'!I$46=$Q$116,25,0))</f>
        <v/>
      </c>
      <c r="J110">
        <f>MIN(100,I111+IF(AND(I111&lt;100,I112+1&gt;=IF(OR('3-man'!$F$34=TRUE,'3-man'!$F$34="TRUE",'3-man'!$F$34="Yes"),25,50)),10,0)+IF('3-man'!J$46=$Q$116,25,0))</f>
        <v/>
      </c>
      <c r="K110">
        <f>MIN(100,J111+IF(AND(J111&lt;100,J112+1&gt;=IF(OR('3-man'!$F$34=TRUE,'3-man'!$F$34="TRUE",'3-man'!$F$34="Yes"),25,50)),10,0)+IF('3-man'!K$46=$Q$116,25,0))</f>
        <v/>
      </c>
      <c r="L110">
        <f>MIN(100,K111+IF(AND(K111&lt;100,K112+1&gt;=IF(OR('3-man'!$F$34=TRUE,'3-man'!$F$34="TRUE",'3-man'!$F$34="Yes"),25,50)),10,0)+IF('3-man'!L$46=$Q$116,25,0))</f>
        <v/>
      </c>
      <c r="M110">
        <f>MIN(100,L111+IF(AND(L111&lt;100,L112+1&gt;=IF(OR('3-man'!$F$34=TRUE,'3-man'!$F$34="TRUE",'3-man'!$F$34="Yes"),25,50)),10,0)+IF('3-man'!M$46=$Q$116,25,0))</f>
        <v/>
      </c>
      <c r="N110">
        <f>MIN(100,M111+IF(AND(M111&lt;100,M112+1&gt;=IF(OR('3-man'!$F$34=TRUE,'3-man'!$F$34="TRUE",'3-man'!$F$34="Yes"),25,50)),10,0)+IF('3-man'!N$46=$Q$116,25,0))</f>
        <v/>
      </c>
      <c r="O110">
        <f>MIN(100,N111+IF(AND(N111&lt;100,N112+1&gt;=IF(OR('3-man'!$F$34=TRUE,'3-man'!$F$34="TRUE",'3-man'!$F$34="Yes"),25,50)),10,0)+IF('3-man'!O$46=$Q$116,25,0))</f>
        <v/>
      </c>
      <c r="P110">
        <f>MIN(100,O111+IF(AND(O111&lt;100,O112+1&gt;=IF(OR('3-man'!$F$34=TRUE,'3-man'!$F$34="TRUE",'3-man'!$F$34="Yes"),25,50)),10,0)+IF('3-man'!P$46=$Q$116,25,0))</f>
        <v/>
      </c>
      <c r="Q110">
        <f>MIN(100,P111+IF(AND(P111&lt;100,P112+1&gt;=IF(OR('3-man'!$F$34=TRUE,'3-man'!$F$34="TRUE",'3-man'!$F$34="Yes"),25,50)),10,0)+IF('3-man'!Q$46=$Q$116,25,0))</f>
        <v/>
      </c>
      <c r="R110">
        <f>MIN(100,Q111+IF(AND(Q111&lt;100,Q112+1&gt;=IF(OR('3-man'!$F$34=TRUE,'3-man'!$F$34="TRUE",'3-man'!$F$34="Yes"),25,50)),10,0)+IF('3-man'!R$46=$Q$116,25,0))</f>
        <v/>
      </c>
      <c r="S110">
        <f>MIN(100,R111+IF(AND(R111&lt;100,R112+1&gt;=IF(OR('3-man'!$F$34=TRUE,'3-man'!$F$34="TRUE",'3-man'!$F$34="Yes"),25,50)),10,0)+IF('3-man'!S$46=$Q$116,25,0))</f>
        <v/>
      </c>
      <c r="T110">
        <f>MIN(100,S111+IF(AND(S111&lt;100,S112+1&gt;=IF(OR('3-man'!$F$34=TRUE,'3-man'!$F$34="TRUE",'3-man'!$F$34="Yes"),25,50)),10,0)+IF('3-man'!T$46=$Q$116,25,0))</f>
        <v/>
      </c>
      <c r="U110">
        <f>MIN(100,T111+IF(AND(T111&lt;100,T112+1&gt;=IF(OR('3-man'!$F$34=TRUE,'3-man'!$F$34="TRUE",'3-man'!$F$34="Yes"),25,50)),10,0)+IF('3-man'!U$46=$Q$116,25,0))</f>
        <v/>
      </c>
      <c r="V110">
        <f>MIN(100,U111+IF(AND(U111&lt;100,U112+1&gt;=IF(OR('3-man'!$F$34=TRUE,'3-man'!$F$34="TRUE",'3-man'!$F$34="Yes"),25,50)),10,0)+IF('3-man'!V$46=$Q$116,25,0))</f>
        <v/>
      </c>
      <c r="W110">
        <f>MIN(100,V111+IF(AND(V111&lt;100,V112+1&gt;=IF(OR('3-man'!$F$34=TRUE,'3-man'!$F$34="TRUE",'3-man'!$F$34="Yes"),25,50)),10,0)+IF('3-man'!W$46=$Q$116,25,0))</f>
        <v/>
      </c>
      <c r="X110">
        <f>MIN(100,W111+IF(AND(W111&lt;100,W112+1&gt;=IF(OR('3-man'!$F$34=TRUE,'3-man'!$F$34="TRUE",'3-man'!$F$34="Yes"),25,50)),10,0)+IF('3-man'!X$46=$Q$116,25,0))</f>
        <v/>
      </c>
      <c r="Y110">
        <f>MIN(100,X111+IF(AND(X111&lt;100,X112+1&gt;=IF(OR('3-man'!$F$34=TRUE,'3-man'!$F$34="TRUE",'3-man'!$F$34="Yes"),25,50)),10,0)+IF('3-man'!Y$46=$Q$116,25,0))</f>
        <v/>
      </c>
      <c r="Z110">
        <f>MIN(100,Y111+IF(AND(Y111&lt;100,Y112+1&gt;=IF(OR('3-man'!$F$34=TRUE,'3-man'!$F$34="TRUE",'3-man'!$F$34="Yes"),25,50)),10,0)+IF('3-man'!Z$46=$Q$116,25,0))</f>
        <v/>
      </c>
      <c r="AA110">
        <f>MIN(100,Z111+IF(AND(Z111&lt;100,Z112+1&gt;=IF(OR('3-man'!$F$34=TRUE,'3-man'!$F$34="TRUE",'3-man'!$F$34="Yes"),25,50)),10,0)+IF('3-man'!AA$46=$Q$116,25,0))</f>
        <v/>
      </c>
      <c r="AB110">
        <f>MIN(100,AA111+IF(AND(AA111&lt;100,AA112+1&gt;=IF(OR('3-man'!$F$34=TRUE,'3-man'!$F$34="TRUE",'3-man'!$F$34="Yes"),25,50)),10,0)+IF('3-man'!AB$46=$Q$116,25,0))</f>
        <v/>
      </c>
      <c r="AC110">
        <f>MIN(100,AB111+IF(AND(AB111&lt;100,AB112+1&gt;=IF(OR('3-man'!$F$34=TRUE,'3-man'!$F$34="TRUE",'3-man'!$F$34="Yes"),25,50)),10,0)+IF('3-man'!AC$46=$Q$116,25,0))</f>
        <v/>
      </c>
      <c r="AD110">
        <f>MIN(100,AC111+IF(AND(AC111&lt;100,AC112+1&gt;=IF(OR('3-man'!$F$34=TRUE,'3-man'!$F$34="TRUE",'3-man'!$F$34="Yes"),25,50)),10,0)+IF('3-man'!AD$46=$Q$116,25,0))</f>
        <v/>
      </c>
      <c r="AE110">
        <f>MIN(100,AD111+IF(AND(AD111&lt;100,AD112+1&gt;=IF(OR('3-man'!$F$34=TRUE,'3-man'!$F$34="TRUE",'3-man'!$F$34="Yes"),25,50)),10,0)+IF('3-man'!AE$46=$Q$116,25,0))</f>
        <v/>
      </c>
      <c r="AF110">
        <f>MIN(100,AE111+IF(AND(AE111&lt;100,AE112+1&gt;=IF(OR('3-man'!$F$34=TRUE,'3-man'!$F$34="TRUE",'3-man'!$F$34="Yes"),25,50)),10,0)+IF('3-man'!AF$46=$Q$116,25,0))</f>
        <v/>
      </c>
      <c r="AG110">
        <f>MIN(100,AF111+IF(AND(AF111&lt;100,AF112+1&gt;=IF(OR('3-man'!$F$34=TRUE,'3-man'!$F$34="TRUE",'3-man'!$F$34="Yes"),25,50)),10,0)+IF('3-man'!AG$46=$Q$116,25,0))</f>
        <v/>
      </c>
      <c r="AH110">
        <f>MIN(100,AG111+IF(AND(AG111&lt;100,AG112+1&gt;=IF(OR('3-man'!$F$34=TRUE,'3-man'!$F$34="TRUE",'3-man'!$F$34="Yes"),25,50)),10,0)+IF('3-man'!AH$46=$Q$116,25,0))</f>
        <v/>
      </c>
      <c r="AI110">
        <f>MIN(100,AH111+IF(AND(AH111&lt;100,AH112+1&gt;=IF(OR('3-man'!$F$34=TRUE,'3-man'!$F$34="TRUE",'3-man'!$F$34="Yes"),25,50)),10,0)+IF('3-man'!AI$46=$Q$116,25,0))</f>
        <v/>
      </c>
      <c r="AJ110">
        <f>MIN(100,AI111+IF(AND(AI111&lt;100,AI112+1&gt;=IF(OR('3-man'!$F$34=TRUE,'3-man'!$F$34="TRUE",'3-man'!$F$34="Yes"),25,50)),10,0)+IF('3-man'!AJ$46=$Q$116,25,0))</f>
        <v/>
      </c>
      <c r="AK110">
        <f>MIN(100,AJ111+IF(AND(AJ111&lt;100,AJ112+1&gt;=IF(OR('3-man'!$F$34=TRUE,'3-man'!$F$34="TRUE",'3-man'!$F$34="Yes"),25,50)),10,0)+IF('3-man'!AK$46=$Q$116,25,0))</f>
        <v/>
      </c>
      <c r="AL110">
        <f>MIN(100,AK111+IF(AND(AK111&lt;100,AK112+1&gt;=IF(OR('3-man'!$F$34=TRUE,'3-man'!$F$34="TRUE",'3-man'!$F$34="Yes"),25,50)),10,0)+IF('3-man'!AL$46=$Q$116,25,0))</f>
        <v/>
      </c>
      <c r="AM110">
        <f>MIN(100,AL111+IF(AND(AL111&lt;100,AL112+1&gt;=IF(OR('3-man'!$F$34=TRUE,'3-man'!$F$34="TRUE",'3-man'!$F$34="Yes"),25,50)),10,0)+IF('3-man'!AM$46=$Q$116,25,0))</f>
        <v/>
      </c>
      <c r="AN110">
        <f>MIN(100,AM111+IF(AND(AM111&lt;100,AM112+1&gt;=IF(OR('3-man'!$F$34=TRUE,'3-man'!$F$34="TRUE",'3-man'!$F$34="Yes"),25,50)),10,0)+IF('3-man'!AN$46=$Q$116,25,0))</f>
        <v/>
      </c>
      <c r="AO110">
        <f>MIN(100,AN111+IF(AND(AN111&lt;100,AN112+1&gt;=IF(OR('3-man'!$F$34=TRUE,'3-man'!$F$34="TRUE",'3-man'!$F$34="Yes"),25,50)),10,0)+IF('3-man'!AO$46=$Q$116,25,0))</f>
        <v/>
      </c>
      <c r="AP110">
        <f>MIN(100,AO111+IF(AND(AO111&lt;100,AO112+1&gt;=IF(OR('3-man'!$F$34=TRUE,'3-man'!$F$34="TRUE",'3-man'!$F$34="Yes"),25,50)),10,0)+IF('3-man'!AP$46=$Q$116,25,0))</f>
        <v/>
      </c>
      <c r="AQ110">
        <f>MIN(100,AP111+IF(AND(AP111&lt;100,AP112+1&gt;=IF(OR('3-man'!$F$34=TRUE,'3-man'!$F$34="TRUE",'3-man'!$F$34="Yes"),25,50)),10,0)+IF('3-man'!AQ$46=$Q$116,25,0))</f>
        <v/>
      </c>
      <c r="AR110">
        <f>MIN(100,AQ111+IF(AND(AQ111&lt;100,AQ112+1&gt;=IF(OR('3-man'!$F$34=TRUE,'3-man'!$F$34="TRUE",'3-man'!$F$34="Yes"),25,50)),10,0)+IF('3-man'!AR$46=$Q$116,25,0))</f>
        <v/>
      </c>
      <c r="AS110">
        <f>MIN(100,AR111+IF(AND(AR111&lt;100,AR112+1&gt;=IF(OR('3-man'!$F$34=TRUE,'3-man'!$F$34="TRUE",'3-man'!$F$34="Yes"),25,50)),10,0)+IF('3-man'!AS$46=$Q$116,25,0))</f>
        <v/>
      </c>
      <c r="AT110">
        <f>MIN(100,AS111+IF(AND(AS111&lt;100,AS112+1&gt;=IF(OR('3-man'!$F$34=TRUE,'3-man'!$F$34="TRUE",'3-man'!$F$34="Yes"),25,50)),10,0)+IF('3-man'!AT$46=$Q$116,25,0))</f>
        <v/>
      </c>
      <c r="AU110">
        <f>MIN(100,AT111+IF(AND(AT111&lt;100,AT112+1&gt;=IF(OR('3-man'!$F$34=TRUE,'3-man'!$F$34="TRUE",'3-man'!$F$34="Yes"),25,50)),10,0)+IF('3-man'!AU$46=$Q$116,25,0))</f>
        <v/>
      </c>
      <c r="AV110">
        <f>MIN(100,AU111+IF(AND(AU111&lt;100,AU112+1&gt;=IF(OR('3-man'!$F$34=TRUE,'3-man'!$F$34="TRUE",'3-man'!$F$34="Yes"),25,50)),10,0)+IF('3-man'!AV$46=$Q$116,25,0))</f>
        <v/>
      </c>
      <c r="AW110">
        <f>MIN(100,AV111+IF(AND(AV111&lt;100,AV112+1&gt;=IF(OR('3-man'!$F$34=TRUE,'3-man'!$F$34="TRUE",'3-man'!$F$34="Yes"),25,50)),10,0)+IF('3-man'!AW$46=$Q$116,25,0))</f>
        <v/>
      </c>
      <c r="AX110">
        <f>MIN(100,AW111+IF(AND(AW111&lt;100,AW112+1&gt;=IF(OR('3-man'!$F$34=TRUE,'3-man'!$F$34="TRUE",'3-man'!$F$34="Yes"),25,50)),10,0)+IF('3-man'!AX$46=$Q$116,25,0))</f>
        <v/>
      </c>
      <c r="AY110">
        <f>MIN(100,AX111+IF(AND(AX111&lt;100,AX112+1&gt;=IF(OR('3-man'!$F$34=TRUE,'3-man'!$F$34="TRUE",'3-man'!$F$34="Yes"),25,50)),10,0)+IF('3-man'!AY$46=$Q$116,25,0))</f>
        <v/>
      </c>
      <c r="AZ110">
        <f>MIN(100,AY111+IF(AND(AY111&lt;100,AY112+1&gt;=IF(OR('3-man'!$F$34=TRUE,'3-man'!$F$34="TRUE",'3-man'!$F$34="Yes"),25,50)),10,0)+IF('3-man'!AZ$46=$Q$116,25,0))</f>
        <v/>
      </c>
      <c r="BA110">
        <f>MIN(100,AZ111+IF(AND(AZ111&lt;100,AZ112+1&gt;=IF(OR('3-man'!$F$34=TRUE,'3-man'!$F$34="TRUE",'3-man'!$F$34="Yes"),25,50)),10,0)+IF('3-man'!BA$46=$Q$116,25,0))</f>
        <v/>
      </c>
      <c r="BB110">
        <f>MIN(100,BA111+IF(AND(BA111&lt;100,BA112+1&gt;=IF(OR('3-man'!$F$34=TRUE,'3-man'!$F$34="TRUE",'3-man'!$F$34="Yes"),25,50)),10,0)+IF('3-man'!BB$46=$Q$116,25,0))</f>
        <v/>
      </c>
      <c r="BC110">
        <f>MIN(100,BB111+IF(AND(BB111&lt;100,BB112+1&gt;=IF(OR('3-man'!$F$34=TRUE,'3-man'!$F$34="TRUE",'3-man'!$F$34="Yes"),25,50)),10,0)+IF('3-man'!BC$46=$Q$116,25,0))</f>
        <v/>
      </c>
      <c r="BD110">
        <f>MIN(100,BC111+IF(AND(BC111&lt;100,BC112+1&gt;=IF(OR('3-man'!$F$34=TRUE,'3-man'!$F$34="TRUE",'3-man'!$F$34="Yes"),25,50)),10,0)+IF('3-man'!BD$46=$Q$116,25,0))</f>
        <v/>
      </c>
      <c r="BE110">
        <f>MIN(100,BD111+IF(AND(BD111&lt;100,BD112+1&gt;=IF(OR('3-man'!$F$34=TRUE,'3-man'!$F$34="TRUE",'3-man'!$F$34="Yes"),25,50)),10,0)+IF('3-man'!BE$46=$Q$116,25,0))</f>
        <v/>
      </c>
      <c r="BF110">
        <f>MIN(100,BE111+IF(AND(BE111&lt;100,BE112+1&gt;=IF(OR('3-man'!$F$34=TRUE,'3-man'!$F$34="TRUE",'3-man'!$F$34="Yes"),25,50)),10,0)+IF('3-man'!BF$46=$Q$116,25,0))</f>
        <v/>
      </c>
      <c r="BG110">
        <f>MIN(100,BF111+IF(AND(BF111&lt;100,BF112+1&gt;=IF(OR('3-man'!$F$34=TRUE,'3-man'!$F$34="TRUE",'3-man'!$F$34="Yes"),25,50)),10,0)+IF('3-man'!BG$46=$Q$116,25,0))</f>
        <v/>
      </c>
      <c r="BH110">
        <f>MIN(100,BG111+IF(AND(BG111&lt;100,BG112+1&gt;=IF(OR('3-man'!$F$34=TRUE,'3-man'!$F$34="TRUE",'3-man'!$F$34="Yes"),25,50)),10,0)+IF('3-man'!BH$46=$Q$116,25,0))</f>
        <v/>
      </c>
      <c r="BI110">
        <f>MIN(100,BH111+IF(AND(BH111&lt;100,BH112+1&gt;=IF(OR('3-man'!$F$34=TRUE,'3-man'!$F$34="TRUE",'3-man'!$F$34="Yes"),25,50)),10,0)+IF('3-man'!BI$46=$Q$116,25,0))</f>
        <v/>
      </c>
      <c r="BJ110">
        <f>MIN(100,BI111+IF(AND(BI111&lt;100,BI112+1&gt;=IF(OR('3-man'!$F$34=TRUE,'3-man'!$F$34="TRUE",'3-man'!$F$34="Yes"),25,50)),10,0)+IF('3-man'!BJ$46=$Q$116,25,0))</f>
        <v/>
      </c>
      <c r="BK110">
        <f>MIN(100,BJ111+IF(AND(BJ111&lt;100,BJ112+1&gt;=IF(OR('3-man'!$F$34=TRUE,'3-man'!$F$34="TRUE",'3-man'!$F$34="Yes"),25,50)),10,0)+IF('3-man'!BK$46=$Q$116,25,0))</f>
        <v/>
      </c>
      <c r="BL110">
        <f>MIN(100,BK111+IF(AND(BK111&lt;100,BK112+1&gt;=IF(OR('3-man'!$F$34=TRUE,'3-man'!$F$34="TRUE",'3-man'!$F$34="Yes"),25,50)),10,0)+IF('3-man'!BL$46=$Q$116,25,0))</f>
        <v/>
      </c>
      <c r="BM110">
        <f>MIN(100,BL111+IF(AND(BL111&lt;100,BL112+1&gt;=IF(OR('3-man'!$F$34=TRUE,'3-man'!$F$34="TRUE",'3-man'!$F$34="Yes"),25,50)),10,0)+IF('3-man'!BM$46=$Q$116,25,0))</f>
        <v/>
      </c>
      <c r="BN110">
        <f>MIN(100,BM111+IF(AND(BM111&lt;100,BM112+1&gt;=IF(OR('3-man'!$F$34=TRUE,'3-man'!$F$34="TRUE",'3-man'!$F$34="Yes"),25,50)),10,0)+IF('3-man'!BN$46=$Q$116,25,0))</f>
        <v/>
      </c>
      <c r="BO110">
        <f>MIN(100,BN111+IF(AND(BN111&lt;100,BN112+1&gt;=IF(OR('3-man'!$F$34=TRUE,'3-man'!$F$34="TRUE",'3-man'!$F$34="Yes"),25,50)),10,0)+IF('3-man'!BO$46=$Q$116,25,0))</f>
        <v/>
      </c>
      <c r="BP110">
        <f>MIN(100,BO111+IF(AND(BO111&lt;100,BO112+1&gt;=IF(OR('3-man'!$F$34=TRUE,'3-man'!$F$34="TRUE",'3-man'!$F$34="Yes"),25,50)),10,0)+IF('3-man'!BP$46=$Q$116,25,0))</f>
        <v/>
      </c>
      <c r="BQ110">
        <f>MIN(100,BP111+IF(AND(BP111&lt;100,BP112+1&gt;=IF(OR('3-man'!$F$34=TRUE,'3-man'!$F$34="TRUE",'3-man'!$F$34="Yes"),25,50)),10,0)+IF('3-man'!BQ$46=$Q$116,25,0))</f>
        <v/>
      </c>
      <c r="BR110">
        <f>MIN(100,BQ111+IF(AND(BQ111&lt;100,BQ112+1&gt;=IF(OR('3-man'!$F$34=TRUE,'3-man'!$F$34="TRUE",'3-man'!$F$34="Yes"),25,50)),10,0)+IF('3-man'!BR$46=$Q$116,25,0))</f>
        <v/>
      </c>
      <c r="BS110">
        <f>MIN(100,BR111+IF(AND(BR111&lt;100,BR112+1&gt;=IF(OR('3-man'!$F$34=TRUE,'3-man'!$F$34="TRUE",'3-man'!$F$34="Yes"),25,50)),10,0)+IF('3-man'!BS$46=$Q$116,25,0))</f>
        <v/>
      </c>
      <c r="BT110">
        <f>MIN(100,BS111+IF(AND(BS111&lt;100,BS112+1&gt;=IF(OR('3-man'!$F$34=TRUE,'3-man'!$F$34="TRUE",'3-man'!$F$34="Yes"),25,50)),10,0)+IF('3-man'!BT$46=$Q$116,25,0))</f>
        <v/>
      </c>
      <c r="BU110">
        <f>MIN(100,BT111+IF(AND(BT111&lt;100,BT112+1&gt;=IF(OR('3-man'!$F$34=TRUE,'3-man'!$F$34="TRUE",'3-man'!$F$34="Yes"),25,50)),10,0)+IF('3-man'!BU$46=$Q$116,25,0))</f>
        <v/>
      </c>
      <c r="BV110">
        <f>MIN(100,BU111+IF(AND(BU111&lt;100,BU112+1&gt;=IF(OR('3-man'!$F$34=TRUE,'3-man'!$F$34="TRUE",'3-man'!$F$34="Yes"),25,50)),10,0)+IF('3-man'!BV$46=$Q$116,25,0))</f>
        <v/>
      </c>
      <c r="BW110">
        <f>MIN(100,BV111+IF(AND(BV111&lt;100,BV112+1&gt;=IF(OR('3-man'!$F$34=TRUE,'3-man'!$F$34="TRUE",'3-man'!$F$34="Yes"),25,50)),10,0)+IF('3-man'!BW$46=$Q$116,25,0))</f>
        <v/>
      </c>
      <c r="BX110">
        <f>MIN(100,BW111+IF(AND(BW111&lt;100,BW112+1&gt;=IF(OR('3-man'!$F$34=TRUE,'3-man'!$F$34="TRUE",'3-man'!$F$34="Yes"),25,50)),10,0)+IF('3-man'!BX$46=$Q$116,25,0))</f>
        <v/>
      </c>
      <c r="BY110">
        <f>MIN(100,BX111+IF(AND(BX111&lt;100,BX112+1&gt;=IF(OR('3-man'!$F$34=TRUE,'3-man'!$F$34="TRUE",'3-man'!$F$34="Yes"),25,50)),10,0)+IF('3-man'!BY$46=$Q$116,25,0))</f>
        <v/>
      </c>
      <c r="BZ110">
        <f>MIN(100,BY111+IF(AND(BY111&lt;100,BY112+1&gt;=IF(OR('3-man'!$F$34=TRUE,'3-man'!$F$34="TRUE",'3-man'!$F$34="Yes"),25,50)),10,0)+IF('3-man'!BZ$46=$Q$116,25,0))</f>
        <v/>
      </c>
      <c r="CA110">
        <f>MIN(100,BZ111+IF(AND(BZ111&lt;100,BZ112+1&gt;=IF(OR('3-man'!$F$34=TRUE,'3-man'!$F$34="TRUE",'3-man'!$F$34="Yes"),25,50)),10,0)+IF('3-man'!CA$46=$Q$116,25,0))</f>
        <v/>
      </c>
      <c r="CB110">
        <f>MIN(100,CA111+IF(AND(CA111&lt;100,CA112+1&gt;=IF(OR('3-man'!$F$34=TRUE,'3-man'!$F$34="TRUE",'3-man'!$F$34="Yes"),25,50)),10,0)+IF('3-man'!CB$46=$Q$116,25,0))</f>
        <v/>
      </c>
      <c r="CC110">
        <f>MIN(100,CB111+IF(AND(CB111&lt;100,CB112+1&gt;=IF(OR('3-man'!$F$34=TRUE,'3-man'!$F$34="TRUE",'3-man'!$F$34="Yes"),25,50)),10,0)+IF('3-man'!CC$46=$Q$116,25,0))</f>
        <v/>
      </c>
      <c r="CD110">
        <f>MIN(100,CC111+IF(AND(CC111&lt;100,CC112+1&gt;=IF(OR('3-man'!$F$34=TRUE,'3-man'!$F$34="TRUE",'3-man'!$F$34="Yes"),25,50)),10,0)+IF('3-man'!CD$46=$Q$116,25,0))</f>
        <v/>
      </c>
    </row>
    <row r="111">
      <c r="A111" t="inlineStr">
        <is>
          <t>P3 spec</t>
        </is>
      </c>
      <c r="B111">
        <f>IF('3-man'!$C$34="",100,'3-man'!$C$34)</f>
        <v/>
      </c>
      <c r="C111">
        <f>IF('3-man'!C$49="R",MIN(100,C110+10),IF('3-man'!C$49="P",MIN(100,C110+25),IF(AND('3-man'!C$49="D",C110&gt;=35,'3-man'!C$46&lt;=IF('3-man'!$BF$32="",999,'3-man'!$BF$32)),C110-35,IF(AND(LEFT('3-man'!C$49,3)="ST&gt;",C110&gt;=100,'3-man'!C$46&lt;=IF('3-man'!$BF$32="",999,'3-man'!$BF$32)),0,IF(AND(OR(AND('3-man'!C$47="ST&gt;3",C94&gt;=100),AND('3-man'!C$48="ST&gt;3",C102&gt;=100)),'3-man'!C$46&lt;=IF('3-man'!$BF$32="",999,'3-man'!$BF$32)),100,C110)))))</f>
        <v/>
      </c>
      <c r="D111">
        <f>IF('3-man'!D$49="R",MIN(100,D110+10),IF('3-man'!D$49="P",MIN(100,D110+25),IF(AND('3-man'!D$49="D",D110&gt;=35,'3-man'!D$46&lt;=IF('3-man'!$BF$32="",999,'3-man'!$BF$32)),D110-35,IF(AND(LEFT('3-man'!D$49,3)="ST&gt;",D110&gt;=100,'3-man'!D$46&lt;=IF('3-man'!$BF$32="",999,'3-man'!$BF$32)),0,IF(AND(OR(AND('3-man'!D$47="ST&gt;3",D94&gt;=100),AND('3-man'!D$48="ST&gt;3",D102&gt;=100)),'3-man'!D$46&lt;=IF('3-man'!$BF$32="",999,'3-man'!$BF$32)),100,D110)))))</f>
        <v/>
      </c>
      <c r="E111">
        <f>IF('3-man'!E$49="R",MIN(100,E110+10),IF('3-man'!E$49="P",MIN(100,E110+25),IF(AND('3-man'!E$49="D",E110&gt;=35,'3-man'!E$46&lt;=IF('3-man'!$BF$32="",999,'3-man'!$BF$32)),E110-35,IF(AND(LEFT('3-man'!E$49,3)="ST&gt;",E110&gt;=100,'3-man'!E$46&lt;=IF('3-man'!$BF$32="",999,'3-man'!$BF$32)),0,IF(AND(OR(AND('3-man'!E$47="ST&gt;3",E94&gt;=100),AND('3-man'!E$48="ST&gt;3",E102&gt;=100)),'3-man'!E$46&lt;=IF('3-man'!$BF$32="",999,'3-man'!$BF$32)),100,E110)))))</f>
        <v/>
      </c>
      <c r="F111">
        <f>IF('3-man'!F$49="R",MIN(100,F110+10),IF('3-man'!F$49="P",MIN(100,F110+25),IF(AND('3-man'!F$49="D",F110&gt;=35,'3-man'!F$46&lt;=IF('3-man'!$BF$32="",999,'3-man'!$BF$32)),F110-35,IF(AND(LEFT('3-man'!F$49,3)="ST&gt;",F110&gt;=100,'3-man'!F$46&lt;=IF('3-man'!$BF$32="",999,'3-man'!$BF$32)),0,IF(AND(OR(AND('3-man'!F$47="ST&gt;3",F94&gt;=100),AND('3-man'!F$48="ST&gt;3",F102&gt;=100)),'3-man'!F$46&lt;=IF('3-man'!$BF$32="",999,'3-man'!$BF$32)),100,F110)))))</f>
        <v/>
      </c>
      <c r="G111">
        <f>IF('3-man'!G$49="R",MIN(100,G110+10),IF('3-man'!G$49="P",MIN(100,G110+25),IF(AND('3-man'!G$49="D",G110&gt;=35,'3-man'!G$46&lt;=IF('3-man'!$BF$32="",999,'3-man'!$BF$32)),G110-35,IF(AND(LEFT('3-man'!G$49,3)="ST&gt;",G110&gt;=100,'3-man'!G$46&lt;=IF('3-man'!$BF$32="",999,'3-man'!$BF$32)),0,IF(AND(OR(AND('3-man'!G$47="ST&gt;3",G94&gt;=100),AND('3-man'!G$48="ST&gt;3",G102&gt;=100)),'3-man'!G$46&lt;=IF('3-man'!$BF$32="",999,'3-man'!$BF$32)),100,G110)))))</f>
        <v/>
      </c>
      <c r="H111">
        <f>IF('3-man'!H$49="R",MIN(100,H110+10),IF('3-man'!H$49="P",MIN(100,H110+25),IF(AND('3-man'!H$49="D",H110&gt;=35,'3-man'!H$46&lt;=IF('3-man'!$BF$32="",999,'3-man'!$BF$32)),H110-35,IF(AND(LEFT('3-man'!H$49,3)="ST&gt;",H110&gt;=100,'3-man'!H$46&lt;=IF('3-man'!$BF$32="",999,'3-man'!$BF$32)),0,IF(AND(OR(AND('3-man'!H$47="ST&gt;3",H94&gt;=100),AND('3-man'!H$48="ST&gt;3",H102&gt;=100)),'3-man'!H$46&lt;=IF('3-man'!$BF$32="",999,'3-man'!$BF$32)),100,H110)))))</f>
        <v/>
      </c>
      <c r="I111">
        <f>IF('3-man'!I$49="R",MIN(100,I110+10),IF('3-man'!I$49="P",MIN(100,I110+25),IF(AND('3-man'!I$49="D",I110&gt;=35,'3-man'!I$46&lt;=IF('3-man'!$BF$32="",999,'3-man'!$BF$32)),I110-35,IF(AND(LEFT('3-man'!I$49,3)="ST&gt;",I110&gt;=100,'3-man'!I$46&lt;=IF('3-man'!$BF$32="",999,'3-man'!$BF$32)),0,IF(AND(OR(AND('3-man'!I$47="ST&gt;3",I94&gt;=100),AND('3-man'!I$48="ST&gt;3",I102&gt;=100)),'3-man'!I$46&lt;=IF('3-man'!$BF$32="",999,'3-man'!$BF$32)),100,I110)))))</f>
        <v/>
      </c>
      <c r="J111">
        <f>IF('3-man'!J$49="R",MIN(100,J110+10),IF('3-man'!J$49="P",MIN(100,J110+25),IF(AND('3-man'!J$49="D",J110&gt;=35,'3-man'!J$46&lt;=IF('3-man'!$BF$32="",999,'3-man'!$BF$32)),J110-35,IF(AND(LEFT('3-man'!J$49,3)="ST&gt;",J110&gt;=100,'3-man'!J$46&lt;=IF('3-man'!$BF$32="",999,'3-man'!$BF$32)),0,IF(AND(OR(AND('3-man'!J$47="ST&gt;3",J94&gt;=100),AND('3-man'!J$48="ST&gt;3",J102&gt;=100)),'3-man'!J$46&lt;=IF('3-man'!$BF$32="",999,'3-man'!$BF$32)),100,J110)))))</f>
        <v/>
      </c>
      <c r="K111">
        <f>IF('3-man'!K$49="R",MIN(100,K110+10),IF('3-man'!K$49="P",MIN(100,K110+25),IF(AND('3-man'!K$49="D",K110&gt;=35,'3-man'!K$46&lt;=IF('3-man'!$BF$32="",999,'3-man'!$BF$32)),K110-35,IF(AND(LEFT('3-man'!K$49,3)="ST&gt;",K110&gt;=100,'3-man'!K$46&lt;=IF('3-man'!$BF$32="",999,'3-man'!$BF$32)),0,IF(AND(OR(AND('3-man'!K$47="ST&gt;3",K94&gt;=100),AND('3-man'!K$48="ST&gt;3",K102&gt;=100)),'3-man'!K$46&lt;=IF('3-man'!$BF$32="",999,'3-man'!$BF$32)),100,K110)))))</f>
        <v/>
      </c>
      <c r="L111">
        <f>IF('3-man'!L$49="R",MIN(100,L110+10),IF('3-man'!L$49="P",MIN(100,L110+25),IF(AND('3-man'!L$49="D",L110&gt;=35,'3-man'!L$46&lt;=IF('3-man'!$BF$32="",999,'3-man'!$BF$32)),L110-35,IF(AND(LEFT('3-man'!L$49,3)="ST&gt;",L110&gt;=100,'3-man'!L$46&lt;=IF('3-man'!$BF$32="",999,'3-man'!$BF$32)),0,IF(AND(OR(AND('3-man'!L$47="ST&gt;3",L94&gt;=100),AND('3-man'!L$48="ST&gt;3",L102&gt;=100)),'3-man'!L$46&lt;=IF('3-man'!$BF$32="",999,'3-man'!$BF$32)),100,L110)))))</f>
        <v/>
      </c>
      <c r="M111">
        <f>IF('3-man'!M$49="R",MIN(100,M110+10),IF('3-man'!M$49="P",MIN(100,M110+25),IF(AND('3-man'!M$49="D",M110&gt;=35,'3-man'!M$46&lt;=IF('3-man'!$BF$32="",999,'3-man'!$BF$32)),M110-35,IF(AND(LEFT('3-man'!M$49,3)="ST&gt;",M110&gt;=100,'3-man'!M$46&lt;=IF('3-man'!$BF$32="",999,'3-man'!$BF$32)),0,IF(AND(OR(AND('3-man'!M$47="ST&gt;3",M94&gt;=100),AND('3-man'!M$48="ST&gt;3",M102&gt;=100)),'3-man'!M$46&lt;=IF('3-man'!$BF$32="",999,'3-man'!$BF$32)),100,M110)))))</f>
        <v/>
      </c>
      <c r="N111">
        <f>IF('3-man'!N$49="R",MIN(100,N110+10),IF('3-man'!N$49="P",MIN(100,N110+25),IF(AND('3-man'!N$49="D",N110&gt;=35,'3-man'!N$46&lt;=IF('3-man'!$BF$32="",999,'3-man'!$BF$32)),N110-35,IF(AND(LEFT('3-man'!N$49,3)="ST&gt;",N110&gt;=100,'3-man'!N$46&lt;=IF('3-man'!$BF$32="",999,'3-man'!$BF$32)),0,IF(AND(OR(AND('3-man'!N$47="ST&gt;3",N94&gt;=100),AND('3-man'!N$48="ST&gt;3",N102&gt;=100)),'3-man'!N$46&lt;=IF('3-man'!$BF$32="",999,'3-man'!$BF$32)),100,N110)))))</f>
        <v/>
      </c>
      <c r="O111">
        <f>IF('3-man'!O$49="R",MIN(100,O110+10),IF('3-man'!O$49="P",MIN(100,O110+25),IF(AND('3-man'!O$49="D",O110&gt;=35,'3-man'!O$46&lt;=IF('3-man'!$BF$32="",999,'3-man'!$BF$32)),O110-35,IF(AND(LEFT('3-man'!O$49,3)="ST&gt;",O110&gt;=100,'3-man'!O$46&lt;=IF('3-man'!$BF$32="",999,'3-man'!$BF$32)),0,IF(AND(OR(AND('3-man'!O$47="ST&gt;3",O94&gt;=100),AND('3-man'!O$48="ST&gt;3",O102&gt;=100)),'3-man'!O$46&lt;=IF('3-man'!$BF$32="",999,'3-man'!$BF$32)),100,O110)))))</f>
        <v/>
      </c>
      <c r="P111">
        <f>IF('3-man'!P$49="R",MIN(100,P110+10),IF('3-man'!P$49="P",MIN(100,P110+25),IF(AND('3-man'!P$49="D",P110&gt;=35,'3-man'!P$46&lt;=IF('3-man'!$BF$32="",999,'3-man'!$BF$32)),P110-35,IF(AND(LEFT('3-man'!P$49,3)="ST&gt;",P110&gt;=100,'3-man'!P$46&lt;=IF('3-man'!$BF$32="",999,'3-man'!$BF$32)),0,IF(AND(OR(AND('3-man'!P$47="ST&gt;3",P94&gt;=100),AND('3-man'!P$48="ST&gt;3",P102&gt;=100)),'3-man'!P$46&lt;=IF('3-man'!$BF$32="",999,'3-man'!$BF$32)),100,P110)))))</f>
        <v/>
      </c>
      <c r="Q111">
        <f>IF('3-man'!Q$49="R",MIN(100,Q110+10),IF('3-man'!Q$49="P",MIN(100,Q110+25),IF(AND('3-man'!Q$49="D",Q110&gt;=35,'3-man'!Q$46&lt;=IF('3-man'!$BF$32="",999,'3-man'!$BF$32)),Q110-35,IF(AND(LEFT('3-man'!Q$49,3)="ST&gt;",Q110&gt;=100,'3-man'!Q$46&lt;=IF('3-man'!$BF$32="",999,'3-man'!$BF$32)),0,IF(AND(OR(AND('3-man'!Q$47="ST&gt;3",Q94&gt;=100),AND('3-man'!Q$48="ST&gt;3",Q102&gt;=100)),'3-man'!Q$46&lt;=IF('3-man'!$BF$32="",999,'3-man'!$BF$32)),100,Q110)))))</f>
        <v/>
      </c>
      <c r="R111">
        <f>IF('3-man'!R$49="R",MIN(100,R110+10),IF('3-man'!R$49="P",MIN(100,R110+25),IF(AND('3-man'!R$49="D",R110&gt;=35,'3-man'!R$46&lt;=IF('3-man'!$BF$32="",999,'3-man'!$BF$32)),R110-35,IF(AND(LEFT('3-man'!R$49,3)="ST&gt;",R110&gt;=100,'3-man'!R$46&lt;=IF('3-man'!$BF$32="",999,'3-man'!$BF$32)),0,IF(AND(OR(AND('3-man'!R$47="ST&gt;3",R94&gt;=100),AND('3-man'!R$48="ST&gt;3",R102&gt;=100)),'3-man'!R$46&lt;=IF('3-man'!$BF$32="",999,'3-man'!$BF$32)),100,R110)))))</f>
        <v/>
      </c>
      <c r="S111">
        <f>IF('3-man'!S$49="R",MIN(100,S110+10),IF('3-man'!S$49="P",MIN(100,S110+25),IF(AND('3-man'!S$49="D",S110&gt;=35,'3-man'!S$46&lt;=IF('3-man'!$BF$32="",999,'3-man'!$BF$32)),S110-35,IF(AND(LEFT('3-man'!S$49,3)="ST&gt;",S110&gt;=100,'3-man'!S$46&lt;=IF('3-man'!$BF$32="",999,'3-man'!$BF$32)),0,IF(AND(OR(AND('3-man'!S$47="ST&gt;3",S94&gt;=100),AND('3-man'!S$48="ST&gt;3",S102&gt;=100)),'3-man'!S$46&lt;=IF('3-man'!$BF$32="",999,'3-man'!$BF$32)),100,S110)))))</f>
        <v/>
      </c>
      <c r="T111">
        <f>IF('3-man'!T$49="R",MIN(100,T110+10),IF('3-man'!T$49="P",MIN(100,T110+25),IF(AND('3-man'!T$49="D",T110&gt;=35,'3-man'!T$46&lt;=IF('3-man'!$BF$32="",999,'3-man'!$BF$32)),T110-35,IF(AND(LEFT('3-man'!T$49,3)="ST&gt;",T110&gt;=100,'3-man'!T$46&lt;=IF('3-man'!$BF$32="",999,'3-man'!$BF$32)),0,IF(AND(OR(AND('3-man'!T$47="ST&gt;3",T94&gt;=100),AND('3-man'!T$48="ST&gt;3",T102&gt;=100)),'3-man'!T$46&lt;=IF('3-man'!$BF$32="",999,'3-man'!$BF$32)),100,T110)))))</f>
        <v/>
      </c>
      <c r="U111">
        <f>IF('3-man'!U$49="R",MIN(100,U110+10),IF('3-man'!U$49="P",MIN(100,U110+25),IF(AND('3-man'!U$49="D",U110&gt;=35,'3-man'!U$46&lt;=IF('3-man'!$BF$32="",999,'3-man'!$BF$32)),U110-35,IF(AND(LEFT('3-man'!U$49,3)="ST&gt;",U110&gt;=100,'3-man'!U$46&lt;=IF('3-man'!$BF$32="",999,'3-man'!$BF$32)),0,IF(AND(OR(AND('3-man'!U$47="ST&gt;3",U94&gt;=100),AND('3-man'!U$48="ST&gt;3",U102&gt;=100)),'3-man'!U$46&lt;=IF('3-man'!$BF$32="",999,'3-man'!$BF$32)),100,U110)))))</f>
        <v/>
      </c>
      <c r="V111">
        <f>IF('3-man'!V$49="R",MIN(100,V110+10),IF('3-man'!V$49="P",MIN(100,V110+25),IF(AND('3-man'!V$49="D",V110&gt;=35,'3-man'!V$46&lt;=IF('3-man'!$BF$32="",999,'3-man'!$BF$32)),V110-35,IF(AND(LEFT('3-man'!V$49,3)="ST&gt;",V110&gt;=100,'3-man'!V$46&lt;=IF('3-man'!$BF$32="",999,'3-man'!$BF$32)),0,IF(AND(OR(AND('3-man'!V$47="ST&gt;3",V94&gt;=100),AND('3-man'!V$48="ST&gt;3",V102&gt;=100)),'3-man'!V$46&lt;=IF('3-man'!$BF$32="",999,'3-man'!$BF$32)),100,V110)))))</f>
        <v/>
      </c>
      <c r="W111">
        <f>IF('3-man'!W$49="R",MIN(100,W110+10),IF('3-man'!W$49="P",MIN(100,W110+25),IF(AND('3-man'!W$49="D",W110&gt;=35,'3-man'!W$46&lt;=IF('3-man'!$BF$32="",999,'3-man'!$BF$32)),W110-35,IF(AND(LEFT('3-man'!W$49,3)="ST&gt;",W110&gt;=100,'3-man'!W$46&lt;=IF('3-man'!$BF$32="",999,'3-man'!$BF$32)),0,IF(AND(OR(AND('3-man'!W$47="ST&gt;3",W94&gt;=100),AND('3-man'!W$48="ST&gt;3",W102&gt;=100)),'3-man'!W$46&lt;=IF('3-man'!$BF$32="",999,'3-man'!$BF$32)),100,W110)))))</f>
        <v/>
      </c>
      <c r="X111">
        <f>IF('3-man'!X$49="R",MIN(100,X110+10),IF('3-man'!X$49="P",MIN(100,X110+25),IF(AND('3-man'!X$49="D",X110&gt;=35,'3-man'!X$46&lt;=IF('3-man'!$BF$32="",999,'3-man'!$BF$32)),X110-35,IF(AND(LEFT('3-man'!X$49,3)="ST&gt;",X110&gt;=100,'3-man'!X$46&lt;=IF('3-man'!$BF$32="",999,'3-man'!$BF$32)),0,IF(AND(OR(AND('3-man'!X$47="ST&gt;3",X94&gt;=100),AND('3-man'!X$48="ST&gt;3",X102&gt;=100)),'3-man'!X$46&lt;=IF('3-man'!$BF$32="",999,'3-man'!$BF$32)),100,X110)))))</f>
        <v/>
      </c>
      <c r="Y111">
        <f>IF('3-man'!Y$49="R",MIN(100,Y110+10),IF('3-man'!Y$49="P",MIN(100,Y110+25),IF(AND('3-man'!Y$49="D",Y110&gt;=35,'3-man'!Y$46&lt;=IF('3-man'!$BF$32="",999,'3-man'!$BF$32)),Y110-35,IF(AND(LEFT('3-man'!Y$49,3)="ST&gt;",Y110&gt;=100,'3-man'!Y$46&lt;=IF('3-man'!$BF$32="",999,'3-man'!$BF$32)),0,IF(AND(OR(AND('3-man'!Y$47="ST&gt;3",Y94&gt;=100),AND('3-man'!Y$48="ST&gt;3",Y102&gt;=100)),'3-man'!Y$46&lt;=IF('3-man'!$BF$32="",999,'3-man'!$BF$32)),100,Y110)))))</f>
        <v/>
      </c>
      <c r="Z111">
        <f>IF('3-man'!Z$49="R",MIN(100,Z110+10),IF('3-man'!Z$49="P",MIN(100,Z110+25),IF(AND('3-man'!Z$49="D",Z110&gt;=35,'3-man'!Z$46&lt;=IF('3-man'!$BF$32="",999,'3-man'!$BF$32)),Z110-35,IF(AND(LEFT('3-man'!Z$49,3)="ST&gt;",Z110&gt;=100,'3-man'!Z$46&lt;=IF('3-man'!$BF$32="",999,'3-man'!$BF$32)),0,IF(AND(OR(AND('3-man'!Z$47="ST&gt;3",Z94&gt;=100),AND('3-man'!Z$48="ST&gt;3",Z102&gt;=100)),'3-man'!Z$46&lt;=IF('3-man'!$BF$32="",999,'3-man'!$BF$32)),100,Z110)))))</f>
        <v/>
      </c>
      <c r="AA111">
        <f>IF('3-man'!AA$49="R",MIN(100,AA110+10),IF('3-man'!AA$49="P",MIN(100,AA110+25),IF(AND('3-man'!AA$49="D",AA110&gt;=35,'3-man'!AA$46&lt;=IF('3-man'!$BF$32="",999,'3-man'!$BF$32)),AA110-35,IF(AND(LEFT('3-man'!AA$49,3)="ST&gt;",AA110&gt;=100,'3-man'!AA$46&lt;=IF('3-man'!$BF$32="",999,'3-man'!$BF$32)),0,IF(AND(OR(AND('3-man'!AA$47="ST&gt;3",AA94&gt;=100),AND('3-man'!AA$48="ST&gt;3",AA102&gt;=100)),'3-man'!AA$46&lt;=IF('3-man'!$BF$32="",999,'3-man'!$BF$32)),100,AA110)))))</f>
        <v/>
      </c>
      <c r="AB111">
        <f>IF('3-man'!AB$49="R",MIN(100,AB110+10),IF('3-man'!AB$49="P",MIN(100,AB110+25),IF(AND('3-man'!AB$49="D",AB110&gt;=35,'3-man'!AB$46&lt;=IF('3-man'!$BF$32="",999,'3-man'!$BF$32)),AB110-35,IF(AND(LEFT('3-man'!AB$49,3)="ST&gt;",AB110&gt;=100,'3-man'!AB$46&lt;=IF('3-man'!$BF$32="",999,'3-man'!$BF$32)),0,IF(AND(OR(AND('3-man'!AB$47="ST&gt;3",AB94&gt;=100),AND('3-man'!AB$48="ST&gt;3",AB102&gt;=100)),'3-man'!AB$46&lt;=IF('3-man'!$BF$32="",999,'3-man'!$BF$32)),100,AB110)))))</f>
        <v/>
      </c>
      <c r="AC111">
        <f>IF('3-man'!AC$49="R",MIN(100,AC110+10),IF('3-man'!AC$49="P",MIN(100,AC110+25),IF(AND('3-man'!AC$49="D",AC110&gt;=35,'3-man'!AC$46&lt;=IF('3-man'!$BF$32="",999,'3-man'!$BF$32)),AC110-35,IF(AND(LEFT('3-man'!AC$49,3)="ST&gt;",AC110&gt;=100,'3-man'!AC$46&lt;=IF('3-man'!$BF$32="",999,'3-man'!$BF$32)),0,IF(AND(OR(AND('3-man'!AC$47="ST&gt;3",AC94&gt;=100),AND('3-man'!AC$48="ST&gt;3",AC102&gt;=100)),'3-man'!AC$46&lt;=IF('3-man'!$BF$32="",999,'3-man'!$BF$32)),100,AC110)))))</f>
        <v/>
      </c>
      <c r="AD111">
        <f>IF('3-man'!AD$49="R",MIN(100,AD110+10),IF('3-man'!AD$49="P",MIN(100,AD110+25),IF(AND('3-man'!AD$49="D",AD110&gt;=35,'3-man'!AD$46&lt;=IF('3-man'!$BF$32="",999,'3-man'!$BF$32)),AD110-35,IF(AND(LEFT('3-man'!AD$49,3)="ST&gt;",AD110&gt;=100,'3-man'!AD$46&lt;=IF('3-man'!$BF$32="",999,'3-man'!$BF$32)),0,IF(AND(OR(AND('3-man'!AD$47="ST&gt;3",AD94&gt;=100),AND('3-man'!AD$48="ST&gt;3",AD102&gt;=100)),'3-man'!AD$46&lt;=IF('3-man'!$BF$32="",999,'3-man'!$BF$32)),100,AD110)))))</f>
        <v/>
      </c>
      <c r="AE111">
        <f>IF('3-man'!AE$49="R",MIN(100,AE110+10),IF('3-man'!AE$49="P",MIN(100,AE110+25),IF(AND('3-man'!AE$49="D",AE110&gt;=35,'3-man'!AE$46&lt;=IF('3-man'!$BF$32="",999,'3-man'!$BF$32)),AE110-35,IF(AND(LEFT('3-man'!AE$49,3)="ST&gt;",AE110&gt;=100,'3-man'!AE$46&lt;=IF('3-man'!$BF$32="",999,'3-man'!$BF$32)),0,IF(AND(OR(AND('3-man'!AE$47="ST&gt;3",AE94&gt;=100),AND('3-man'!AE$48="ST&gt;3",AE102&gt;=100)),'3-man'!AE$46&lt;=IF('3-man'!$BF$32="",999,'3-man'!$BF$32)),100,AE110)))))</f>
        <v/>
      </c>
      <c r="AF111">
        <f>IF('3-man'!AF$49="R",MIN(100,AF110+10),IF('3-man'!AF$49="P",MIN(100,AF110+25),IF(AND('3-man'!AF$49="D",AF110&gt;=35,'3-man'!AF$46&lt;=IF('3-man'!$BF$32="",999,'3-man'!$BF$32)),AF110-35,IF(AND(LEFT('3-man'!AF$49,3)="ST&gt;",AF110&gt;=100,'3-man'!AF$46&lt;=IF('3-man'!$BF$32="",999,'3-man'!$BF$32)),0,IF(AND(OR(AND('3-man'!AF$47="ST&gt;3",AF94&gt;=100),AND('3-man'!AF$48="ST&gt;3",AF102&gt;=100)),'3-man'!AF$46&lt;=IF('3-man'!$BF$32="",999,'3-man'!$BF$32)),100,AF110)))))</f>
        <v/>
      </c>
      <c r="AG111">
        <f>IF('3-man'!AG$49="R",MIN(100,AG110+10),IF('3-man'!AG$49="P",MIN(100,AG110+25),IF(AND('3-man'!AG$49="D",AG110&gt;=35,'3-man'!AG$46&lt;=IF('3-man'!$BF$32="",999,'3-man'!$BF$32)),AG110-35,IF(AND(LEFT('3-man'!AG$49,3)="ST&gt;",AG110&gt;=100,'3-man'!AG$46&lt;=IF('3-man'!$BF$32="",999,'3-man'!$BF$32)),0,IF(AND(OR(AND('3-man'!AG$47="ST&gt;3",AG94&gt;=100),AND('3-man'!AG$48="ST&gt;3",AG102&gt;=100)),'3-man'!AG$46&lt;=IF('3-man'!$BF$32="",999,'3-man'!$BF$32)),100,AG110)))))</f>
        <v/>
      </c>
      <c r="AH111">
        <f>IF('3-man'!AH$49="R",MIN(100,AH110+10),IF('3-man'!AH$49="P",MIN(100,AH110+25),IF(AND('3-man'!AH$49="D",AH110&gt;=35,'3-man'!AH$46&lt;=IF('3-man'!$BF$32="",999,'3-man'!$BF$32)),AH110-35,IF(AND(LEFT('3-man'!AH$49,3)="ST&gt;",AH110&gt;=100,'3-man'!AH$46&lt;=IF('3-man'!$BF$32="",999,'3-man'!$BF$32)),0,IF(AND(OR(AND('3-man'!AH$47="ST&gt;3",AH94&gt;=100),AND('3-man'!AH$48="ST&gt;3",AH102&gt;=100)),'3-man'!AH$46&lt;=IF('3-man'!$BF$32="",999,'3-man'!$BF$32)),100,AH110)))))</f>
        <v/>
      </c>
      <c r="AI111">
        <f>IF('3-man'!AI$49="R",MIN(100,AI110+10),IF('3-man'!AI$49="P",MIN(100,AI110+25),IF(AND('3-man'!AI$49="D",AI110&gt;=35,'3-man'!AI$46&lt;=IF('3-man'!$BF$32="",999,'3-man'!$BF$32)),AI110-35,IF(AND(LEFT('3-man'!AI$49,3)="ST&gt;",AI110&gt;=100,'3-man'!AI$46&lt;=IF('3-man'!$BF$32="",999,'3-man'!$BF$32)),0,IF(AND(OR(AND('3-man'!AI$47="ST&gt;3",AI94&gt;=100),AND('3-man'!AI$48="ST&gt;3",AI102&gt;=100)),'3-man'!AI$46&lt;=IF('3-man'!$BF$32="",999,'3-man'!$BF$32)),100,AI110)))))</f>
        <v/>
      </c>
      <c r="AJ111">
        <f>IF('3-man'!AJ$49="R",MIN(100,AJ110+10),IF('3-man'!AJ$49="P",MIN(100,AJ110+25),IF(AND('3-man'!AJ$49="D",AJ110&gt;=35,'3-man'!AJ$46&lt;=IF('3-man'!$BF$32="",999,'3-man'!$BF$32)),AJ110-35,IF(AND(LEFT('3-man'!AJ$49,3)="ST&gt;",AJ110&gt;=100,'3-man'!AJ$46&lt;=IF('3-man'!$BF$32="",999,'3-man'!$BF$32)),0,IF(AND(OR(AND('3-man'!AJ$47="ST&gt;3",AJ94&gt;=100),AND('3-man'!AJ$48="ST&gt;3",AJ102&gt;=100)),'3-man'!AJ$46&lt;=IF('3-man'!$BF$32="",999,'3-man'!$BF$32)),100,AJ110)))))</f>
        <v/>
      </c>
      <c r="AK111">
        <f>IF('3-man'!AK$49="R",MIN(100,AK110+10),IF('3-man'!AK$49="P",MIN(100,AK110+25),IF(AND('3-man'!AK$49="D",AK110&gt;=35,'3-man'!AK$46&lt;=IF('3-man'!$BF$32="",999,'3-man'!$BF$32)),AK110-35,IF(AND(LEFT('3-man'!AK$49,3)="ST&gt;",AK110&gt;=100,'3-man'!AK$46&lt;=IF('3-man'!$BF$32="",999,'3-man'!$BF$32)),0,IF(AND(OR(AND('3-man'!AK$47="ST&gt;3",AK94&gt;=100),AND('3-man'!AK$48="ST&gt;3",AK102&gt;=100)),'3-man'!AK$46&lt;=IF('3-man'!$BF$32="",999,'3-man'!$BF$32)),100,AK110)))))</f>
        <v/>
      </c>
      <c r="AL111">
        <f>IF('3-man'!AL$49="R",MIN(100,AL110+10),IF('3-man'!AL$49="P",MIN(100,AL110+25),IF(AND('3-man'!AL$49="D",AL110&gt;=35,'3-man'!AL$46&lt;=IF('3-man'!$BF$32="",999,'3-man'!$BF$32)),AL110-35,IF(AND(LEFT('3-man'!AL$49,3)="ST&gt;",AL110&gt;=100,'3-man'!AL$46&lt;=IF('3-man'!$BF$32="",999,'3-man'!$BF$32)),0,IF(AND(OR(AND('3-man'!AL$47="ST&gt;3",AL94&gt;=100),AND('3-man'!AL$48="ST&gt;3",AL102&gt;=100)),'3-man'!AL$46&lt;=IF('3-man'!$BF$32="",999,'3-man'!$BF$32)),100,AL110)))))</f>
        <v/>
      </c>
      <c r="AM111">
        <f>IF('3-man'!AM$49="R",MIN(100,AM110+10),IF('3-man'!AM$49="P",MIN(100,AM110+25),IF(AND('3-man'!AM$49="D",AM110&gt;=35,'3-man'!AM$46&lt;=IF('3-man'!$BF$32="",999,'3-man'!$BF$32)),AM110-35,IF(AND(LEFT('3-man'!AM$49,3)="ST&gt;",AM110&gt;=100,'3-man'!AM$46&lt;=IF('3-man'!$BF$32="",999,'3-man'!$BF$32)),0,IF(AND(OR(AND('3-man'!AM$47="ST&gt;3",AM94&gt;=100),AND('3-man'!AM$48="ST&gt;3",AM102&gt;=100)),'3-man'!AM$46&lt;=IF('3-man'!$BF$32="",999,'3-man'!$BF$32)),100,AM110)))))</f>
        <v/>
      </c>
      <c r="AN111">
        <f>IF('3-man'!AN$49="R",MIN(100,AN110+10),IF('3-man'!AN$49="P",MIN(100,AN110+25),IF(AND('3-man'!AN$49="D",AN110&gt;=35,'3-man'!AN$46&lt;=IF('3-man'!$BF$32="",999,'3-man'!$BF$32)),AN110-35,IF(AND(LEFT('3-man'!AN$49,3)="ST&gt;",AN110&gt;=100,'3-man'!AN$46&lt;=IF('3-man'!$BF$32="",999,'3-man'!$BF$32)),0,IF(AND(OR(AND('3-man'!AN$47="ST&gt;3",AN94&gt;=100),AND('3-man'!AN$48="ST&gt;3",AN102&gt;=100)),'3-man'!AN$46&lt;=IF('3-man'!$BF$32="",999,'3-man'!$BF$32)),100,AN110)))))</f>
        <v/>
      </c>
      <c r="AO111">
        <f>IF('3-man'!AO$49="R",MIN(100,AO110+10),IF('3-man'!AO$49="P",MIN(100,AO110+25),IF(AND('3-man'!AO$49="D",AO110&gt;=35,'3-man'!AO$46&lt;=IF('3-man'!$BF$32="",999,'3-man'!$BF$32)),AO110-35,IF(AND(LEFT('3-man'!AO$49,3)="ST&gt;",AO110&gt;=100,'3-man'!AO$46&lt;=IF('3-man'!$BF$32="",999,'3-man'!$BF$32)),0,IF(AND(OR(AND('3-man'!AO$47="ST&gt;3",AO94&gt;=100),AND('3-man'!AO$48="ST&gt;3",AO102&gt;=100)),'3-man'!AO$46&lt;=IF('3-man'!$BF$32="",999,'3-man'!$BF$32)),100,AO110)))))</f>
        <v/>
      </c>
      <c r="AP111">
        <f>IF('3-man'!AP$49="R",MIN(100,AP110+10),IF('3-man'!AP$49="P",MIN(100,AP110+25),IF(AND('3-man'!AP$49="D",AP110&gt;=35,'3-man'!AP$46&lt;=IF('3-man'!$BF$32="",999,'3-man'!$BF$32)),AP110-35,IF(AND(LEFT('3-man'!AP$49,3)="ST&gt;",AP110&gt;=100,'3-man'!AP$46&lt;=IF('3-man'!$BF$32="",999,'3-man'!$BF$32)),0,IF(AND(OR(AND('3-man'!AP$47="ST&gt;3",AP94&gt;=100),AND('3-man'!AP$48="ST&gt;3",AP102&gt;=100)),'3-man'!AP$46&lt;=IF('3-man'!$BF$32="",999,'3-man'!$BF$32)),100,AP110)))))</f>
        <v/>
      </c>
      <c r="AQ111">
        <f>IF('3-man'!AQ$49="R",MIN(100,AQ110+10),IF('3-man'!AQ$49="P",MIN(100,AQ110+25),IF(AND('3-man'!AQ$49="D",AQ110&gt;=35,'3-man'!AQ$46&lt;=IF('3-man'!$BF$32="",999,'3-man'!$BF$32)),AQ110-35,IF(AND(LEFT('3-man'!AQ$49,3)="ST&gt;",AQ110&gt;=100,'3-man'!AQ$46&lt;=IF('3-man'!$BF$32="",999,'3-man'!$BF$32)),0,IF(AND(OR(AND('3-man'!AQ$47="ST&gt;3",AQ94&gt;=100),AND('3-man'!AQ$48="ST&gt;3",AQ102&gt;=100)),'3-man'!AQ$46&lt;=IF('3-man'!$BF$32="",999,'3-man'!$BF$32)),100,AQ110)))))</f>
        <v/>
      </c>
      <c r="AR111">
        <f>IF('3-man'!AR$49="R",MIN(100,AR110+10),IF('3-man'!AR$49="P",MIN(100,AR110+25),IF(AND('3-man'!AR$49="D",AR110&gt;=35,'3-man'!AR$46&lt;=IF('3-man'!$BF$32="",999,'3-man'!$BF$32)),AR110-35,IF(AND(LEFT('3-man'!AR$49,3)="ST&gt;",AR110&gt;=100,'3-man'!AR$46&lt;=IF('3-man'!$BF$32="",999,'3-man'!$BF$32)),0,IF(AND(OR(AND('3-man'!AR$47="ST&gt;3",AR94&gt;=100),AND('3-man'!AR$48="ST&gt;3",AR102&gt;=100)),'3-man'!AR$46&lt;=IF('3-man'!$BF$32="",999,'3-man'!$BF$32)),100,AR110)))))</f>
        <v/>
      </c>
      <c r="AS111">
        <f>IF('3-man'!AS$49="R",MIN(100,AS110+10),IF('3-man'!AS$49="P",MIN(100,AS110+25),IF(AND('3-man'!AS$49="D",AS110&gt;=35,'3-man'!AS$46&lt;=IF('3-man'!$BF$32="",999,'3-man'!$BF$32)),AS110-35,IF(AND(LEFT('3-man'!AS$49,3)="ST&gt;",AS110&gt;=100,'3-man'!AS$46&lt;=IF('3-man'!$BF$32="",999,'3-man'!$BF$32)),0,IF(AND(OR(AND('3-man'!AS$47="ST&gt;3",AS94&gt;=100),AND('3-man'!AS$48="ST&gt;3",AS102&gt;=100)),'3-man'!AS$46&lt;=IF('3-man'!$BF$32="",999,'3-man'!$BF$32)),100,AS110)))))</f>
        <v/>
      </c>
      <c r="AT111">
        <f>IF('3-man'!AT$49="R",MIN(100,AT110+10),IF('3-man'!AT$49="P",MIN(100,AT110+25),IF(AND('3-man'!AT$49="D",AT110&gt;=35,'3-man'!AT$46&lt;=IF('3-man'!$BF$32="",999,'3-man'!$BF$32)),AT110-35,IF(AND(LEFT('3-man'!AT$49,3)="ST&gt;",AT110&gt;=100,'3-man'!AT$46&lt;=IF('3-man'!$BF$32="",999,'3-man'!$BF$32)),0,IF(AND(OR(AND('3-man'!AT$47="ST&gt;3",AT94&gt;=100),AND('3-man'!AT$48="ST&gt;3",AT102&gt;=100)),'3-man'!AT$46&lt;=IF('3-man'!$BF$32="",999,'3-man'!$BF$32)),100,AT110)))))</f>
        <v/>
      </c>
      <c r="AU111">
        <f>IF('3-man'!AU$49="R",MIN(100,AU110+10),IF('3-man'!AU$49="P",MIN(100,AU110+25),IF(AND('3-man'!AU$49="D",AU110&gt;=35,'3-man'!AU$46&lt;=IF('3-man'!$BF$32="",999,'3-man'!$BF$32)),AU110-35,IF(AND(LEFT('3-man'!AU$49,3)="ST&gt;",AU110&gt;=100,'3-man'!AU$46&lt;=IF('3-man'!$BF$32="",999,'3-man'!$BF$32)),0,IF(AND(OR(AND('3-man'!AU$47="ST&gt;3",AU94&gt;=100),AND('3-man'!AU$48="ST&gt;3",AU102&gt;=100)),'3-man'!AU$46&lt;=IF('3-man'!$BF$32="",999,'3-man'!$BF$32)),100,AU110)))))</f>
        <v/>
      </c>
      <c r="AV111">
        <f>IF('3-man'!AV$49="R",MIN(100,AV110+10),IF('3-man'!AV$49="P",MIN(100,AV110+25),IF(AND('3-man'!AV$49="D",AV110&gt;=35,'3-man'!AV$46&lt;=IF('3-man'!$BF$32="",999,'3-man'!$BF$32)),AV110-35,IF(AND(LEFT('3-man'!AV$49,3)="ST&gt;",AV110&gt;=100,'3-man'!AV$46&lt;=IF('3-man'!$BF$32="",999,'3-man'!$BF$32)),0,IF(AND(OR(AND('3-man'!AV$47="ST&gt;3",AV94&gt;=100),AND('3-man'!AV$48="ST&gt;3",AV102&gt;=100)),'3-man'!AV$46&lt;=IF('3-man'!$BF$32="",999,'3-man'!$BF$32)),100,AV110)))))</f>
        <v/>
      </c>
      <c r="AW111">
        <f>IF('3-man'!AW$49="R",MIN(100,AW110+10),IF('3-man'!AW$49="P",MIN(100,AW110+25),IF(AND('3-man'!AW$49="D",AW110&gt;=35,'3-man'!AW$46&lt;=IF('3-man'!$BF$32="",999,'3-man'!$BF$32)),AW110-35,IF(AND(LEFT('3-man'!AW$49,3)="ST&gt;",AW110&gt;=100,'3-man'!AW$46&lt;=IF('3-man'!$BF$32="",999,'3-man'!$BF$32)),0,IF(AND(OR(AND('3-man'!AW$47="ST&gt;3",AW94&gt;=100),AND('3-man'!AW$48="ST&gt;3",AW102&gt;=100)),'3-man'!AW$46&lt;=IF('3-man'!$BF$32="",999,'3-man'!$BF$32)),100,AW110)))))</f>
        <v/>
      </c>
      <c r="AX111">
        <f>IF('3-man'!AX$49="R",MIN(100,AX110+10),IF('3-man'!AX$49="P",MIN(100,AX110+25),IF(AND('3-man'!AX$49="D",AX110&gt;=35,'3-man'!AX$46&lt;=IF('3-man'!$BF$32="",999,'3-man'!$BF$32)),AX110-35,IF(AND(LEFT('3-man'!AX$49,3)="ST&gt;",AX110&gt;=100,'3-man'!AX$46&lt;=IF('3-man'!$BF$32="",999,'3-man'!$BF$32)),0,IF(AND(OR(AND('3-man'!AX$47="ST&gt;3",AX94&gt;=100),AND('3-man'!AX$48="ST&gt;3",AX102&gt;=100)),'3-man'!AX$46&lt;=IF('3-man'!$BF$32="",999,'3-man'!$BF$32)),100,AX110)))))</f>
        <v/>
      </c>
      <c r="AY111">
        <f>IF('3-man'!AY$49="R",MIN(100,AY110+10),IF('3-man'!AY$49="P",MIN(100,AY110+25),IF(AND('3-man'!AY$49="D",AY110&gt;=35,'3-man'!AY$46&lt;=IF('3-man'!$BF$32="",999,'3-man'!$BF$32)),AY110-35,IF(AND(LEFT('3-man'!AY$49,3)="ST&gt;",AY110&gt;=100,'3-man'!AY$46&lt;=IF('3-man'!$BF$32="",999,'3-man'!$BF$32)),0,IF(AND(OR(AND('3-man'!AY$47="ST&gt;3",AY94&gt;=100),AND('3-man'!AY$48="ST&gt;3",AY102&gt;=100)),'3-man'!AY$46&lt;=IF('3-man'!$BF$32="",999,'3-man'!$BF$32)),100,AY110)))))</f>
        <v/>
      </c>
      <c r="AZ111">
        <f>IF('3-man'!AZ$49="R",MIN(100,AZ110+10),IF('3-man'!AZ$49="P",MIN(100,AZ110+25),IF(AND('3-man'!AZ$49="D",AZ110&gt;=35,'3-man'!AZ$46&lt;=IF('3-man'!$BF$32="",999,'3-man'!$BF$32)),AZ110-35,IF(AND(LEFT('3-man'!AZ$49,3)="ST&gt;",AZ110&gt;=100,'3-man'!AZ$46&lt;=IF('3-man'!$BF$32="",999,'3-man'!$BF$32)),0,IF(AND(OR(AND('3-man'!AZ$47="ST&gt;3",AZ94&gt;=100),AND('3-man'!AZ$48="ST&gt;3",AZ102&gt;=100)),'3-man'!AZ$46&lt;=IF('3-man'!$BF$32="",999,'3-man'!$BF$32)),100,AZ110)))))</f>
        <v/>
      </c>
      <c r="BA111">
        <f>IF('3-man'!BA$49="R",MIN(100,BA110+10),IF('3-man'!BA$49="P",MIN(100,BA110+25),IF(AND('3-man'!BA$49="D",BA110&gt;=35,'3-man'!BA$46&lt;=IF('3-man'!$BF$32="",999,'3-man'!$BF$32)),BA110-35,IF(AND(LEFT('3-man'!BA$49,3)="ST&gt;",BA110&gt;=100,'3-man'!BA$46&lt;=IF('3-man'!$BF$32="",999,'3-man'!$BF$32)),0,IF(AND(OR(AND('3-man'!BA$47="ST&gt;3",BA94&gt;=100),AND('3-man'!BA$48="ST&gt;3",BA102&gt;=100)),'3-man'!BA$46&lt;=IF('3-man'!$BF$32="",999,'3-man'!$BF$32)),100,BA110)))))</f>
        <v/>
      </c>
      <c r="BB111">
        <f>IF('3-man'!BB$49="R",MIN(100,BB110+10),IF('3-man'!BB$49="P",MIN(100,BB110+25),IF(AND('3-man'!BB$49="D",BB110&gt;=35,'3-man'!BB$46&lt;=IF('3-man'!$BF$32="",999,'3-man'!$BF$32)),BB110-35,IF(AND(LEFT('3-man'!BB$49,3)="ST&gt;",BB110&gt;=100,'3-man'!BB$46&lt;=IF('3-man'!$BF$32="",999,'3-man'!$BF$32)),0,IF(AND(OR(AND('3-man'!BB$47="ST&gt;3",BB94&gt;=100),AND('3-man'!BB$48="ST&gt;3",BB102&gt;=100)),'3-man'!BB$46&lt;=IF('3-man'!$BF$32="",999,'3-man'!$BF$32)),100,BB110)))))</f>
        <v/>
      </c>
      <c r="BC111">
        <f>IF('3-man'!BC$49="R",MIN(100,BC110+10),IF('3-man'!BC$49="P",MIN(100,BC110+25),IF(AND('3-man'!BC$49="D",BC110&gt;=35,'3-man'!BC$46&lt;=IF('3-man'!$BF$32="",999,'3-man'!$BF$32)),BC110-35,IF(AND(LEFT('3-man'!BC$49,3)="ST&gt;",BC110&gt;=100,'3-man'!BC$46&lt;=IF('3-man'!$BF$32="",999,'3-man'!$BF$32)),0,IF(AND(OR(AND('3-man'!BC$47="ST&gt;3",BC94&gt;=100),AND('3-man'!BC$48="ST&gt;3",BC102&gt;=100)),'3-man'!BC$46&lt;=IF('3-man'!$BF$32="",999,'3-man'!$BF$32)),100,BC110)))))</f>
        <v/>
      </c>
      <c r="BD111">
        <f>IF('3-man'!BD$49="R",MIN(100,BD110+10),IF('3-man'!BD$49="P",MIN(100,BD110+25),IF(AND('3-man'!BD$49="D",BD110&gt;=35,'3-man'!BD$46&lt;=IF('3-man'!$BF$32="",999,'3-man'!$BF$32)),BD110-35,IF(AND(LEFT('3-man'!BD$49,3)="ST&gt;",BD110&gt;=100,'3-man'!BD$46&lt;=IF('3-man'!$BF$32="",999,'3-man'!$BF$32)),0,IF(AND(OR(AND('3-man'!BD$47="ST&gt;3",BD94&gt;=100),AND('3-man'!BD$48="ST&gt;3",BD102&gt;=100)),'3-man'!BD$46&lt;=IF('3-man'!$BF$32="",999,'3-man'!$BF$32)),100,BD110)))))</f>
        <v/>
      </c>
      <c r="BE111">
        <f>IF('3-man'!BE$49="R",MIN(100,BE110+10),IF('3-man'!BE$49="P",MIN(100,BE110+25),IF(AND('3-man'!BE$49="D",BE110&gt;=35,'3-man'!BE$46&lt;=IF('3-man'!$BF$32="",999,'3-man'!$BF$32)),BE110-35,IF(AND(LEFT('3-man'!BE$49,3)="ST&gt;",BE110&gt;=100,'3-man'!BE$46&lt;=IF('3-man'!$BF$32="",999,'3-man'!$BF$32)),0,IF(AND(OR(AND('3-man'!BE$47="ST&gt;3",BE94&gt;=100),AND('3-man'!BE$48="ST&gt;3",BE102&gt;=100)),'3-man'!BE$46&lt;=IF('3-man'!$BF$32="",999,'3-man'!$BF$32)),100,BE110)))))</f>
        <v/>
      </c>
      <c r="BF111">
        <f>IF('3-man'!BF$49="R",MIN(100,BF110+10),IF('3-man'!BF$49="P",MIN(100,BF110+25),IF(AND('3-man'!BF$49="D",BF110&gt;=35,'3-man'!BF$46&lt;=IF('3-man'!$BF$32="",999,'3-man'!$BF$32)),BF110-35,IF(AND(LEFT('3-man'!BF$49,3)="ST&gt;",BF110&gt;=100,'3-man'!BF$46&lt;=IF('3-man'!$BF$32="",999,'3-man'!$BF$32)),0,IF(AND(OR(AND('3-man'!BF$47="ST&gt;3",BF94&gt;=100),AND('3-man'!BF$48="ST&gt;3",BF102&gt;=100)),'3-man'!BF$46&lt;=IF('3-man'!$BF$32="",999,'3-man'!$BF$32)),100,BF110)))))</f>
        <v/>
      </c>
      <c r="BG111">
        <f>IF('3-man'!BG$49="R",MIN(100,BG110+10),IF('3-man'!BG$49="P",MIN(100,BG110+25),IF(AND('3-man'!BG$49="D",BG110&gt;=35,'3-man'!BG$46&lt;=IF('3-man'!$BF$32="",999,'3-man'!$BF$32)),BG110-35,IF(AND(LEFT('3-man'!BG$49,3)="ST&gt;",BG110&gt;=100,'3-man'!BG$46&lt;=IF('3-man'!$BF$32="",999,'3-man'!$BF$32)),0,IF(AND(OR(AND('3-man'!BG$47="ST&gt;3",BG94&gt;=100),AND('3-man'!BG$48="ST&gt;3",BG102&gt;=100)),'3-man'!BG$46&lt;=IF('3-man'!$BF$32="",999,'3-man'!$BF$32)),100,BG110)))))</f>
        <v/>
      </c>
      <c r="BH111">
        <f>IF('3-man'!BH$49="R",MIN(100,BH110+10),IF('3-man'!BH$49="P",MIN(100,BH110+25),IF(AND('3-man'!BH$49="D",BH110&gt;=35,'3-man'!BH$46&lt;=IF('3-man'!$BF$32="",999,'3-man'!$BF$32)),BH110-35,IF(AND(LEFT('3-man'!BH$49,3)="ST&gt;",BH110&gt;=100,'3-man'!BH$46&lt;=IF('3-man'!$BF$32="",999,'3-man'!$BF$32)),0,IF(AND(OR(AND('3-man'!BH$47="ST&gt;3",BH94&gt;=100),AND('3-man'!BH$48="ST&gt;3",BH102&gt;=100)),'3-man'!BH$46&lt;=IF('3-man'!$BF$32="",999,'3-man'!$BF$32)),100,BH110)))))</f>
        <v/>
      </c>
      <c r="BI111">
        <f>IF('3-man'!BI$49="R",MIN(100,BI110+10),IF('3-man'!BI$49="P",MIN(100,BI110+25),IF(AND('3-man'!BI$49="D",BI110&gt;=35,'3-man'!BI$46&lt;=IF('3-man'!$BF$32="",999,'3-man'!$BF$32)),BI110-35,IF(AND(LEFT('3-man'!BI$49,3)="ST&gt;",BI110&gt;=100,'3-man'!BI$46&lt;=IF('3-man'!$BF$32="",999,'3-man'!$BF$32)),0,IF(AND(OR(AND('3-man'!BI$47="ST&gt;3",BI94&gt;=100),AND('3-man'!BI$48="ST&gt;3",BI102&gt;=100)),'3-man'!BI$46&lt;=IF('3-man'!$BF$32="",999,'3-man'!$BF$32)),100,BI110)))))</f>
        <v/>
      </c>
      <c r="BJ111">
        <f>IF('3-man'!BJ$49="R",MIN(100,BJ110+10),IF('3-man'!BJ$49="P",MIN(100,BJ110+25),IF(AND('3-man'!BJ$49="D",BJ110&gt;=35,'3-man'!BJ$46&lt;=IF('3-man'!$BF$32="",999,'3-man'!$BF$32)),BJ110-35,IF(AND(LEFT('3-man'!BJ$49,3)="ST&gt;",BJ110&gt;=100,'3-man'!BJ$46&lt;=IF('3-man'!$BF$32="",999,'3-man'!$BF$32)),0,IF(AND(OR(AND('3-man'!BJ$47="ST&gt;3",BJ94&gt;=100),AND('3-man'!BJ$48="ST&gt;3",BJ102&gt;=100)),'3-man'!BJ$46&lt;=IF('3-man'!$BF$32="",999,'3-man'!$BF$32)),100,BJ110)))))</f>
        <v/>
      </c>
      <c r="BK111">
        <f>IF('3-man'!BK$49="R",MIN(100,BK110+10),IF('3-man'!BK$49="P",MIN(100,BK110+25),IF(AND('3-man'!BK$49="D",BK110&gt;=35,'3-man'!BK$46&lt;=IF('3-man'!$BF$32="",999,'3-man'!$BF$32)),BK110-35,IF(AND(LEFT('3-man'!BK$49,3)="ST&gt;",BK110&gt;=100,'3-man'!BK$46&lt;=IF('3-man'!$BF$32="",999,'3-man'!$BF$32)),0,IF(AND(OR(AND('3-man'!BK$47="ST&gt;3",BK94&gt;=100),AND('3-man'!BK$48="ST&gt;3",BK102&gt;=100)),'3-man'!BK$46&lt;=IF('3-man'!$BF$32="",999,'3-man'!$BF$32)),100,BK110)))))</f>
        <v/>
      </c>
      <c r="BL111">
        <f>IF('3-man'!BL$49="R",MIN(100,BL110+10),IF('3-man'!BL$49="P",MIN(100,BL110+25),IF(AND('3-man'!BL$49="D",BL110&gt;=35,'3-man'!BL$46&lt;=IF('3-man'!$BF$32="",999,'3-man'!$BF$32)),BL110-35,IF(AND(LEFT('3-man'!BL$49,3)="ST&gt;",BL110&gt;=100,'3-man'!BL$46&lt;=IF('3-man'!$BF$32="",999,'3-man'!$BF$32)),0,IF(AND(OR(AND('3-man'!BL$47="ST&gt;3",BL94&gt;=100),AND('3-man'!BL$48="ST&gt;3",BL102&gt;=100)),'3-man'!BL$46&lt;=IF('3-man'!$BF$32="",999,'3-man'!$BF$32)),100,BL110)))))</f>
        <v/>
      </c>
      <c r="BM111">
        <f>IF('3-man'!BM$49="R",MIN(100,BM110+10),IF('3-man'!BM$49="P",MIN(100,BM110+25),IF(AND('3-man'!BM$49="D",BM110&gt;=35,'3-man'!BM$46&lt;=IF('3-man'!$BF$32="",999,'3-man'!$BF$32)),BM110-35,IF(AND(LEFT('3-man'!BM$49,3)="ST&gt;",BM110&gt;=100,'3-man'!BM$46&lt;=IF('3-man'!$BF$32="",999,'3-man'!$BF$32)),0,IF(AND(OR(AND('3-man'!BM$47="ST&gt;3",BM94&gt;=100),AND('3-man'!BM$48="ST&gt;3",BM102&gt;=100)),'3-man'!BM$46&lt;=IF('3-man'!$BF$32="",999,'3-man'!$BF$32)),100,BM110)))))</f>
        <v/>
      </c>
      <c r="BN111">
        <f>IF('3-man'!BN$49="R",MIN(100,BN110+10),IF('3-man'!BN$49="P",MIN(100,BN110+25),IF(AND('3-man'!BN$49="D",BN110&gt;=35,'3-man'!BN$46&lt;=IF('3-man'!$BF$32="",999,'3-man'!$BF$32)),BN110-35,IF(AND(LEFT('3-man'!BN$49,3)="ST&gt;",BN110&gt;=100,'3-man'!BN$46&lt;=IF('3-man'!$BF$32="",999,'3-man'!$BF$32)),0,IF(AND(OR(AND('3-man'!BN$47="ST&gt;3",BN94&gt;=100),AND('3-man'!BN$48="ST&gt;3",BN102&gt;=100)),'3-man'!BN$46&lt;=IF('3-man'!$BF$32="",999,'3-man'!$BF$32)),100,BN110)))))</f>
        <v/>
      </c>
      <c r="BO111">
        <f>IF('3-man'!BO$49="R",MIN(100,BO110+10),IF('3-man'!BO$49="P",MIN(100,BO110+25),IF(AND('3-man'!BO$49="D",BO110&gt;=35,'3-man'!BO$46&lt;=IF('3-man'!$BF$32="",999,'3-man'!$BF$32)),BO110-35,IF(AND(LEFT('3-man'!BO$49,3)="ST&gt;",BO110&gt;=100,'3-man'!BO$46&lt;=IF('3-man'!$BF$32="",999,'3-man'!$BF$32)),0,IF(AND(OR(AND('3-man'!BO$47="ST&gt;3",BO94&gt;=100),AND('3-man'!BO$48="ST&gt;3",BO102&gt;=100)),'3-man'!BO$46&lt;=IF('3-man'!$BF$32="",999,'3-man'!$BF$32)),100,BO110)))))</f>
        <v/>
      </c>
      <c r="BP111">
        <f>IF('3-man'!BP$49="R",MIN(100,BP110+10),IF('3-man'!BP$49="P",MIN(100,BP110+25),IF(AND('3-man'!BP$49="D",BP110&gt;=35,'3-man'!BP$46&lt;=IF('3-man'!$BF$32="",999,'3-man'!$BF$32)),BP110-35,IF(AND(LEFT('3-man'!BP$49,3)="ST&gt;",BP110&gt;=100,'3-man'!BP$46&lt;=IF('3-man'!$BF$32="",999,'3-man'!$BF$32)),0,IF(AND(OR(AND('3-man'!BP$47="ST&gt;3",BP94&gt;=100),AND('3-man'!BP$48="ST&gt;3",BP102&gt;=100)),'3-man'!BP$46&lt;=IF('3-man'!$BF$32="",999,'3-man'!$BF$32)),100,BP110)))))</f>
        <v/>
      </c>
      <c r="BQ111">
        <f>IF('3-man'!BQ$49="R",MIN(100,BQ110+10),IF('3-man'!BQ$49="P",MIN(100,BQ110+25),IF(AND('3-man'!BQ$49="D",BQ110&gt;=35,'3-man'!BQ$46&lt;=IF('3-man'!$BF$32="",999,'3-man'!$BF$32)),BQ110-35,IF(AND(LEFT('3-man'!BQ$49,3)="ST&gt;",BQ110&gt;=100,'3-man'!BQ$46&lt;=IF('3-man'!$BF$32="",999,'3-man'!$BF$32)),0,IF(AND(OR(AND('3-man'!BQ$47="ST&gt;3",BQ94&gt;=100),AND('3-man'!BQ$48="ST&gt;3",BQ102&gt;=100)),'3-man'!BQ$46&lt;=IF('3-man'!$BF$32="",999,'3-man'!$BF$32)),100,BQ110)))))</f>
        <v/>
      </c>
      <c r="BR111">
        <f>IF('3-man'!BR$49="R",MIN(100,BR110+10),IF('3-man'!BR$49="P",MIN(100,BR110+25),IF(AND('3-man'!BR$49="D",BR110&gt;=35,'3-man'!BR$46&lt;=IF('3-man'!$BF$32="",999,'3-man'!$BF$32)),BR110-35,IF(AND(LEFT('3-man'!BR$49,3)="ST&gt;",BR110&gt;=100,'3-man'!BR$46&lt;=IF('3-man'!$BF$32="",999,'3-man'!$BF$32)),0,IF(AND(OR(AND('3-man'!BR$47="ST&gt;3",BR94&gt;=100),AND('3-man'!BR$48="ST&gt;3",BR102&gt;=100)),'3-man'!BR$46&lt;=IF('3-man'!$BF$32="",999,'3-man'!$BF$32)),100,BR110)))))</f>
        <v/>
      </c>
      <c r="BS111">
        <f>IF('3-man'!BS$49="R",MIN(100,BS110+10),IF('3-man'!BS$49="P",MIN(100,BS110+25),IF(AND('3-man'!BS$49="D",BS110&gt;=35,'3-man'!BS$46&lt;=IF('3-man'!$BF$32="",999,'3-man'!$BF$32)),BS110-35,IF(AND(LEFT('3-man'!BS$49,3)="ST&gt;",BS110&gt;=100,'3-man'!BS$46&lt;=IF('3-man'!$BF$32="",999,'3-man'!$BF$32)),0,IF(AND(OR(AND('3-man'!BS$47="ST&gt;3",BS94&gt;=100),AND('3-man'!BS$48="ST&gt;3",BS102&gt;=100)),'3-man'!BS$46&lt;=IF('3-man'!$BF$32="",999,'3-man'!$BF$32)),100,BS110)))))</f>
        <v/>
      </c>
      <c r="BT111">
        <f>IF('3-man'!BT$49="R",MIN(100,BT110+10),IF('3-man'!BT$49="P",MIN(100,BT110+25),IF(AND('3-man'!BT$49="D",BT110&gt;=35,'3-man'!BT$46&lt;=IF('3-man'!$BF$32="",999,'3-man'!$BF$32)),BT110-35,IF(AND(LEFT('3-man'!BT$49,3)="ST&gt;",BT110&gt;=100,'3-man'!BT$46&lt;=IF('3-man'!$BF$32="",999,'3-man'!$BF$32)),0,IF(AND(OR(AND('3-man'!BT$47="ST&gt;3",BT94&gt;=100),AND('3-man'!BT$48="ST&gt;3",BT102&gt;=100)),'3-man'!BT$46&lt;=IF('3-man'!$BF$32="",999,'3-man'!$BF$32)),100,BT110)))))</f>
        <v/>
      </c>
      <c r="BU111">
        <f>IF('3-man'!BU$49="R",MIN(100,BU110+10),IF('3-man'!BU$49="P",MIN(100,BU110+25),IF(AND('3-man'!BU$49="D",BU110&gt;=35,'3-man'!BU$46&lt;=IF('3-man'!$BF$32="",999,'3-man'!$BF$32)),BU110-35,IF(AND(LEFT('3-man'!BU$49,3)="ST&gt;",BU110&gt;=100,'3-man'!BU$46&lt;=IF('3-man'!$BF$32="",999,'3-man'!$BF$32)),0,IF(AND(OR(AND('3-man'!BU$47="ST&gt;3",BU94&gt;=100),AND('3-man'!BU$48="ST&gt;3",BU102&gt;=100)),'3-man'!BU$46&lt;=IF('3-man'!$BF$32="",999,'3-man'!$BF$32)),100,BU110)))))</f>
        <v/>
      </c>
      <c r="BV111">
        <f>IF('3-man'!BV$49="R",MIN(100,BV110+10),IF('3-man'!BV$49="P",MIN(100,BV110+25),IF(AND('3-man'!BV$49="D",BV110&gt;=35,'3-man'!BV$46&lt;=IF('3-man'!$BF$32="",999,'3-man'!$BF$32)),BV110-35,IF(AND(LEFT('3-man'!BV$49,3)="ST&gt;",BV110&gt;=100,'3-man'!BV$46&lt;=IF('3-man'!$BF$32="",999,'3-man'!$BF$32)),0,IF(AND(OR(AND('3-man'!BV$47="ST&gt;3",BV94&gt;=100),AND('3-man'!BV$48="ST&gt;3",BV102&gt;=100)),'3-man'!BV$46&lt;=IF('3-man'!$BF$32="",999,'3-man'!$BF$32)),100,BV110)))))</f>
        <v/>
      </c>
      <c r="BW111">
        <f>IF('3-man'!BW$49="R",MIN(100,BW110+10),IF('3-man'!BW$49="P",MIN(100,BW110+25),IF(AND('3-man'!BW$49="D",BW110&gt;=35,'3-man'!BW$46&lt;=IF('3-man'!$BF$32="",999,'3-man'!$BF$32)),BW110-35,IF(AND(LEFT('3-man'!BW$49,3)="ST&gt;",BW110&gt;=100,'3-man'!BW$46&lt;=IF('3-man'!$BF$32="",999,'3-man'!$BF$32)),0,IF(AND(OR(AND('3-man'!BW$47="ST&gt;3",BW94&gt;=100),AND('3-man'!BW$48="ST&gt;3",BW102&gt;=100)),'3-man'!BW$46&lt;=IF('3-man'!$BF$32="",999,'3-man'!$BF$32)),100,BW110)))))</f>
        <v/>
      </c>
      <c r="BX111">
        <f>IF('3-man'!BX$49="R",MIN(100,BX110+10),IF('3-man'!BX$49="P",MIN(100,BX110+25),IF(AND('3-man'!BX$49="D",BX110&gt;=35,'3-man'!BX$46&lt;=IF('3-man'!$BF$32="",999,'3-man'!$BF$32)),BX110-35,IF(AND(LEFT('3-man'!BX$49,3)="ST&gt;",BX110&gt;=100,'3-man'!BX$46&lt;=IF('3-man'!$BF$32="",999,'3-man'!$BF$32)),0,IF(AND(OR(AND('3-man'!BX$47="ST&gt;3",BX94&gt;=100),AND('3-man'!BX$48="ST&gt;3",BX102&gt;=100)),'3-man'!BX$46&lt;=IF('3-man'!$BF$32="",999,'3-man'!$BF$32)),100,BX110)))))</f>
        <v/>
      </c>
      <c r="BY111">
        <f>IF('3-man'!BY$49="R",MIN(100,BY110+10),IF('3-man'!BY$49="P",MIN(100,BY110+25),IF(AND('3-man'!BY$49="D",BY110&gt;=35,'3-man'!BY$46&lt;=IF('3-man'!$BF$32="",999,'3-man'!$BF$32)),BY110-35,IF(AND(LEFT('3-man'!BY$49,3)="ST&gt;",BY110&gt;=100,'3-man'!BY$46&lt;=IF('3-man'!$BF$32="",999,'3-man'!$BF$32)),0,IF(AND(OR(AND('3-man'!BY$47="ST&gt;3",BY94&gt;=100),AND('3-man'!BY$48="ST&gt;3",BY102&gt;=100)),'3-man'!BY$46&lt;=IF('3-man'!$BF$32="",999,'3-man'!$BF$32)),100,BY110)))))</f>
        <v/>
      </c>
      <c r="BZ111">
        <f>IF('3-man'!BZ$49="R",MIN(100,BZ110+10),IF('3-man'!BZ$49="P",MIN(100,BZ110+25),IF(AND('3-man'!BZ$49="D",BZ110&gt;=35,'3-man'!BZ$46&lt;=IF('3-man'!$BF$32="",999,'3-man'!$BF$32)),BZ110-35,IF(AND(LEFT('3-man'!BZ$49,3)="ST&gt;",BZ110&gt;=100,'3-man'!BZ$46&lt;=IF('3-man'!$BF$32="",999,'3-man'!$BF$32)),0,IF(AND(OR(AND('3-man'!BZ$47="ST&gt;3",BZ94&gt;=100),AND('3-man'!BZ$48="ST&gt;3",BZ102&gt;=100)),'3-man'!BZ$46&lt;=IF('3-man'!$BF$32="",999,'3-man'!$BF$32)),100,BZ110)))))</f>
        <v/>
      </c>
      <c r="CA111">
        <f>IF('3-man'!CA$49="R",MIN(100,CA110+10),IF('3-man'!CA$49="P",MIN(100,CA110+25),IF(AND('3-man'!CA$49="D",CA110&gt;=35,'3-man'!CA$46&lt;=IF('3-man'!$BF$32="",999,'3-man'!$BF$32)),CA110-35,IF(AND(LEFT('3-man'!CA$49,3)="ST&gt;",CA110&gt;=100,'3-man'!CA$46&lt;=IF('3-man'!$BF$32="",999,'3-man'!$BF$32)),0,IF(AND(OR(AND('3-man'!CA$47="ST&gt;3",CA94&gt;=100),AND('3-man'!CA$48="ST&gt;3",CA102&gt;=100)),'3-man'!CA$46&lt;=IF('3-man'!$BF$32="",999,'3-man'!$BF$32)),100,CA110)))))</f>
        <v/>
      </c>
      <c r="CB111">
        <f>IF('3-man'!CB$49="R",MIN(100,CB110+10),IF('3-man'!CB$49="P",MIN(100,CB110+25),IF(AND('3-man'!CB$49="D",CB110&gt;=35,'3-man'!CB$46&lt;=IF('3-man'!$BF$32="",999,'3-man'!$BF$32)),CB110-35,IF(AND(LEFT('3-man'!CB$49,3)="ST&gt;",CB110&gt;=100,'3-man'!CB$46&lt;=IF('3-man'!$BF$32="",999,'3-man'!$BF$32)),0,IF(AND(OR(AND('3-man'!CB$47="ST&gt;3",CB94&gt;=100),AND('3-man'!CB$48="ST&gt;3",CB102&gt;=100)),'3-man'!CB$46&lt;=IF('3-man'!$BF$32="",999,'3-man'!$BF$32)),100,CB110)))))</f>
        <v/>
      </c>
      <c r="CC111">
        <f>IF('3-man'!CC$49="R",MIN(100,CC110+10),IF('3-man'!CC$49="P",MIN(100,CC110+25),IF(AND('3-man'!CC$49="D",CC110&gt;=35,'3-man'!CC$46&lt;=IF('3-man'!$BF$32="",999,'3-man'!$BF$32)),CC110-35,IF(AND(LEFT('3-man'!CC$49,3)="ST&gt;",CC110&gt;=100,'3-man'!CC$46&lt;=IF('3-man'!$BF$32="",999,'3-man'!$BF$32)),0,IF(AND(OR(AND('3-man'!CC$47="ST&gt;3",CC94&gt;=100),AND('3-man'!CC$48="ST&gt;3",CC102&gt;=100)),'3-man'!CC$46&lt;=IF('3-man'!$BF$32="",999,'3-man'!$BF$32)),100,CC110)))))</f>
        <v/>
      </c>
      <c r="CD111">
        <f>IF('3-man'!CD$49="R",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IF('3-man'!C$49="R",0,IF(B111&gt;=100,0,IF(B112+1&gt;=IF(OR('3-man'!$F$34=TRUE,'3-man'!$F$34="TRUE",'3-man'!$F$34="Yes"),25,50),0,B112+1)))</f>
        <v/>
      </c>
      <c r="D112">
        <f>IF('3-man'!D$49="R",0,IF(C111&gt;=100,0,IF(C112+1&gt;=IF(OR('3-man'!$F$34=TRUE,'3-man'!$F$34="TRUE",'3-man'!$F$34="Yes"),25,50),0,C112+1)))</f>
        <v/>
      </c>
      <c r="E112">
        <f>IF('3-man'!E$49="R",0,IF(D111&gt;=100,0,IF(D112+1&gt;=IF(OR('3-man'!$F$34=TRUE,'3-man'!$F$34="TRUE",'3-man'!$F$34="Yes"),25,50),0,D112+1)))</f>
        <v/>
      </c>
      <c r="F112">
        <f>IF('3-man'!F$49="R",0,IF(E111&gt;=100,0,IF(E112+1&gt;=IF(OR('3-man'!$F$34=TRUE,'3-man'!$F$34="TRUE",'3-man'!$F$34="Yes"),25,50),0,E112+1)))</f>
        <v/>
      </c>
      <c r="G112">
        <f>IF('3-man'!G$49="R",0,IF(F111&gt;=100,0,IF(F112+1&gt;=IF(OR('3-man'!$F$34=TRUE,'3-man'!$F$34="TRUE",'3-man'!$F$34="Yes"),25,50),0,F112+1)))</f>
        <v/>
      </c>
      <c r="H112">
        <f>IF('3-man'!H$49="R",0,IF(G111&gt;=100,0,IF(G112+1&gt;=IF(OR('3-man'!$F$34=TRUE,'3-man'!$F$34="TRUE",'3-man'!$F$34="Yes"),25,50),0,G112+1)))</f>
        <v/>
      </c>
      <c r="I112">
        <f>IF('3-man'!I$49="R",0,IF(H111&gt;=100,0,IF(H112+1&gt;=IF(OR('3-man'!$F$34=TRUE,'3-man'!$F$34="TRUE",'3-man'!$F$34="Yes"),25,50),0,H112+1)))</f>
        <v/>
      </c>
      <c r="J112">
        <f>IF('3-man'!J$49="R",0,IF(I111&gt;=100,0,IF(I112+1&gt;=IF(OR('3-man'!$F$34=TRUE,'3-man'!$F$34="TRUE",'3-man'!$F$34="Yes"),25,50),0,I112+1)))</f>
        <v/>
      </c>
      <c r="K112">
        <f>IF('3-man'!K$49="R",0,IF(J111&gt;=100,0,IF(J112+1&gt;=IF(OR('3-man'!$F$34=TRUE,'3-man'!$F$34="TRUE",'3-man'!$F$34="Yes"),25,50),0,J112+1)))</f>
        <v/>
      </c>
      <c r="L112">
        <f>IF('3-man'!L$49="R",0,IF(K111&gt;=100,0,IF(K112+1&gt;=IF(OR('3-man'!$F$34=TRUE,'3-man'!$F$34="TRUE",'3-man'!$F$34="Yes"),25,50),0,K112+1)))</f>
        <v/>
      </c>
      <c r="M112">
        <f>IF('3-man'!M$49="R",0,IF(L111&gt;=100,0,IF(L112+1&gt;=IF(OR('3-man'!$F$34=TRUE,'3-man'!$F$34="TRUE",'3-man'!$F$34="Yes"),25,50),0,L112+1)))</f>
        <v/>
      </c>
      <c r="N112">
        <f>IF('3-man'!N$49="R",0,IF(M111&gt;=100,0,IF(M112+1&gt;=IF(OR('3-man'!$F$34=TRUE,'3-man'!$F$34="TRUE",'3-man'!$F$34="Yes"),25,50),0,M112+1)))</f>
        <v/>
      </c>
      <c r="O112">
        <f>IF('3-man'!O$49="R",0,IF(N111&gt;=100,0,IF(N112+1&gt;=IF(OR('3-man'!$F$34=TRUE,'3-man'!$F$34="TRUE",'3-man'!$F$34="Yes"),25,50),0,N112+1)))</f>
        <v/>
      </c>
      <c r="P112">
        <f>IF('3-man'!P$49="R",0,IF(O111&gt;=100,0,IF(O112+1&gt;=IF(OR('3-man'!$F$34=TRUE,'3-man'!$F$34="TRUE",'3-man'!$F$34="Yes"),25,50),0,O112+1)))</f>
        <v/>
      </c>
      <c r="Q112">
        <f>IF('3-man'!Q$49="R",0,IF(P111&gt;=100,0,IF(P112+1&gt;=IF(OR('3-man'!$F$34=TRUE,'3-man'!$F$34="TRUE",'3-man'!$F$34="Yes"),25,50),0,P112+1)))</f>
        <v/>
      </c>
      <c r="R112">
        <f>IF('3-man'!R$49="R",0,IF(Q111&gt;=100,0,IF(Q112+1&gt;=IF(OR('3-man'!$F$34=TRUE,'3-man'!$F$34="TRUE",'3-man'!$F$34="Yes"),25,50),0,Q112+1)))</f>
        <v/>
      </c>
      <c r="S112">
        <f>IF('3-man'!S$49="R",0,IF(R111&gt;=100,0,IF(R112+1&gt;=IF(OR('3-man'!$F$34=TRUE,'3-man'!$F$34="TRUE",'3-man'!$F$34="Yes"),25,50),0,R112+1)))</f>
        <v/>
      </c>
      <c r="T112">
        <f>IF('3-man'!T$49="R",0,IF(S111&gt;=100,0,IF(S112+1&gt;=IF(OR('3-man'!$F$34=TRUE,'3-man'!$F$34="TRUE",'3-man'!$F$34="Yes"),25,50),0,S112+1)))</f>
        <v/>
      </c>
      <c r="U112">
        <f>IF('3-man'!U$49="R",0,IF(T111&gt;=100,0,IF(T112+1&gt;=IF(OR('3-man'!$F$34=TRUE,'3-man'!$F$34="TRUE",'3-man'!$F$34="Yes"),25,50),0,T112+1)))</f>
        <v/>
      </c>
      <c r="V112">
        <f>IF('3-man'!V$49="R",0,IF(U111&gt;=100,0,IF(U112+1&gt;=IF(OR('3-man'!$F$34=TRUE,'3-man'!$F$34="TRUE",'3-man'!$F$34="Yes"),25,50),0,U112+1)))</f>
        <v/>
      </c>
      <c r="W112">
        <f>IF('3-man'!W$49="R",0,IF(V111&gt;=100,0,IF(V112+1&gt;=IF(OR('3-man'!$F$34=TRUE,'3-man'!$F$34="TRUE",'3-man'!$F$34="Yes"),25,50),0,V112+1)))</f>
        <v/>
      </c>
      <c r="X112">
        <f>IF('3-man'!X$49="R",0,IF(W111&gt;=100,0,IF(W112+1&gt;=IF(OR('3-man'!$F$34=TRUE,'3-man'!$F$34="TRUE",'3-man'!$F$34="Yes"),25,50),0,W112+1)))</f>
        <v/>
      </c>
      <c r="Y112">
        <f>IF('3-man'!Y$49="R",0,IF(X111&gt;=100,0,IF(X112+1&gt;=IF(OR('3-man'!$F$34=TRUE,'3-man'!$F$34="TRUE",'3-man'!$F$34="Yes"),25,50),0,X112+1)))</f>
        <v/>
      </c>
      <c r="Z112">
        <f>IF('3-man'!Z$49="R",0,IF(Y111&gt;=100,0,IF(Y112+1&gt;=IF(OR('3-man'!$F$34=TRUE,'3-man'!$F$34="TRUE",'3-man'!$F$34="Yes"),25,50),0,Y112+1)))</f>
        <v/>
      </c>
      <c r="AA112">
        <f>IF('3-man'!AA$49="R",0,IF(Z111&gt;=100,0,IF(Z112+1&gt;=IF(OR('3-man'!$F$34=TRUE,'3-man'!$F$34="TRUE",'3-man'!$F$34="Yes"),25,50),0,Z112+1)))</f>
        <v/>
      </c>
      <c r="AB112">
        <f>IF('3-man'!AB$49="R",0,IF(AA111&gt;=100,0,IF(AA112+1&gt;=IF(OR('3-man'!$F$34=TRUE,'3-man'!$F$34="TRUE",'3-man'!$F$34="Yes"),25,50),0,AA112+1)))</f>
        <v/>
      </c>
      <c r="AC112">
        <f>IF('3-man'!AC$49="R",0,IF(AB111&gt;=100,0,IF(AB112+1&gt;=IF(OR('3-man'!$F$34=TRUE,'3-man'!$F$34="TRUE",'3-man'!$F$34="Yes"),25,50),0,AB112+1)))</f>
        <v/>
      </c>
      <c r="AD112">
        <f>IF('3-man'!AD$49="R",0,IF(AC111&gt;=100,0,IF(AC112+1&gt;=IF(OR('3-man'!$F$34=TRUE,'3-man'!$F$34="TRUE",'3-man'!$F$34="Yes"),25,50),0,AC112+1)))</f>
        <v/>
      </c>
      <c r="AE112">
        <f>IF('3-man'!AE$49="R",0,IF(AD111&gt;=100,0,IF(AD112+1&gt;=IF(OR('3-man'!$F$34=TRUE,'3-man'!$F$34="TRUE",'3-man'!$F$34="Yes"),25,50),0,AD112+1)))</f>
        <v/>
      </c>
      <c r="AF112">
        <f>IF('3-man'!AF$49="R",0,IF(AE111&gt;=100,0,IF(AE112+1&gt;=IF(OR('3-man'!$F$34=TRUE,'3-man'!$F$34="TRUE",'3-man'!$F$34="Yes"),25,50),0,AE112+1)))</f>
        <v/>
      </c>
      <c r="AG112">
        <f>IF('3-man'!AG$49="R",0,IF(AF111&gt;=100,0,IF(AF112+1&gt;=IF(OR('3-man'!$F$34=TRUE,'3-man'!$F$34="TRUE",'3-man'!$F$34="Yes"),25,50),0,AF112+1)))</f>
        <v/>
      </c>
      <c r="AH112">
        <f>IF('3-man'!AH$49="R",0,IF(AG111&gt;=100,0,IF(AG112+1&gt;=IF(OR('3-man'!$F$34=TRUE,'3-man'!$F$34="TRUE",'3-man'!$F$34="Yes"),25,50),0,AG112+1)))</f>
        <v/>
      </c>
      <c r="AI112">
        <f>IF('3-man'!AI$49="R",0,IF(AH111&gt;=100,0,IF(AH112+1&gt;=IF(OR('3-man'!$F$34=TRUE,'3-man'!$F$34="TRUE",'3-man'!$F$34="Yes"),25,50),0,AH112+1)))</f>
        <v/>
      </c>
      <c r="AJ112">
        <f>IF('3-man'!AJ$49="R",0,IF(AI111&gt;=100,0,IF(AI112+1&gt;=IF(OR('3-man'!$F$34=TRUE,'3-man'!$F$34="TRUE",'3-man'!$F$34="Yes"),25,50),0,AI112+1)))</f>
        <v/>
      </c>
      <c r="AK112">
        <f>IF('3-man'!AK$49="R",0,IF(AJ111&gt;=100,0,IF(AJ112+1&gt;=IF(OR('3-man'!$F$34=TRUE,'3-man'!$F$34="TRUE",'3-man'!$F$34="Yes"),25,50),0,AJ112+1)))</f>
        <v/>
      </c>
      <c r="AL112">
        <f>IF('3-man'!AL$49="R",0,IF(AK111&gt;=100,0,IF(AK112+1&gt;=IF(OR('3-man'!$F$34=TRUE,'3-man'!$F$34="TRUE",'3-man'!$F$34="Yes"),25,50),0,AK112+1)))</f>
        <v/>
      </c>
      <c r="AM112">
        <f>IF('3-man'!AM$49="R",0,IF(AL111&gt;=100,0,IF(AL112+1&gt;=IF(OR('3-man'!$F$34=TRUE,'3-man'!$F$34="TRUE",'3-man'!$F$34="Yes"),25,50),0,AL112+1)))</f>
        <v/>
      </c>
      <c r="AN112">
        <f>IF('3-man'!AN$49="R",0,IF(AM111&gt;=100,0,IF(AM112+1&gt;=IF(OR('3-man'!$F$34=TRUE,'3-man'!$F$34="TRUE",'3-man'!$F$34="Yes"),25,50),0,AM112+1)))</f>
        <v/>
      </c>
      <c r="AO112">
        <f>IF('3-man'!AO$49="R",0,IF(AN111&gt;=100,0,IF(AN112+1&gt;=IF(OR('3-man'!$F$34=TRUE,'3-man'!$F$34="TRUE",'3-man'!$F$34="Yes"),25,50),0,AN112+1)))</f>
        <v/>
      </c>
      <c r="AP112">
        <f>IF('3-man'!AP$49="R",0,IF(AO111&gt;=100,0,IF(AO112+1&gt;=IF(OR('3-man'!$F$34=TRUE,'3-man'!$F$34="TRUE",'3-man'!$F$34="Yes"),25,50),0,AO112+1)))</f>
        <v/>
      </c>
      <c r="AQ112">
        <f>IF('3-man'!AQ$49="R",0,IF(AP111&gt;=100,0,IF(AP112+1&gt;=IF(OR('3-man'!$F$34=TRUE,'3-man'!$F$34="TRUE",'3-man'!$F$34="Yes"),25,50),0,AP112+1)))</f>
        <v/>
      </c>
      <c r="AR112">
        <f>IF('3-man'!AR$49="R",0,IF(AQ111&gt;=100,0,IF(AQ112+1&gt;=IF(OR('3-man'!$F$34=TRUE,'3-man'!$F$34="TRUE",'3-man'!$F$34="Yes"),25,50),0,AQ112+1)))</f>
        <v/>
      </c>
      <c r="AS112">
        <f>IF('3-man'!AS$49="R",0,IF(AR111&gt;=100,0,IF(AR112+1&gt;=IF(OR('3-man'!$F$34=TRUE,'3-man'!$F$34="TRUE",'3-man'!$F$34="Yes"),25,50),0,AR112+1)))</f>
        <v/>
      </c>
      <c r="AT112">
        <f>IF('3-man'!AT$49="R",0,IF(AS111&gt;=100,0,IF(AS112+1&gt;=IF(OR('3-man'!$F$34=TRUE,'3-man'!$F$34="TRUE",'3-man'!$F$34="Yes"),25,50),0,AS112+1)))</f>
        <v/>
      </c>
      <c r="AU112">
        <f>IF('3-man'!AU$49="R",0,IF(AT111&gt;=100,0,IF(AT112+1&gt;=IF(OR('3-man'!$F$34=TRUE,'3-man'!$F$34="TRUE",'3-man'!$F$34="Yes"),25,50),0,AT112+1)))</f>
        <v/>
      </c>
      <c r="AV112">
        <f>IF('3-man'!AV$49="R",0,IF(AU111&gt;=100,0,IF(AU112+1&gt;=IF(OR('3-man'!$F$34=TRUE,'3-man'!$F$34="TRUE",'3-man'!$F$34="Yes"),25,50),0,AU112+1)))</f>
        <v/>
      </c>
      <c r="AW112">
        <f>IF('3-man'!AW$49="R",0,IF(AV111&gt;=100,0,IF(AV112+1&gt;=IF(OR('3-man'!$F$34=TRUE,'3-man'!$F$34="TRUE",'3-man'!$F$34="Yes"),25,50),0,AV112+1)))</f>
        <v/>
      </c>
      <c r="AX112">
        <f>IF('3-man'!AX$49="R",0,IF(AW111&gt;=100,0,IF(AW112+1&gt;=IF(OR('3-man'!$F$34=TRUE,'3-man'!$F$34="TRUE",'3-man'!$F$34="Yes"),25,50),0,AW112+1)))</f>
        <v/>
      </c>
      <c r="AY112">
        <f>IF('3-man'!AY$49="R",0,IF(AX111&gt;=100,0,IF(AX112+1&gt;=IF(OR('3-man'!$F$34=TRUE,'3-man'!$F$34="TRUE",'3-man'!$F$34="Yes"),25,50),0,AX112+1)))</f>
        <v/>
      </c>
      <c r="AZ112">
        <f>IF('3-man'!AZ$49="R",0,IF(AY111&gt;=100,0,IF(AY112+1&gt;=IF(OR('3-man'!$F$34=TRUE,'3-man'!$F$34="TRUE",'3-man'!$F$34="Yes"),25,50),0,AY112+1)))</f>
        <v/>
      </c>
      <c r="BA112">
        <f>IF('3-man'!BA$49="R",0,IF(AZ111&gt;=100,0,IF(AZ112+1&gt;=IF(OR('3-man'!$F$34=TRUE,'3-man'!$F$34="TRUE",'3-man'!$F$34="Yes"),25,50),0,AZ112+1)))</f>
        <v/>
      </c>
      <c r="BB112">
        <f>IF('3-man'!BB$49="R",0,IF(BA111&gt;=100,0,IF(BA112+1&gt;=IF(OR('3-man'!$F$34=TRUE,'3-man'!$F$34="TRUE",'3-man'!$F$34="Yes"),25,50),0,BA112+1)))</f>
        <v/>
      </c>
      <c r="BC112">
        <f>IF('3-man'!BC$49="R",0,IF(BB111&gt;=100,0,IF(BB112+1&gt;=IF(OR('3-man'!$F$34=TRUE,'3-man'!$F$34="TRUE",'3-man'!$F$34="Yes"),25,50),0,BB112+1)))</f>
        <v/>
      </c>
      <c r="BD112">
        <f>IF('3-man'!BD$49="R",0,IF(BC111&gt;=100,0,IF(BC112+1&gt;=IF(OR('3-man'!$F$34=TRUE,'3-man'!$F$34="TRUE",'3-man'!$F$34="Yes"),25,50),0,BC112+1)))</f>
        <v/>
      </c>
      <c r="BE112">
        <f>IF('3-man'!BE$49="R",0,IF(BD111&gt;=100,0,IF(BD112+1&gt;=IF(OR('3-man'!$F$34=TRUE,'3-man'!$F$34="TRUE",'3-man'!$F$34="Yes"),25,50),0,BD112+1)))</f>
        <v/>
      </c>
      <c r="BF112">
        <f>IF('3-man'!BF$49="R",0,IF(BE111&gt;=100,0,IF(BE112+1&gt;=IF(OR('3-man'!$F$34=TRUE,'3-man'!$F$34="TRUE",'3-man'!$F$34="Yes"),25,50),0,BE112+1)))</f>
        <v/>
      </c>
      <c r="BG112">
        <f>IF('3-man'!BG$49="R",0,IF(BF111&gt;=100,0,IF(BF112+1&gt;=IF(OR('3-man'!$F$34=TRUE,'3-man'!$F$34="TRUE",'3-man'!$F$34="Yes"),25,50),0,BF112+1)))</f>
        <v/>
      </c>
      <c r="BH112">
        <f>IF('3-man'!BH$49="R",0,IF(BG111&gt;=100,0,IF(BG112+1&gt;=IF(OR('3-man'!$F$34=TRUE,'3-man'!$F$34="TRUE",'3-man'!$F$34="Yes"),25,50),0,BG112+1)))</f>
        <v/>
      </c>
      <c r="BI112">
        <f>IF('3-man'!BI$49="R",0,IF(BH111&gt;=100,0,IF(BH112+1&gt;=IF(OR('3-man'!$F$34=TRUE,'3-man'!$F$34="TRUE",'3-man'!$F$34="Yes"),25,50),0,BH112+1)))</f>
        <v/>
      </c>
      <c r="BJ112">
        <f>IF('3-man'!BJ$49="R",0,IF(BI111&gt;=100,0,IF(BI112+1&gt;=IF(OR('3-man'!$F$34=TRUE,'3-man'!$F$34="TRUE",'3-man'!$F$34="Yes"),25,50),0,BI112+1)))</f>
        <v/>
      </c>
      <c r="BK112">
        <f>IF('3-man'!BK$49="R",0,IF(BJ111&gt;=100,0,IF(BJ112+1&gt;=IF(OR('3-man'!$F$34=TRUE,'3-man'!$F$34="TRUE",'3-man'!$F$34="Yes"),25,50),0,BJ112+1)))</f>
        <v/>
      </c>
      <c r="BL112">
        <f>IF('3-man'!BL$49="R",0,IF(BK111&gt;=100,0,IF(BK112+1&gt;=IF(OR('3-man'!$F$34=TRUE,'3-man'!$F$34="TRUE",'3-man'!$F$34="Yes"),25,50),0,BK112+1)))</f>
        <v/>
      </c>
      <c r="BM112">
        <f>IF('3-man'!BM$49="R",0,IF(BL111&gt;=100,0,IF(BL112+1&gt;=IF(OR('3-man'!$F$34=TRUE,'3-man'!$F$34="TRUE",'3-man'!$F$34="Yes"),25,50),0,BL112+1)))</f>
        <v/>
      </c>
      <c r="BN112">
        <f>IF('3-man'!BN$49="R",0,IF(BM111&gt;=100,0,IF(BM112+1&gt;=IF(OR('3-man'!$F$34=TRUE,'3-man'!$F$34="TRUE",'3-man'!$F$34="Yes"),25,50),0,BM112+1)))</f>
        <v/>
      </c>
      <c r="BO112">
        <f>IF('3-man'!BO$49="R",0,IF(BN111&gt;=100,0,IF(BN112+1&gt;=IF(OR('3-man'!$F$34=TRUE,'3-man'!$F$34="TRUE",'3-man'!$F$34="Yes"),25,50),0,BN112+1)))</f>
        <v/>
      </c>
      <c r="BP112">
        <f>IF('3-man'!BP$49="R",0,IF(BO111&gt;=100,0,IF(BO112+1&gt;=IF(OR('3-man'!$F$34=TRUE,'3-man'!$F$34="TRUE",'3-man'!$F$34="Yes"),25,50),0,BO112+1)))</f>
        <v/>
      </c>
      <c r="BQ112">
        <f>IF('3-man'!BQ$49="R",0,IF(BP111&gt;=100,0,IF(BP112+1&gt;=IF(OR('3-man'!$F$34=TRUE,'3-man'!$F$34="TRUE",'3-man'!$F$34="Yes"),25,50),0,BP112+1)))</f>
        <v/>
      </c>
      <c r="BR112">
        <f>IF('3-man'!BR$49="R",0,IF(BQ111&gt;=100,0,IF(BQ112+1&gt;=IF(OR('3-man'!$F$34=TRUE,'3-man'!$F$34="TRUE",'3-man'!$F$34="Yes"),25,50),0,BQ112+1)))</f>
        <v/>
      </c>
      <c r="BS112">
        <f>IF('3-man'!BS$49="R",0,IF(BR111&gt;=100,0,IF(BR112+1&gt;=IF(OR('3-man'!$F$34=TRUE,'3-man'!$F$34="TRUE",'3-man'!$F$34="Yes"),25,50),0,BR112+1)))</f>
        <v/>
      </c>
      <c r="BT112">
        <f>IF('3-man'!BT$49="R",0,IF(BS111&gt;=100,0,IF(BS112+1&gt;=IF(OR('3-man'!$F$34=TRUE,'3-man'!$F$34="TRUE",'3-man'!$F$34="Yes"),25,50),0,BS112+1)))</f>
        <v/>
      </c>
      <c r="BU112">
        <f>IF('3-man'!BU$49="R",0,IF(BT111&gt;=100,0,IF(BT112+1&gt;=IF(OR('3-man'!$F$34=TRUE,'3-man'!$F$34="TRUE",'3-man'!$F$34="Yes"),25,50),0,BT112+1)))</f>
        <v/>
      </c>
      <c r="BV112">
        <f>IF('3-man'!BV$49="R",0,IF(BU111&gt;=100,0,IF(BU112+1&gt;=IF(OR('3-man'!$F$34=TRUE,'3-man'!$F$34="TRUE",'3-man'!$F$34="Yes"),25,50),0,BU112+1)))</f>
        <v/>
      </c>
      <c r="BW112">
        <f>IF('3-man'!BW$49="R",0,IF(BV111&gt;=100,0,IF(BV112+1&gt;=IF(OR('3-man'!$F$34=TRUE,'3-man'!$F$34="TRUE",'3-man'!$F$34="Yes"),25,50),0,BV112+1)))</f>
        <v/>
      </c>
      <c r="BX112">
        <f>IF('3-man'!BX$49="R",0,IF(BW111&gt;=100,0,IF(BW112+1&gt;=IF(OR('3-man'!$F$34=TRUE,'3-man'!$F$34="TRUE",'3-man'!$F$34="Yes"),25,50),0,BW112+1)))</f>
        <v/>
      </c>
      <c r="BY112">
        <f>IF('3-man'!BY$49="R",0,IF(BX111&gt;=100,0,IF(BX112+1&gt;=IF(OR('3-man'!$F$34=TRUE,'3-man'!$F$34="TRUE",'3-man'!$F$34="Yes"),25,50),0,BX112+1)))</f>
        <v/>
      </c>
      <c r="BZ112">
        <f>IF('3-man'!BZ$49="R",0,IF(BY111&gt;=100,0,IF(BY112+1&gt;=IF(OR('3-man'!$F$34=TRUE,'3-man'!$F$34="TRUE",'3-man'!$F$34="Yes"),25,50),0,BY112+1)))</f>
        <v/>
      </c>
      <c r="CA112">
        <f>IF('3-man'!CA$49="R",0,IF(BZ111&gt;=100,0,IF(BZ112+1&gt;=IF(OR('3-man'!$F$34=TRUE,'3-man'!$F$34="TRUE",'3-man'!$F$34="Yes"),25,50),0,BZ112+1)))</f>
        <v/>
      </c>
      <c r="CB112">
        <f>IF('3-man'!CB$49="R",0,IF(CA111&gt;=100,0,IF(CA112+1&gt;=IF(OR('3-man'!$F$34=TRUE,'3-man'!$F$34="TRUE",'3-man'!$F$34="Yes"),25,50),0,CA112+1)))</f>
        <v/>
      </c>
      <c r="CC112">
        <f>IF('3-man'!CC$49="R",0,IF(CB111&gt;=100,0,IF(CB112+1&gt;=IF(OR('3-man'!$F$34=TRUE,'3-man'!$F$34="TRUE",'3-man'!$F$34="Yes"),25,50),0,CB112+1)))</f>
        <v/>
      </c>
      <c r="CD112">
        <f>IF('3-man'!CD$49="R",0,IF(CC111&gt;=100,0,IF(CC112+1&gt;=IF(OR('3-man'!$F$34=TRUE,'3-man'!$F$34="TRUE",'3-man'!$F$34="Yes"),25,50),0,CC112+1)))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row>
    <row r="117">
      <c r="A117" t="inlineStr">
        <is>
          <t>P3 act</t>
        </is>
      </c>
      <c r="C117">
        <f>IF(OR('3-man'!C$49="P",'3-man'!C$49="R",AND('3-man'!C$46&lt;=IF('3-man'!$BF$32="",999,'3-man'!$BF$32),OR('3-man'!C$49="D",LEFT('3-man'!C$49,3)="ST&gt;",OR(AND('3-man'!C$47="ST&gt;3",C94&gt;=100),AND('3-man'!C$48="ST&gt;3",C102&gt;=100))))),'3-man'!C$46,0)</f>
        <v/>
      </c>
      <c r="D117">
        <f>IF(OR('3-man'!D$49="P",'3-man'!D$49="R",AND('3-man'!D$46&lt;=IF('3-man'!$BF$32="",999,'3-man'!$BF$32),OR('3-man'!D$49="D",LEFT('3-man'!D$49,3)="ST&gt;",OR(AND('3-man'!D$47="ST&gt;3",D94&gt;=100),AND('3-man'!D$48="ST&gt;3",D102&gt;=100))))),'3-man'!D$46,0)</f>
        <v/>
      </c>
      <c r="E117">
        <f>IF(OR('3-man'!E$49="P",'3-man'!E$49="R",AND('3-man'!E$46&lt;=IF('3-man'!$BF$32="",999,'3-man'!$BF$32),OR('3-man'!E$49="D",LEFT('3-man'!E$49,3)="ST&gt;",OR(AND('3-man'!E$47="ST&gt;3",E94&gt;=100),AND('3-man'!E$48="ST&gt;3",E102&gt;=100))))),'3-man'!E$46,0)</f>
        <v/>
      </c>
      <c r="F117">
        <f>IF(OR('3-man'!F$49="P",'3-man'!F$49="R",AND('3-man'!F$46&lt;=IF('3-man'!$BF$32="",999,'3-man'!$BF$32),OR('3-man'!F$49="D",LEFT('3-man'!F$49,3)="ST&gt;",OR(AND('3-man'!F$47="ST&gt;3",F94&gt;=100),AND('3-man'!F$48="ST&gt;3",F102&gt;=100))))),'3-man'!F$46,0)</f>
        <v/>
      </c>
      <c r="G117">
        <f>IF(OR('3-man'!G$49="P",'3-man'!G$49="R",AND('3-man'!G$46&lt;=IF('3-man'!$BF$32="",999,'3-man'!$BF$32),OR('3-man'!G$49="D",LEFT('3-man'!G$49,3)="ST&gt;",OR(AND('3-man'!G$47="ST&gt;3",G94&gt;=100),AND('3-man'!G$48="ST&gt;3",G102&gt;=100))))),'3-man'!G$46,0)</f>
        <v/>
      </c>
      <c r="H117">
        <f>IF(OR('3-man'!H$49="P",'3-man'!H$49="R",AND('3-man'!H$46&lt;=IF('3-man'!$BF$32="",999,'3-man'!$BF$32),OR('3-man'!H$49="D",LEFT('3-man'!H$49,3)="ST&gt;",OR(AND('3-man'!H$47="ST&gt;3",H94&gt;=100),AND('3-man'!H$48="ST&gt;3",H102&gt;=100))))),'3-man'!H$46,0)</f>
        <v/>
      </c>
      <c r="I117">
        <f>IF(OR('3-man'!I$49="P",'3-man'!I$49="R",AND('3-man'!I$46&lt;=IF('3-man'!$BF$32="",999,'3-man'!$BF$32),OR('3-man'!I$49="D",LEFT('3-man'!I$49,3)="ST&gt;",OR(AND('3-man'!I$47="ST&gt;3",I94&gt;=100),AND('3-man'!I$48="ST&gt;3",I102&gt;=100))))),'3-man'!I$46,0)</f>
        <v/>
      </c>
      <c r="J117">
        <f>IF(OR('3-man'!J$49="P",'3-man'!J$49="R",AND('3-man'!J$46&lt;=IF('3-man'!$BF$32="",999,'3-man'!$BF$32),OR('3-man'!J$49="D",LEFT('3-man'!J$49,3)="ST&gt;",OR(AND('3-man'!J$47="ST&gt;3",J94&gt;=100),AND('3-man'!J$48="ST&gt;3",J102&gt;=100))))),'3-man'!J$46,0)</f>
        <v/>
      </c>
      <c r="K117">
        <f>IF(OR('3-man'!K$49="P",'3-man'!K$49="R",AND('3-man'!K$46&lt;=IF('3-man'!$BF$32="",999,'3-man'!$BF$32),OR('3-man'!K$49="D",LEFT('3-man'!K$49,3)="ST&gt;",OR(AND('3-man'!K$47="ST&gt;3",K94&gt;=100),AND('3-man'!K$48="ST&gt;3",K102&gt;=100))))),'3-man'!K$46,0)</f>
        <v/>
      </c>
      <c r="L117">
        <f>IF(OR('3-man'!L$49="P",'3-man'!L$49="R",AND('3-man'!L$46&lt;=IF('3-man'!$BF$32="",999,'3-man'!$BF$32),OR('3-man'!L$49="D",LEFT('3-man'!L$49,3)="ST&gt;",OR(AND('3-man'!L$47="ST&gt;3",L94&gt;=100),AND('3-man'!L$48="ST&gt;3",L102&gt;=100))))),'3-man'!L$46,0)</f>
        <v/>
      </c>
      <c r="M117">
        <f>IF(OR('3-man'!M$49="P",'3-man'!M$49="R",AND('3-man'!M$46&lt;=IF('3-man'!$BF$32="",999,'3-man'!$BF$32),OR('3-man'!M$49="D",LEFT('3-man'!M$49,3)="ST&gt;",OR(AND('3-man'!M$47="ST&gt;3",M94&gt;=100),AND('3-man'!M$48="ST&gt;3",M102&gt;=100))))),'3-man'!M$46,0)</f>
        <v/>
      </c>
      <c r="N117">
        <f>IF(OR('3-man'!N$49="P",'3-man'!N$49="R",AND('3-man'!N$46&lt;=IF('3-man'!$BF$32="",999,'3-man'!$BF$32),OR('3-man'!N$49="D",LEFT('3-man'!N$49,3)="ST&gt;",OR(AND('3-man'!N$47="ST&gt;3",N94&gt;=100),AND('3-man'!N$48="ST&gt;3",N102&gt;=100))))),'3-man'!N$46,0)</f>
        <v/>
      </c>
      <c r="O117">
        <f>IF(OR('3-man'!O$49="P",'3-man'!O$49="R",AND('3-man'!O$46&lt;=IF('3-man'!$BF$32="",999,'3-man'!$BF$32),OR('3-man'!O$49="D",LEFT('3-man'!O$49,3)="ST&gt;",OR(AND('3-man'!O$47="ST&gt;3",O94&gt;=100),AND('3-man'!O$48="ST&gt;3",O102&gt;=100))))),'3-man'!O$46,0)</f>
        <v/>
      </c>
      <c r="P117">
        <f>IF(OR('3-man'!P$49="P",'3-man'!P$49="R",AND('3-man'!P$46&lt;=IF('3-man'!$BF$32="",999,'3-man'!$BF$32),OR('3-man'!P$49="D",LEFT('3-man'!P$49,3)="ST&gt;",OR(AND('3-man'!P$47="ST&gt;3",P94&gt;=100),AND('3-man'!P$48="ST&gt;3",P102&gt;=100))))),'3-man'!P$46,0)</f>
        <v/>
      </c>
      <c r="Q117">
        <f>IF(OR('3-man'!Q$49="P",'3-man'!Q$49="R",AND('3-man'!Q$46&lt;=IF('3-man'!$BF$32="",999,'3-man'!$BF$32),OR('3-man'!Q$49="D",LEFT('3-man'!Q$49,3)="ST&gt;",OR(AND('3-man'!Q$47="ST&gt;3",Q94&gt;=100),AND('3-man'!Q$48="ST&gt;3",Q102&gt;=100))))),'3-man'!Q$46,0)</f>
        <v/>
      </c>
      <c r="R117">
        <f>IF(OR('3-man'!R$49="P",'3-man'!R$49="R",AND('3-man'!R$46&lt;=IF('3-man'!$BF$32="",999,'3-man'!$BF$32),OR('3-man'!R$49="D",LEFT('3-man'!R$49,3)="ST&gt;",OR(AND('3-man'!R$47="ST&gt;3",R94&gt;=100),AND('3-man'!R$48="ST&gt;3",R102&gt;=100))))),'3-man'!R$46,0)</f>
        <v/>
      </c>
      <c r="S117">
        <f>IF(OR('3-man'!S$49="P",'3-man'!S$49="R",AND('3-man'!S$46&lt;=IF('3-man'!$BF$32="",999,'3-man'!$BF$32),OR('3-man'!S$49="D",LEFT('3-man'!S$49,3)="ST&gt;",OR(AND('3-man'!S$47="ST&gt;3",S94&gt;=100),AND('3-man'!S$48="ST&gt;3",S102&gt;=100))))),'3-man'!S$46,0)</f>
        <v/>
      </c>
      <c r="T117">
        <f>IF(OR('3-man'!T$49="P",'3-man'!T$49="R",AND('3-man'!T$46&lt;=IF('3-man'!$BF$32="",999,'3-man'!$BF$32),OR('3-man'!T$49="D",LEFT('3-man'!T$49,3)="ST&gt;",OR(AND('3-man'!T$47="ST&gt;3",T94&gt;=100),AND('3-man'!T$48="ST&gt;3",T102&gt;=100))))),'3-man'!T$46,0)</f>
        <v/>
      </c>
      <c r="U117">
        <f>IF(OR('3-man'!U$49="P",'3-man'!U$49="R",AND('3-man'!U$46&lt;=IF('3-man'!$BF$32="",999,'3-man'!$BF$32),OR('3-man'!U$49="D",LEFT('3-man'!U$49,3)="ST&gt;",OR(AND('3-man'!U$47="ST&gt;3",U94&gt;=100),AND('3-man'!U$48="ST&gt;3",U102&gt;=100))))),'3-man'!U$46,0)</f>
        <v/>
      </c>
      <c r="V117">
        <f>IF(OR('3-man'!V$49="P",'3-man'!V$49="R",AND('3-man'!V$46&lt;=IF('3-man'!$BF$32="",999,'3-man'!$BF$32),OR('3-man'!V$49="D",LEFT('3-man'!V$49,3)="ST&gt;",OR(AND('3-man'!V$47="ST&gt;3",V94&gt;=100),AND('3-man'!V$48="ST&gt;3",V102&gt;=100))))),'3-man'!V$46,0)</f>
        <v/>
      </c>
      <c r="W117">
        <f>IF(OR('3-man'!W$49="P",'3-man'!W$49="R",AND('3-man'!W$46&lt;=IF('3-man'!$BF$32="",999,'3-man'!$BF$32),OR('3-man'!W$49="D",LEFT('3-man'!W$49,3)="ST&gt;",OR(AND('3-man'!W$47="ST&gt;3",W94&gt;=100),AND('3-man'!W$48="ST&gt;3",W102&gt;=100))))),'3-man'!W$46,0)</f>
        <v/>
      </c>
      <c r="X117">
        <f>IF(OR('3-man'!X$49="P",'3-man'!X$49="R",AND('3-man'!X$46&lt;=IF('3-man'!$BF$32="",999,'3-man'!$BF$32),OR('3-man'!X$49="D",LEFT('3-man'!X$49,3)="ST&gt;",OR(AND('3-man'!X$47="ST&gt;3",X94&gt;=100),AND('3-man'!X$48="ST&gt;3",X102&gt;=100))))),'3-man'!X$46,0)</f>
        <v/>
      </c>
      <c r="Y117">
        <f>IF(OR('3-man'!Y$49="P",'3-man'!Y$49="R",AND('3-man'!Y$46&lt;=IF('3-man'!$BF$32="",999,'3-man'!$BF$32),OR('3-man'!Y$49="D",LEFT('3-man'!Y$49,3)="ST&gt;",OR(AND('3-man'!Y$47="ST&gt;3",Y94&gt;=100),AND('3-man'!Y$48="ST&gt;3",Y102&gt;=100))))),'3-man'!Y$46,0)</f>
        <v/>
      </c>
      <c r="Z117">
        <f>IF(OR('3-man'!Z$49="P",'3-man'!Z$49="R",AND('3-man'!Z$46&lt;=IF('3-man'!$BF$32="",999,'3-man'!$BF$32),OR('3-man'!Z$49="D",LEFT('3-man'!Z$49,3)="ST&gt;",OR(AND('3-man'!Z$47="ST&gt;3",Z94&gt;=100),AND('3-man'!Z$48="ST&gt;3",Z102&gt;=100))))),'3-man'!Z$46,0)</f>
        <v/>
      </c>
      <c r="AA117">
        <f>IF(OR('3-man'!AA$49="P",'3-man'!AA$49="R",AND('3-man'!AA$46&lt;=IF('3-man'!$BF$32="",999,'3-man'!$BF$32),OR('3-man'!AA$49="D",LEFT('3-man'!AA$49,3)="ST&gt;",OR(AND('3-man'!AA$47="ST&gt;3",AA94&gt;=100),AND('3-man'!AA$48="ST&gt;3",AA102&gt;=100))))),'3-man'!AA$46,0)</f>
        <v/>
      </c>
      <c r="AB117">
        <f>IF(OR('3-man'!AB$49="P",'3-man'!AB$49="R",AND('3-man'!AB$46&lt;=IF('3-man'!$BF$32="",999,'3-man'!$BF$32),OR('3-man'!AB$49="D",LEFT('3-man'!AB$49,3)="ST&gt;",OR(AND('3-man'!AB$47="ST&gt;3",AB94&gt;=100),AND('3-man'!AB$48="ST&gt;3",AB102&gt;=100))))),'3-man'!AB$46,0)</f>
        <v/>
      </c>
      <c r="AC117">
        <f>IF(OR('3-man'!AC$49="P",'3-man'!AC$49="R",AND('3-man'!AC$46&lt;=IF('3-man'!$BF$32="",999,'3-man'!$BF$32),OR('3-man'!AC$49="D",LEFT('3-man'!AC$49,3)="ST&gt;",OR(AND('3-man'!AC$47="ST&gt;3",AC94&gt;=100),AND('3-man'!AC$48="ST&gt;3",AC102&gt;=100))))),'3-man'!AC$46,0)</f>
        <v/>
      </c>
      <c r="AD117">
        <f>IF(OR('3-man'!AD$49="P",'3-man'!AD$49="R",AND('3-man'!AD$46&lt;=IF('3-man'!$BF$32="",999,'3-man'!$BF$32),OR('3-man'!AD$49="D",LEFT('3-man'!AD$49,3)="ST&gt;",OR(AND('3-man'!AD$47="ST&gt;3",AD94&gt;=100),AND('3-man'!AD$48="ST&gt;3",AD102&gt;=100))))),'3-man'!AD$46,0)</f>
        <v/>
      </c>
      <c r="AE117">
        <f>IF(OR('3-man'!AE$49="P",'3-man'!AE$49="R",AND('3-man'!AE$46&lt;=IF('3-man'!$BF$32="",999,'3-man'!$BF$32),OR('3-man'!AE$49="D",LEFT('3-man'!AE$49,3)="ST&gt;",OR(AND('3-man'!AE$47="ST&gt;3",AE94&gt;=100),AND('3-man'!AE$48="ST&gt;3",AE102&gt;=100))))),'3-man'!AE$46,0)</f>
        <v/>
      </c>
      <c r="AF117">
        <f>IF(OR('3-man'!AF$49="P",'3-man'!AF$49="R",AND('3-man'!AF$46&lt;=IF('3-man'!$BF$32="",999,'3-man'!$BF$32),OR('3-man'!AF$49="D",LEFT('3-man'!AF$49,3)="ST&gt;",OR(AND('3-man'!AF$47="ST&gt;3",AF94&gt;=100),AND('3-man'!AF$48="ST&gt;3",AF102&gt;=100))))),'3-man'!AF$46,0)</f>
        <v/>
      </c>
      <c r="AG117">
        <f>IF(OR('3-man'!AG$49="P",'3-man'!AG$49="R",AND('3-man'!AG$46&lt;=IF('3-man'!$BF$32="",999,'3-man'!$BF$32),OR('3-man'!AG$49="D",LEFT('3-man'!AG$49,3)="ST&gt;",OR(AND('3-man'!AG$47="ST&gt;3",AG94&gt;=100),AND('3-man'!AG$48="ST&gt;3",AG102&gt;=100))))),'3-man'!AG$46,0)</f>
        <v/>
      </c>
      <c r="AH117">
        <f>IF(OR('3-man'!AH$49="P",'3-man'!AH$49="R",AND('3-man'!AH$46&lt;=IF('3-man'!$BF$32="",999,'3-man'!$BF$32),OR('3-man'!AH$49="D",LEFT('3-man'!AH$49,3)="ST&gt;",OR(AND('3-man'!AH$47="ST&gt;3",AH94&gt;=100),AND('3-man'!AH$48="ST&gt;3",AH102&gt;=100))))),'3-man'!AH$46,0)</f>
        <v/>
      </c>
      <c r="AI117">
        <f>IF(OR('3-man'!AI$49="P",'3-man'!AI$49="R",AND('3-man'!AI$46&lt;=IF('3-man'!$BF$32="",999,'3-man'!$BF$32),OR('3-man'!AI$49="D",LEFT('3-man'!AI$49,3)="ST&gt;",OR(AND('3-man'!AI$47="ST&gt;3",AI94&gt;=100),AND('3-man'!AI$48="ST&gt;3",AI102&gt;=100))))),'3-man'!AI$46,0)</f>
        <v/>
      </c>
      <c r="AJ117">
        <f>IF(OR('3-man'!AJ$49="P",'3-man'!AJ$49="R",AND('3-man'!AJ$46&lt;=IF('3-man'!$BF$32="",999,'3-man'!$BF$32),OR('3-man'!AJ$49="D",LEFT('3-man'!AJ$49,3)="ST&gt;",OR(AND('3-man'!AJ$47="ST&gt;3",AJ94&gt;=100),AND('3-man'!AJ$48="ST&gt;3",AJ102&gt;=100))))),'3-man'!AJ$46,0)</f>
        <v/>
      </c>
      <c r="AK117">
        <f>IF(OR('3-man'!AK$49="P",'3-man'!AK$49="R",AND('3-man'!AK$46&lt;=IF('3-man'!$BF$32="",999,'3-man'!$BF$32),OR('3-man'!AK$49="D",LEFT('3-man'!AK$49,3)="ST&gt;",OR(AND('3-man'!AK$47="ST&gt;3",AK94&gt;=100),AND('3-man'!AK$48="ST&gt;3",AK102&gt;=100))))),'3-man'!AK$46,0)</f>
        <v/>
      </c>
      <c r="AL117">
        <f>IF(OR('3-man'!AL$49="P",'3-man'!AL$49="R",AND('3-man'!AL$46&lt;=IF('3-man'!$BF$32="",999,'3-man'!$BF$32),OR('3-man'!AL$49="D",LEFT('3-man'!AL$49,3)="ST&gt;",OR(AND('3-man'!AL$47="ST&gt;3",AL94&gt;=100),AND('3-man'!AL$48="ST&gt;3",AL102&gt;=100))))),'3-man'!AL$46,0)</f>
        <v/>
      </c>
      <c r="AM117">
        <f>IF(OR('3-man'!AM$49="P",'3-man'!AM$49="R",AND('3-man'!AM$46&lt;=IF('3-man'!$BF$32="",999,'3-man'!$BF$32),OR('3-man'!AM$49="D",LEFT('3-man'!AM$49,3)="ST&gt;",OR(AND('3-man'!AM$47="ST&gt;3",AM94&gt;=100),AND('3-man'!AM$48="ST&gt;3",AM102&gt;=100))))),'3-man'!AM$46,0)</f>
        <v/>
      </c>
      <c r="AN117">
        <f>IF(OR('3-man'!AN$49="P",'3-man'!AN$49="R",AND('3-man'!AN$46&lt;=IF('3-man'!$BF$32="",999,'3-man'!$BF$32),OR('3-man'!AN$49="D",LEFT('3-man'!AN$49,3)="ST&gt;",OR(AND('3-man'!AN$47="ST&gt;3",AN94&gt;=100),AND('3-man'!AN$48="ST&gt;3",AN102&gt;=100))))),'3-man'!AN$46,0)</f>
        <v/>
      </c>
      <c r="AO117">
        <f>IF(OR('3-man'!AO$49="P",'3-man'!AO$49="R",AND('3-man'!AO$46&lt;=IF('3-man'!$BF$32="",999,'3-man'!$BF$32),OR('3-man'!AO$49="D",LEFT('3-man'!AO$49,3)="ST&gt;",OR(AND('3-man'!AO$47="ST&gt;3",AO94&gt;=100),AND('3-man'!AO$48="ST&gt;3",AO102&gt;=100))))),'3-man'!AO$46,0)</f>
        <v/>
      </c>
      <c r="AP117">
        <f>IF(OR('3-man'!AP$49="P",'3-man'!AP$49="R",AND('3-man'!AP$46&lt;=IF('3-man'!$BF$32="",999,'3-man'!$BF$32),OR('3-man'!AP$49="D",LEFT('3-man'!AP$49,3)="ST&gt;",OR(AND('3-man'!AP$47="ST&gt;3",AP94&gt;=100),AND('3-man'!AP$48="ST&gt;3",AP102&gt;=100))))),'3-man'!AP$46,0)</f>
        <v/>
      </c>
      <c r="AQ117">
        <f>IF(OR('3-man'!AQ$49="P",'3-man'!AQ$49="R",AND('3-man'!AQ$46&lt;=IF('3-man'!$BF$32="",999,'3-man'!$BF$32),OR('3-man'!AQ$49="D",LEFT('3-man'!AQ$49,3)="ST&gt;",OR(AND('3-man'!AQ$47="ST&gt;3",AQ94&gt;=100),AND('3-man'!AQ$48="ST&gt;3",AQ102&gt;=100))))),'3-man'!AQ$46,0)</f>
        <v/>
      </c>
      <c r="AR117">
        <f>IF(OR('3-man'!AR$49="P",'3-man'!AR$49="R",AND('3-man'!AR$46&lt;=IF('3-man'!$BF$32="",999,'3-man'!$BF$32),OR('3-man'!AR$49="D",LEFT('3-man'!AR$49,3)="ST&gt;",OR(AND('3-man'!AR$47="ST&gt;3",AR94&gt;=100),AND('3-man'!AR$48="ST&gt;3",AR102&gt;=100))))),'3-man'!AR$46,0)</f>
        <v/>
      </c>
      <c r="AS117">
        <f>IF(OR('3-man'!AS$49="P",'3-man'!AS$49="R",AND('3-man'!AS$46&lt;=IF('3-man'!$BF$32="",999,'3-man'!$BF$32),OR('3-man'!AS$49="D",LEFT('3-man'!AS$49,3)="ST&gt;",OR(AND('3-man'!AS$47="ST&gt;3",AS94&gt;=100),AND('3-man'!AS$48="ST&gt;3",AS102&gt;=100))))),'3-man'!AS$46,0)</f>
        <v/>
      </c>
      <c r="AT117">
        <f>IF(OR('3-man'!AT$49="P",'3-man'!AT$49="R",AND('3-man'!AT$46&lt;=IF('3-man'!$BF$32="",999,'3-man'!$BF$32),OR('3-man'!AT$49="D",LEFT('3-man'!AT$49,3)="ST&gt;",OR(AND('3-man'!AT$47="ST&gt;3",AT94&gt;=100),AND('3-man'!AT$48="ST&gt;3",AT102&gt;=100))))),'3-man'!AT$46,0)</f>
        <v/>
      </c>
      <c r="AU117">
        <f>IF(OR('3-man'!AU$49="P",'3-man'!AU$49="R",AND('3-man'!AU$46&lt;=IF('3-man'!$BF$32="",999,'3-man'!$BF$32),OR('3-man'!AU$49="D",LEFT('3-man'!AU$49,3)="ST&gt;",OR(AND('3-man'!AU$47="ST&gt;3",AU94&gt;=100),AND('3-man'!AU$48="ST&gt;3",AU102&gt;=100))))),'3-man'!AU$46,0)</f>
        <v/>
      </c>
      <c r="AV117">
        <f>IF(OR('3-man'!AV$49="P",'3-man'!AV$49="R",AND('3-man'!AV$46&lt;=IF('3-man'!$BF$32="",999,'3-man'!$BF$32),OR('3-man'!AV$49="D",LEFT('3-man'!AV$49,3)="ST&gt;",OR(AND('3-man'!AV$47="ST&gt;3",AV94&gt;=100),AND('3-man'!AV$48="ST&gt;3",AV102&gt;=100))))),'3-man'!AV$46,0)</f>
        <v/>
      </c>
      <c r="AW117">
        <f>IF(OR('3-man'!AW$49="P",'3-man'!AW$49="R",AND('3-man'!AW$46&lt;=IF('3-man'!$BF$32="",999,'3-man'!$BF$32),OR('3-man'!AW$49="D",LEFT('3-man'!AW$49,3)="ST&gt;",OR(AND('3-man'!AW$47="ST&gt;3",AW94&gt;=100),AND('3-man'!AW$48="ST&gt;3",AW102&gt;=100))))),'3-man'!AW$46,0)</f>
        <v/>
      </c>
      <c r="AX117">
        <f>IF(OR('3-man'!AX$49="P",'3-man'!AX$49="R",AND('3-man'!AX$46&lt;=IF('3-man'!$BF$32="",999,'3-man'!$BF$32),OR('3-man'!AX$49="D",LEFT('3-man'!AX$49,3)="ST&gt;",OR(AND('3-man'!AX$47="ST&gt;3",AX94&gt;=100),AND('3-man'!AX$48="ST&gt;3",AX102&gt;=100))))),'3-man'!AX$46,0)</f>
        <v/>
      </c>
      <c r="AY117">
        <f>IF(OR('3-man'!AY$49="P",'3-man'!AY$49="R",AND('3-man'!AY$46&lt;=IF('3-man'!$BF$32="",999,'3-man'!$BF$32),OR('3-man'!AY$49="D",LEFT('3-man'!AY$49,3)="ST&gt;",OR(AND('3-man'!AY$47="ST&gt;3",AY94&gt;=100),AND('3-man'!AY$48="ST&gt;3",AY102&gt;=100))))),'3-man'!AY$46,0)</f>
        <v/>
      </c>
      <c r="AZ117">
        <f>IF(OR('3-man'!AZ$49="P",'3-man'!AZ$49="R",AND('3-man'!AZ$46&lt;=IF('3-man'!$BF$32="",999,'3-man'!$BF$32),OR('3-man'!AZ$49="D",LEFT('3-man'!AZ$49,3)="ST&gt;",OR(AND('3-man'!AZ$47="ST&gt;3",AZ94&gt;=100),AND('3-man'!AZ$48="ST&gt;3",AZ102&gt;=100))))),'3-man'!AZ$46,0)</f>
        <v/>
      </c>
      <c r="BA117">
        <f>IF(OR('3-man'!BA$49="P",'3-man'!BA$49="R",AND('3-man'!BA$46&lt;=IF('3-man'!$BF$32="",999,'3-man'!$BF$32),OR('3-man'!BA$49="D",LEFT('3-man'!BA$49,3)="ST&gt;",OR(AND('3-man'!BA$47="ST&gt;3",BA94&gt;=100),AND('3-man'!BA$48="ST&gt;3",BA102&gt;=100))))),'3-man'!BA$46,0)</f>
        <v/>
      </c>
      <c r="BB117">
        <f>IF(OR('3-man'!BB$49="P",'3-man'!BB$49="R",AND('3-man'!BB$46&lt;=IF('3-man'!$BF$32="",999,'3-man'!$BF$32),OR('3-man'!BB$49="D",LEFT('3-man'!BB$49,3)="ST&gt;",OR(AND('3-man'!BB$47="ST&gt;3",BB94&gt;=100),AND('3-man'!BB$48="ST&gt;3",BB102&gt;=100))))),'3-man'!BB$46,0)</f>
        <v/>
      </c>
      <c r="BC117">
        <f>IF(OR('3-man'!BC$49="P",'3-man'!BC$49="R",AND('3-man'!BC$46&lt;=IF('3-man'!$BF$32="",999,'3-man'!$BF$32),OR('3-man'!BC$49="D",LEFT('3-man'!BC$49,3)="ST&gt;",OR(AND('3-man'!BC$47="ST&gt;3",BC94&gt;=100),AND('3-man'!BC$48="ST&gt;3",BC102&gt;=100))))),'3-man'!BC$46,0)</f>
        <v/>
      </c>
      <c r="BD117">
        <f>IF(OR('3-man'!BD$49="P",'3-man'!BD$49="R",AND('3-man'!BD$46&lt;=IF('3-man'!$BF$32="",999,'3-man'!$BF$32),OR('3-man'!BD$49="D",LEFT('3-man'!BD$49,3)="ST&gt;",OR(AND('3-man'!BD$47="ST&gt;3",BD94&gt;=100),AND('3-man'!BD$48="ST&gt;3",BD102&gt;=100))))),'3-man'!BD$46,0)</f>
        <v/>
      </c>
      <c r="BE117">
        <f>IF(OR('3-man'!BE$49="P",'3-man'!BE$49="R",AND('3-man'!BE$46&lt;=IF('3-man'!$BF$32="",999,'3-man'!$BF$32),OR('3-man'!BE$49="D",LEFT('3-man'!BE$49,3)="ST&gt;",OR(AND('3-man'!BE$47="ST&gt;3",BE94&gt;=100),AND('3-man'!BE$48="ST&gt;3",BE102&gt;=100))))),'3-man'!BE$46,0)</f>
        <v/>
      </c>
      <c r="BF117">
        <f>IF(OR('3-man'!BF$49="P",'3-man'!BF$49="R",AND('3-man'!BF$46&lt;=IF('3-man'!$BF$32="",999,'3-man'!$BF$32),OR('3-man'!BF$49="D",LEFT('3-man'!BF$49,3)="ST&gt;",OR(AND('3-man'!BF$47="ST&gt;3",BF94&gt;=100),AND('3-man'!BF$48="ST&gt;3",BF102&gt;=100))))),'3-man'!BF$46,0)</f>
        <v/>
      </c>
      <c r="BG117">
        <f>IF(OR('3-man'!BG$49="P",'3-man'!BG$49="R",AND('3-man'!BG$46&lt;=IF('3-man'!$BF$32="",999,'3-man'!$BF$32),OR('3-man'!BG$49="D",LEFT('3-man'!BG$49,3)="ST&gt;",OR(AND('3-man'!BG$47="ST&gt;3",BG94&gt;=100),AND('3-man'!BG$48="ST&gt;3",BG102&gt;=100))))),'3-man'!BG$46,0)</f>
        <v/>
      </c>
      <c r="BH117">
        <f>IF(OR('3-man'!BH$49="P",'3-man'!BH$49="R",AND('3-man'!BH$46&lt;=IF('3-man'!$BF$32="",999,'3-man'!$BF$32),OR('3-man'!BH$49="D",LEFT('3-man'!BH$49,3)="ST&gt;",OR(AND('3-man'!BH$47="ST&gt;3",BH94&gt;=100),AND('3-man'!BH$48="ST&gt;3",BH102&gt;=100))))),'3-man'!BH$46,0)</f>
        <v/>
      </c>
      <c r="BI117">
        <f>IF(OR('3-man'!BI$49="P",'3-man'!BI$49="R",AND('3-man'!BI$46&lt;=IF('3-man'!$BF$32="",999,'3-man'!$BF$32),OR('3-man'!BI$49="D",LEFT('3-man'!BI$49,3)="ST&gt;",OR(AND('3-man'!BI$47="ST&gt;3",BI94&gt;=100),AND('3-man'!BI$48="ST&gt;3",BI102&gt;=100))))),'3-man'!BI$46,0)</f>
        <v/>
      </c>
      <c r="BJ117">
        <f>IF(OR('3-man'!BJ$49="P",'3-man'!BJ$49="R",AND('3-man'!BJ$46&lt;=IF('3-man'!$BF$32="",999,'3-man'!$BF$32),OR('3-man'!BJ$49="D",LEFT('3-man'!BJ$49,3)="ST&gt;",OR(AND('3-man'!BJ$47="ST&gt;3",BJ94&gt;=100),AND('3-man'!BJ$48="ST&gt;3",BJ102&gt;=100))))),'3-man'!BJ$46,0)</f>
        <v/>
      </c>
      <c r="BK117">
        <f>IF(OR('3-man'!BK$49="P",'3-man'!BK$49="R",AND('3-man'!BK$46&lt;=IF('3-man'!$BF$32="",999,'3-man'!$BF$32),OR('3-man'!BK$49="D",LEFT('3-man'!BK$49,3)="ST&gt;",OR(AND('3-man'!BK$47="ST&gt;3",BK94&gt;=100),AND('3-man'!BK$48="ST&gt;3",BK102&gt;=100))))),'3-man'!BK$46,0)</f>
        <v/>
      </c>
      <c r="BL117">
        <f>IF(OR('3-man'!BL$49="P",'3-man'!BL$49="R",AND('3-man'!BL$46&lt;=IF('3-man'!$BF$32="",999,'3-man'!$BF$32),OR('3-man'!BL$49="D",LEFT('3-man'!BL$49,3)="ST&gt;",OR(AND('3-man'!BL$47="ST&gt;3",BL94&gt;=100),AND('3-man'!BL$48="ST&gt;3",BL102&gt;=100))))),'3-man'!BL$46,0)</f>
        <v/>
      </c>
      <c r="BM117">
        <f>IF(OR('3-man'!BM$49="P",'3-man'!BM$49="R",AND('3-man'!BM$46&lt;=IF('3-man'!$BF$32="",999,'3-man'!$BF$32),OR('3-man'!BM$49="D",LEFT('3-man'!BM$49,3)="ST&gt;",OR(AND('3-man'!BM$47="ST&gt;3",BM94&gt;=100),AND('3-man'!BM$48="ST&gt;3",BM102&gt;=100))))),'3-man'!BM$46,0)</f>
        <v/>
      </c>
      <c r="BN117">
        <f>IF(OR('3-man'!BN$49="P",'3-man'!BN$49="R",AND('3-man'!BN$46&lt;=IF('3-man'!$BF$32="",999,'3-man'!$BF$32),OR('3-man'!BN$49="D",LEFT('3-man'!BN$49,3)="ST&gt;",OR(AND('3-man'!BN$47="ST&gt;3",BN94&gt;=100),AND('3-man'!BN$48="ST&gt;3",BN102&gt;=100))))),'3-man'!BN$46,0)</f>
        <v/>
      </c>
      <c r="BO117">
        <f>IF(OR('3-man'!BO$49="P",'3-man'!BO$49="R",AND('3-man'!BO$46&lt;=IF('3-man'!$BF$32="",999,'3-man'!$BF$32),OR('3-man'!BO$49="D",LEFT('3-man'!BO$49,3)="ST&gt;",OR(AND('3-man'!BO$47="ST&gt;3",BO94&gt;=100),AND('3-man'!BO$48="ST&gt;3",BO102&gt;=100))))),'3-man'!BO$46,0)</f>
        <v/>
      </c>
      <c r="BP117">
        <f>IF(OR('3-man'!BP$49="P",'3-man'!BP$49="R",AND('3-man'!BP$46&lt;=IF('3-man'!$BF$32="",999,'3-man'!$BF$32),OR('3-man'!BP$49="D",LEFT('3-man'!BP$49,3)="ST&gt;",OR(AND('3-man'!BP$47="ST&gt;3",BP94&gt;=100),AND('3-man'!BP$48="ST&gt;3",BP102&gt;=100))))),'3-man'!BP$46,0)</f>
        <v/>
      </c>
      <c r="BQ117">
        <f>IF(OR('3-man'!BQ$49="P",'3-man'!BQ$49="R",AND('3-man'!BQ$46&lt;=IF('3-man'!$BF$32="",999,'3-man'!$BF$32),OR('3-man'!BQ$49="D",LEFT('3-man'!BQ$49,3)="ST&gt;",OR(AND('3-man'!BQ$47="ST&gt;3",BQ94&gt;=100),AND('3-man'!BQ$48="ST&gt;3",BQ102&gt;=100))))),'3-man'!BQ$46,0)</f>
        <v/>
      </c>
      <c r="BR117">
        <f>IF(OR('3-man'!BR$49="P",'3-man'!BR$49="R",AND('3-man'!BR$46&lt;=IF('3-man'!$BF$32="",999,'3-man'!$BF$32),OR('3-man'!BR$49="D",LEFT('3-man'!BR$49,3)="ST&gt;",OR(AND('3-man'!BR$47="ST&gt;3",BR94&gt;=100),AND('3-man'!BR$48="ST&gt;3",BR102&gt;=100))))),'3-man'!BR$46,0)</f>
        <v/>
      </c>
      <c r="BS117">
        <f>IF(OR('3-man'!BS$49="P",'3-man'!BS$49="R",AND('3-man'!BS$46&lt;=IF('3-man'!$BF$32="",999,'3-man'!$BF$32),OR('3-man'!BS$49="D",LEFT('3-man'!BS$49,3)="ST&gt;",OR(AND('3-man'!BS$47="ST&gt;3",BS94&gt;=100),AND('3-man'!BS$48="ST&gt;3",BS102&gt;=100))))),'3-man'!BS$46,0)</f>
        <v/>
      </c>
      <c r="BT117">
        <f>IF(OR('3-man'!BT$49="P",'3-man'!BT$49="R",AND('3-man'!BT$46&lt;=IF('3-man'!$BF$32="",999,'3-man'!$BF$32),OR('3-man'!BT$49="D",LEFT('3-man'!BT$49,3)="ST&gt;",OR(AND('3-man'!BT$47="ST&gt;3",BT94&gt;=100),AND('3-man'!BT$48="ST&gt;3",BT102&gt;=100))))),'3-man'!BT$46,0)</f>
        <v/>
      </c>
      <c r="BU117">
        <f>IF(OR('3-man'!BU$49="P",'3-man'!BU$49="R",AND('3-man'!BU$46&lt;=IF('3-man'!$BF$32="",999,'3-man'!$BF$32),OR('3-man'!BU$49="D",LEFT('3-man'!BU$49,3)="ST&gt;",OR(AND('3-man'!BU$47="ST&gt;3",BU94&gt;=100),AND('3-man'!BU$48="ST&gt;3",BU102&gt;=100))))),'3-man'!BU$46,0)</f>
        <v/>
      </c>
      <c r="BV117">
        <f>IF(OR('3-man'!BV$49="P",'3-man'!BV$49="R",AND('3-man'!BV$46&lt;=IF('3-man'!$BF$32="",999,'3-man'!$BF$32),OR('3-man'!BV$49="D",LEFT('3-man'!BV$49,3)="ST&gt;",OR(AND('3-man'!BV$47="ST&gt;3",BV94&gt;=100),AND('3-man'!BV$48="ST&gt;3",BV102&gt;=100))))),'3-man'!BV$46,0)</f>
        <v/>
      </c>
      <c r="BW117">
        <f>IF(OR('3-man'!BW$49="P",'3-man'!BW$49="R",AND('3-man'!BW$46&lt;=IF('3-man'!$BF$32="",999,'3-man'!$BF$32),OR('3-man'!BW$49="D",LEFT('3-man'!BW$49,3)="ST&gt;",OR(AND('3-man'!BW$47="ST&gt;3",BW94&gt;=100),AND('3-man'!BW$48="ST&gt;3",BW102&gt;=100))))),'3-man'!BW$46,0)</f>
        <v/>
      </c>
      <c r="BX117">
        <f>IF(OR('3-man'!BX$49="P",'3-man'!BX$49="R",AND('3-man'!BX$46&lt;=IF('3-man'!$BF$32="",999,'3-man'!$BF$32),OR('3-man'!BX$49="D",LEFT('3-man'!BX$49,3)="ST&gt;",OR(AND('3-man'!BX$47="ST&gt;3",BX94&gt;=100),AND('3-man'!BX$48="ST&gt;3",BX102&gt;=100))))),'3-man'!BX$46,0)</f>
        <v/>
      </c>
      <c r="BY117">
        <f>IF(OR('3-man'!BY$49="P",'3-man'!BY$49="R",AND('3-man'!BY$46&lt;=IF('3-man'!$BF$32="",999,'3-man'!$BF$32),OR('3-man'!BY$49="D",LEFT('3-man'!BY$49,3)="ST&gt;",OR(AND('3-man'!BY$47="ST&gt;3",BY94&gt;=100),AND('3-man'!BY$48="ST&gt;3",BY102&gt;=100))))),'3-man'!BY$46,0)</f>
        <v/>
      </c>
      <c r="BZ117">
        <f>IF(OR('3-man'!BZ$49="P",'3-man'!BZ$49="R",AND('3-man'!BZ$46&lt;=IF('3-man'!$BF$32="",999,'3-man'!$BF$32),OR('3-man'!BZ$49="D",LEFT('3-man'!BZ$49,3)="ST&gt;",OR(AND('3-man'!BZ$47="ST&gt;3",BZ94&gt;=100),AND('3-man'!BZ$48="ST&gt;3",BZ102&gt;=100))))),'3-man'!BZ$46,0)</f>
        <v/>
      </c>
      <c r="CA117">
        <f>IF(OR('3-man'!CA$49="P",'3-man'!CA$49="R",AND('3-man'!CA$46&lt;=IF('3-man'!$BF$32="",999,'3-man'!$BF$32),OR('3-man'!CA$49="D",LEFT('3-man'!CA$49,3)="ST&gt;",OR(AND('3-man'!CA$47="ST&gt;3",CA94&gt;=100),AND('3-man'!CA$48="ST&gt;3",CA102&gt;=100))))),'3-man'!CA$46,0)</f>
        <v/>
      </c>
      <c r="CB117">
        <f>IF(OR('3-man'!CB$49="P",'3-man'!CB$49="R",AND('3-man'!CB$46&lt;=IF('3-man'!$BF$32="",999,'3-man'!$BF$32),OR('3-man'!CB$49="D",LEFT('3-man'!CB$49,3)="ST&gt;",OR(AND('3-man'!CB$47="ST&gt;3",CB94&gt;=100),AND('3-man'!CB$48="ST&gt;3",CB102&gt;=100))))),'3-man'!CB$46,0)</f>
        <v/>
      </c>
      <c r="CC117">
        <f>IF(OR('3-man'!CC$49="P",'3-man'!CC$49="R",AND('3-man'!CC$46&lt;=IF('3-man'!$BF$32="",999,'3-man'!$BF$32),OR('3-man'!CC$49="D",LEFT('3-man'!CC$49,3)="ST&gt;",OR(AND('3-man'!CC$47="ST&gt;3",CC94&gt;=100),AND('3-man'!CC$48="ST&gt;3",CC102&gt;=100))))),'3-man'!CC$46,0)</f>
        <v/>
      </c>
      <c r="CD117">
        <f>IF(OR('3-man'!CD$49="P",'3-man'!CD$49="R",AND('3-man'!CD$46&lt;=IF('3-man'!$BF$32="",999,'3-man'!$BF$32),OR('3-man'!CD$49="D",LEFT('3-man'!CD$49,3)="ST&gt;",OR(AND('3-man'!CD$47="ST&gt;3",CD94&gt;=100),AND('3-man'!CD$48="ST&gt;3",CD102&gt;=100))))),'3-man'!CD$46,0)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MIN(100,B126+IF(AND(B126&lt;100,B127+1&gt;=IF(OR('4-man'!$F$4=TRUE,'4-man'!$F$4="TRUE",'4-man'!$F$4="Yes"),25,50)),10,0)+IF('4-man'!C$21=$Q$131,25,0))</f>
        <v/>
      </c>
      <c r="D125">
        <f>MIN(100,C126+IF(AND(C126&lt;100,C127+1&gt;=IF(OR('4-man'!$F$4=TRUE,'4-man'!$F$4="TRUE",'4-man'!$F$4="Yes"),25,50)),10,0)+IF('4-man'!D$21=$Q$131,25,0))</f>
        <v/>
      </c>
      <c r="E125">
        <f>MIN(100,D126+IF(AND(D126&lt;100,D127+1&gt;=IF(OR('4-man'!$F$4=TRUE,'4-man'!$F$4="TRUE",'4-man'!$F$4="Yes"),25,50)),10,0)+IF('4-man'!E$21=$Q$131,25,0))</f>
        <v/>
      </c>
      <c r="F125">
        <f>MIN(100,E126+IF(AND(E126&lt;100,E127+1&gt;=IF(OR('4-man'!$F$4=TRUE,'4-man'!$F$4="TRUE",'4-man'!$F$4="Yes"),25,50)),10,0)+IF('4-man'!F$21=$Q$131,25,0))</f>
        <v/>
      </c>
      <c r="G125">
        <f>MIN(100,F126+IF(AND(F126&lt;100,F127+1&gt;=IF(OR('4-man'!$F$4=TRUE,'4-man'!$F$4="TRUE",'4-man'!$F$4="Yes"),25,50)),10,0)+IF('4-man'!G$21=$Q$131,25,0))</f>
        <v/>
      </c>
      <c r="H125">
        <f>MIN(100,G126+IF(AND(G126&lt;100,G127+1&gt;=IF(OR('4-man'!$F$4=TRUE,'4-man'!$F$4="TRUE",'4-man'!$F$4="Yes"),25,50)),10,0)+IF('4-man'!H$21=$Q$131,25,0))</f>
        <v/>
      </c>
      <c r="I125">
        <f>MIN(100,H126+IF(AND(H126&lt;100,H127+1&gt;=IF(OR('4-man'!$F$4=TRUE,'4-man'!$F$4="TRUE",'4-man'!$F$4="Yes"),25,50)),10,0)+IF('4-man'!I$21=$Q$131,25,0))</f>
        <v/>
      </c>
      <c r="J125">
        <f>MIN(100,I126+IF(AND(I126&lt;100,I127+1&gt;=IF(OR('4-man'!$F$4=TRUE,'4-man'!$F$4="TRUE",'4-man'!$F$4="Yes"),25,50)),10,0)+IF('4-man'!J$21=$Q$131,25,0))</f>
        <v/>
      </c>
      <c r="K125">
        <f>MIN(100,J126+IF(AND(J126&lt;100,J127+1&gt;=IF(OR('4-man'!$F$4=TRUE,'4-man'!$F$4="TRUE",'4-man'!$F$4="Yes"),25,50)),10,0)+IF('4-man'!K$21=$Q$131,25,0))</f>
        <v/>
      </c>
      <c r="L125">
        <f>MIN(100,K126+IF(AND(K126&lt;100,K127+1&gt;=IF(OR('4-man'!$F$4=TRUE,'4-man'!$F$4="TRUE",'4-man'!$F$4="Yes"),25,50)),10,0)+IF('4-man'!L$21=$Q$131,25,0))</f>
        <v/>
      </c>
      <c r="M125">
        <f>MIN(100,L126+IF(AND(L126&lt;100,L127+1&gt;=IF(OR('4-man'!$F$4=TRUE,'4-man'!$F$4="TRUE",'4-man'!$F$4="Yes"),25,50)),10,0)+IF('4-man'!M$21=$Q$131,25,0))</f>
        <v/>
      </c>
      <c r="N125">
        <f>MIN(100,M126+IF(AND(M126&lt;100,M127+1&gt;=IF(OR('4-man'!$F$4=TRUE,'4-man'!$F$4="TRUE",'4-man'!$F$4="Yes"),25,50)),10,0)+IF('4-man'!N$21=$Q$131,25,0))</f>
        <v/>
      </c>
      <c r="O125">
        <f>MIN(100,N126+IF(AND(N126&lt;100,N127+1&gt;=IF(OR('4-man'!$F$4=TRUE,'4-man'!$F$4="TRUE",'4-man'!$F$4="Yes"),25,50)),10,0)+IF('4-man'!O$21=$Q$131,25,0))</f>
        <v/>
      </c>
      <c r="P125">
        <f>MIN(100,O126+IF(AND(O126&lt;100,O127+1&gt;=IF(OR('4-man'!$F$4=TRUE,'4-man'!$F$4="TRUE",'4-man'!$F$4="Yes"),25,50)),10,0)+IF('4-man'!P$21=$Q$131,25,0))</f>
        <v/>
      </c>
      <c r="Q125">
        <f>MIN(100,P126+IF(AND(P126&lt;100,P127+1&gt;=IF(OR('4-man'!$F$4=TRUE,'4-man'!$F$4="TRUE",'4-man'!$F$4="Yes"),25,50)),10,0)+IF('4-man'!Q$21=$Q$131,25,0))</f>
        <v/>
      </c>
      <c r="R125">
        <f>MIN(100,Q126+IF(AND(Q126&lt;100,Q127+1&gt;=IF(OR('4-man'!$F$4=TRUE,'4-man'!$F$4="TRUE",'4-man'!$F$4="Yes"),25,50)),10,0)+IF('4-man'!R$21=$Q$131,25,0))</f>
        <v/>
      </c>
      <c r="S125">
        <f>MIN(100,R126+IF(AND(R126&lt;100,R127+1&gt;=IF(OR('4-man'!$F$4=TRUE,'4-man'!$F$4="TRUE",'4-man'!$F$4="Yes"),25,50)),10,0)+IF('4-man'!S$21=$Q$131,25,0))</f>
        <v/>
      </c>
      <c r="T125">
        <f>MIN(100,S126+IF(AND(S126&lt;100,S127+1&gt;=IF(OR('4-man'!$F$4=TRUE,'4-man'!$F$4="TRUE",'4-man'!$F$4="Yes"),25,50)),10,0)+IF('4-man'!T$21=$Q$131,25,0))</f>
        <v/>
      </c>
      <c r="U125">
        <f>MIN(100,T126+IF(AND(T126&lt;100,T127+1&gt;=IF(OR('4-man'!$F$4=TRUE,'4-man'!$F$4="TRUE",'4-man'!$F$4="Yes"),25,50)),10,0)+IF('4-man'!U$21=$Q$131,25,0))</f>
        <v/>
      </c>
      <c r="V125">
        <f>MIN(100,U126+IF(AND(U126&lt;100,U127+1&gt;=IF(OR('4-man'!$F$4=TRUE,'4-man'!$F$4="TRUE",'4-man'!$F$4="Yes"),25,50)),10,0)+IF('4-man'!V$21=$Q$131,25,0))</f>
        <v/>
      </c>
      <c r="W125">
        <f>MIN(100,V126+IF(AND(V126&lt;100,V127+1&gt;=IF(OR('4-man'!$F$4=TRUE,'4-man'!$F$4="TRUE",'4-man'!$F$4="Yes"),25,50)),10,0)+IF('4-man'!W$21=$Q$131,25,0))</f>
        <v/>
      </c>
      <c r="X125">
        <f>MIN(100,W126+IF(AND(W126&lt;100,W127+1&gt;=IF(OR('4-man'!$F$4=TRUE,'4-man'!$F$4="TRUE",'4-man'!$F$4="Yes"),25,50)),10,0)+IF('4-man'!X$21=$Q$131,25,0))</f>
        <v/>
      </c>
      <c r="Y125">
        <f>MIN(100,X126+IF(AND(X126&lt;100,X127+1&gt;=IF(OR('4-man'!$F$4=TRUE,'4-man'!$F$4="TRUE",'4-man'!$F$4="Yes"),25,50)),10,0)+IF('4-man'!Y$21=$Q$131,25,0))</f>
        <v/>
      </c>
      <c r="Z125">
        <f>MIN(100,Y126+IF(AND(Y126&lt;100,Y127+1&gt;=IF(OR('4-man'!$F$4=TRUE,'4-man'!$F$4="TRUE",'4-man'!$F$4="Yes"),25,50)),10,0)+IF('4-man'!Z$21=$Q$131,25,0))</f>
        <v/>
      </c>
      <c r="AA125">
        <f>MIN(100,Z126+IF(AND(Z126&lt;100,Z127+1&gt;=IF(OR('4-man'!$F$4=TRUE,'4-man'!$F$4="TRUE",'4-man'!$F$4="Yes"),25,50)),10,0)+IF('4-man'!AA$21=$Q$131,25,0))</f>
        <v/>
      </c>
      <c r="AB125">
        <f>MIN(100,AA126+IF(AND(AA126&lt;100,AA127+1&gt;=IF(OR('4-man'!$F$4=TRUE,'4-man'!$F$4="TRUE",'4-man'!$F$4="Yes"),25,50)),10,0)+IF('4-man'!AB$21=$Q$131,25,0))</f>
        <v/>
      </c>
      <c r="AC125">
        <f>MIN(100,AB126+IF(AND(AB126&lt;100,AB127+1&gt;=IF(OR('4-man'!$F$4=TRUE,'4-man'!$F$4="TRUE",'4-man'!$F$4="Yes"),25,50)),10,0)+IF('4-man'!AC$21=$Q$131,25,0))</f>
        <v/>
      </c>
      <c r="AD125">
        <f>MIN(100,AC126+IF(AND(AC126&lt;100,AC127+1&gt;=IF(OR('4-man'!$F$4=TRUE,'4-man'!$F$4="TRUE",'4-man'!$F$4="Yes"),25,50)),10,0)+IF('4-man'!AD$21=$Q$131,25,0))</f>
        <v/>
      </c>
      <c r="AE125">
        <f>MIN(100,AD126+IF(AND(AD126&lt;100,AD127+1&gt;=IF(OR('4-man'!$F$4=TRUE,'4-man'!$F$4="TRUE",'4-man'!$F$4="Yes"),25,50)),10,0)+IF('4-man'!AE$21=$Q$131,25,0))</f>
        <v/>
      </c>
      <c r="AF125">
        <f>MIN(100,AE126+IF(AND(AE126&lt;100,AE127+1&gt;=IF(OR('4-man'!$F$4=TRUE,'4-man'!$F$4="TRUE",'4-man'!$F$4="Yes"),25,50)),10,0)+IF('4-man'!AF$21=$Q$131,25,0))</f>
        <v/>
      </c>
      <c r="AG125">
        <f>MIN(100,AF126+IF(AND(AF126&lt;100,AF127+1&gt;=IF(OR('4-man'!$F$4=TRUE,'4-man'!$F$4="TRUE",'4-man'!$F$4="Yes"),25,50)),10,0)+IF('4-man'!AG$21=$Q$131,25,0))</f>
        <v/>
      </c>
      <c r="AH125">
        <f>MIN(100,AG126+IF(AND(AG126&lt;100,AG127+1&gt;=IF(OR('4-man'!$F$4=TRUE,'4-man'!$F$4="TRUE",'4-man'!$F$4="Yes"),25,50)),10,0)+IF('4-man'!AH$21=$Q$131,25,0))</f>
        <v/>
      </c>
      <c r="AI125">
        <f>MIN(100,AH126+IF(AND(AH126&lt;100,AH127+1&gt;=IF(OR('4-man'!$F$4=TRUE,'4-man'!$F$4="TRUE",'4-man'!$F$4="Yes"),25,50)),10,0)+IF('4-man'!AI$21=$Q$131,25,0))</f>
        <v/>
      </c>
      <c r="AJ125">
        <f>MIN(100,AI126+IF(AND(AI126&lt;100,AI127+1&gt;=IF(OR('4-man'!$F$4=TRUE,'4-man'!$F$4="TRUE",'4-man'!$F$4="Yes"),25,50)),10,0)+IF('4-man'!AJ$21=$Q$131,25,0))</f>
        <v/>
      </c>
      <c r="AK125">
        <f>MIN(100,AJ126+IF(AND(AJ126&lt;100,AJ127+1&gt;=IF(OR('4-man'!$F$4=TRUE,'4-man'!$F$4="TRUE",'4-man'!$F$4="Yes"),25,50)),10,0)+IF('4-man'!AK$21=$Q$131,25,0))</f>
        <v/>
      </c>
      <c r="AL125">
        <f>MIN(100,AK126+IF(AND(AK126&lt;100,AK127+1&gt;=IF(OR('4-man'!$F$4=TRUE,'4-man'!$F$4="TRUE",'4-man'!$F$4="Yes"),25,50)),10,0)+IF('4-man'!AL$21=$Q$131,25,0))</f>
        <v/>
      </c>
      <c r="AM125">
        <f>MIN(100,AL126+IF(AND(AL126&lt;100,AL127+1&gt;=IF(OR('4-man'!$F$4=TRUE,'4-man'!$F$4="TRUE",'4-man'!$F$4="Yes"),25,50)),10,0)+IF('4-man'!AM$21=$Q$131,25,0))</f>
        <v/>
      </c>
      <c r="AN125">
        <f>MIN(100,AM126+IF(AND(AM126&lt;100,AM127+1&gt;=IF(OR('4-man'!$F$4=TRUE,'4-man'!$F$4="TRUE",'4-man'!$F$4="Yes"),25,50)),10,0)+IF('4-man'!AN$21=$Q$131,25,0))</f>
        <v/>
      </c>
      <c r="AO125">
        <f>MIN(100,AN126+IF(AND(AN126&lt;100,AN127+1&gt;=IF(OR('4-man'!$F$4=TRUE,'4-man'!$F$4="TRUE",'4-man'!$F$4="Yes"),25,50)),10,0)+IF('4-man'!AO$21=$Q$131,25,0))</f>
        <v/>
      </c>
      <c r="AP125">
        <f>MIN(100,AO126+IF(AND(AO126&lt;100,AO127+1&gt;=IF(OR('4-man'!$F$4=TRUE,'4-man'!$F$4="TRUE",'4-man'!$F$4="Yes"),25,50)),10,0)+IF('4-man'!AP$21=$Q$131,25,0))</f>
        <v/>
      </c>
      <c r="AQ125">
        <f>MIN(100,AP126+IF(AND(AP126&lt;100,AP127+1&gt;=IF(OR('4-man'!$F$4=TRUE,'4-man'!$F$4="TRUE",'4-man'!$F$4="Yes"),25,50)),10,0)+IF('4-man'!AQ$21=$Q$131,25,0))</f>
        <v/>
      </c>
      <c r="AR125">
        <f>MIN(100,AQ126+IF(AND(AQ126&lt;100,AQ127+1&gt;=IF(OR('4-man'!$F$4=TRUE,'4-man'!$F$4="TRUE",'4-man'!$F$4="Yes"),25,50)),10,0)+IF('4-man'!AR$21=$Q$131,25,0))</f>
        <v/>
      </c>
      <c r="AS125">
        <f>MIN(100,AR126+IF(AND(AR126&lt;100,AR127+1&gt;=IF(OR('4-man'!$F$4=TRUE,'4-man'!$F$4="TRUE",'4-man'!$F$4="Yes"),25,50)),10,0)+IF('4-man'!AS$21=$Q$131,25,0))</f>
        <v/>
      </c>
      <c r="AT125">
        <f>MIN(100,AS126+IF(AND(AS126&lt;100,AS127+1&gt;=IF(OR('4-man'!$F$4=TRUE,'4-man'!$F$4="TRUE",'4-man'!$F$4="Yes"),25,50)),10,0)+IF('4-man'!AT$21=$Q$131,25,0))</f>
        <v/>
      </c>
      <c r="AU125">
        <f>MIN(100,AT126+IF(AND(AT126&lt;100,AT127+1&gt;=IF(OR('4-man'!$F$4=TRUE,'4-man'!$F$4="TRUE",'4-man'!$F$4="Yes"),25,50)),10,0)+IF('4-man'!AU$21=$Q$131,25,0))</f>
        <v/>
      </c>
      <c r="AV125">
        <f>MIN(100,AU126+IF(AND(AU126&lt;100,AU127+1&gt;=IF(OR('4-man'!$F$4=TRUE,'4-man'!$F$4="TRUE",'4-man'!$F$4="Yes"),25,50)),10,0)+IF('4-man'!AV$21=$Q$131,25,0))</f>
        <v/>
      </c>
      <c r="AW125">
        <f>MIN(100,AV126+IF(AND(AV126&lt;100,AV127+1&gt;=IF(OR('4-man'!$F$4=TRUE,'4-man'!$F$4="TRUE",'4-man'!$F$4="Yes"),25,50)),10,0)+IF('4-man'!AW$21=$Q$131,25,0))</f>
        <v/>
      </c>
      <c r="AX125">
        <f>MIN(100,AW126+IF(AND(AW126&lt;100,AW127+1&gt;=IF(OR('4-man'!$F$4=TRUE,'4-man'!$F$4="TRUE",'4-man'!$F$4="Yes"),25,50)),10,0)+IF('4-man'!AX$21=$Q$131,25,0))</f>
        <v/>
      </c>
      <c r="AY125">
        <f>MIN(100,AX126+IF(AND(AX126&lt;100,AX127+1&gt;=IF(OR('4-man'!$F$4=TRUE,'4-man'!$F$4="TRUE",'4-man'!$F$4="Yes"),25,50)),10,0)+IF('4-man'!AY$21=$Q$131,25,0))</f>
        <v/>
      </c>
      <c r="AZ125">
        <f>MIN(100,AY126+IF(AND(AY126&lt;100,AY127+1&gt;=IF(OR('4-man'!$F$4=TRUE,'4-man'!$F$4="TRUE",'4-man'!$F$4="Yes"),25,50)),10,0)+IF('4-man'!AZ$21=$Q$131,25,0))</f>
        <v/>
      </c>
      <c r="BA125">
        <f>MIN(100,AZ126+IF(AND(AZ126&lt;100,AZ127+1&gt;=IF(OR('4-man'!$F$4=TRUE,'4-man'!$F$4="TRUE",'4-man'!$F$4="Yes"),25,50)),10,0)+IF('4-man'!BA$21=$Q$131,25,0))</f>
        <v/>
      </c>
      <c r="BB125">
        <f>MIN(100,BA126+IF(AND(BA126&lt;100,BA127+1&gt;=IF(OR('4-man'!$F$4=TRUE,'4-man'!$F$4="TRUE",'4-man'!$F$4="Yes"),25,50)),10,0)+IF('4-man'!BB$21=$Q$131,25,0))</f>
        <v/>
      </c>
      <c r="BC125">
        <f>MIN(100,BB126+IF(AND(BB126&lt;100,BB127+1&gt;=IF(OR('4-man'!$F$4=TRUE,'4-man'!$F$4="TRUE",'4-man'!$F$4="Yes"),25,50)),10,0)+IF('4-man'!BC$21=$Q$131,25,0))</f>
        <v/>
      </c>
      <c r="BD125">
        <f>MIN(100,BC126+IF(AND(BC126&lt;100,BC127+1&gt;=IF(OR('4-man'!$F$4=TRUE,'4-man'!$F$4="TRUE",'4-man'!$F$4="Yes"),25,50)),10,0)+IF('4-man'!BD$21=$Q$131,25,0))</f>
        <v/>
      </c>
      <c r="BE125">
        <f>MIN(100,BD126+IF(AND(BD126&lt;100,BD127+1&gt;=IF(OR('4-man'!$F$4=TRUE,'4-man'!$F$4="TRUE",'4-man'!$F$4="Yes"),25,50)),10,0)+IF('4-man'!BE$21=$Q$131,25,0))</f>
        <v/>
      </c>
      <c r="BF125">
        <f>MIN(100,BE126+IF(AND(BE126&lt;100,BE127+1&gt;=IF(OR('4-man'!$F$4=TRUE,'4-man'!$F$4="TRUE",'4-man'!$F$4="Yes"),25,50)),10,0)+IF('4-man'!BF$21=$Q$131,25,0))</f>
        <v/>
      </c>
      <c r="BG125">
        <f>MIN(100,BF126+IF(AND(BF126&lt;100,BF127+1&gt;=IF(OR('4-man'!$F$4=TRUE,'4-man'!$F$4="TRUE",'4-man'!$F$4="Yes"),25,50)),10,0)+IF('4-man'!BG$21=$Q$131,25,0))</f>
        <v/>
      </c>
      <c r="BH125">
        <f>MIN(100,BG126+IF(AND(BG126&lt;100,BG127+1&gt;=IF(OR('4-man'!$F$4=TRUE,'4-man'!$F$4="TRUE",'4-man'!$F$4="Yes"),25,50)),10,0)+IF('4-man'!BH$21=$Q$131,25,0))</f>
        <v/>
      </c>
      <c r="BI125">
        <f>MIN(100,BH126+IF(AND(BH126&lt;100,BH127+1&gt;=IF(OR('4-man'!$F$4=TRUE,'4-man'!$F$4="TRUE",'4-man'!$F$4="Yes"),25,50)),10,0)+IF('4-man'!BI$21=$Q$131,25,0))</f>
        <v/>
      </c>
      <c r="BJ125">
        <f>MIN(100,BI126+IF(AND(BI126&lt;100,BI127+1&gt;=IF(OR('4-man'!$F$4=TRUE,'4-man'!$F$4="TRUE",'4-man'!$F$4="Yes"),25,50)),10,0)+IF('4-man'!BJ$21=$Q$131,25,0))</f>
        <v/>
      </c>
      <c r="BK125">
        <f>MIN(100,BJ126+IF(AND(BJ126&lt;100,BJ127+1&gt;=IF(OR('4-man'!$F$4=TRUE,'4-man'!$F$4="TRUE",'4-man'!$F$4="Yes"),25,50)),10,0)+IF('4-man'!BK$21=$Q$131,25,0))</f>
        <v/>
      </c>
      <c r="BL125">
        <f>MIN(100,BK126+IF(AND(BK126&lt;100,BK127+1&gt;=IF(OR('4-man'!$F$4=TRUE,'4-man'!$F$4="TRUE",'4-man'!$F$4="Yes"),25,50)),10,0)+IF('4-man'!BL$21=$Q$131,25,0))</f>
        <v/>
      </c>
      <c r="BM125">
        <f>MIN(100,BL126+IF(AND(BL126&lt;100,BL127+1&gt;=IF(OR('4-man'!$F$4=TRUE,'4-man'!$F$4="TRUE",'4-man'!$F$4="Yes"),25,50)),10,0)+IF('4-man'!BM$21=$Q$131,25,0))</f>
        <v/>
      </c>
      <c r="BN125">
        <f>MIN(100,BM126+IF(AND(BM126&lt;100,BM127+1&gt;=IF(OR('4-man'!$F$4=TRUE,'4-man'!$F$4="TRUE",'4-man'!$F$4="Yes"),25,50)),10,0)+IF('4-man'!BN$21=$Q$131,25,0))</f>
        <v/>
      </c>
      <c r="BO125">
        <f>MIN(100,BN126+IF(AND(BN126&lt;100,BN127+1&gt;=IF(OR('4-man'!$F$4=TRUE,'4-man'!$F$4="TRUE",'4-man'!$F$4="Yes"),25,50)),10,0)+IF('4-man'!BO$21=$Q$131,25,0))</f>
        <v/>
      </c>
      <c r="BP125">
        <f>MIN(100,BO126+IF(AND(BO126&lt;100,BO127+1&gt;=IF(OR('4-man'!$F$4=TRUE,'4-man'!$F$4="TRUE",'4-man'!$F$4="Yes"),25,50)),10,0)+IF('4-man'!BP$21=$Q$131,25,0))</f>
        <v/>
      </c>
      <c r="BQ125">
        <f>MIN(100,BP126+IF(AND(BP126&lt;100,BP127+1&gt;=IF(OR('4-man'!$F$4=TRUE,'4-man'!$F$4="TRUE",'4-man'!$F$4="Yes"),25,50)),10,0)+IF('4-man'!BQ$21=$Q$131,25,0))</f>
        <v/>
      </c>
      <c r="BR125">
        <f>MIN(100,BQ126+IF(AND(BQ126&lt;100,BQ127+1&gt;=IF(OR('4-man'!$F$4=TRUE,'4-man'!$F$4="TRUE",'4-man'!$F$4="Yes"),25,50)),10,0)+IF('4-man'!BR$21=$Q$131,25,0))</f>
        <v/>
      </c>
      <c r="BS125">
        <f>MIN(100,BR126+IF(AND(BR126&lt;100,BR127+1&gt;=IF(OR('4-man'!$F$4=TRUE,'4-man'!$F$4="TRUE",'4-man'!$F$4="Yes"),25,50)),10,0)+IF('4-man'!BS$21=$Q$131,25,0))</f>
        <v/>
      </c>
      <c r="BT125">
        <f>MIN(100,BS126+IF(AND(BS126&lt;100,BS127+1&gt;=IF(OR('4-man'!$F$4=TRUE,'4-man'!$F$4="TRUE",'4-man'!$F$4="Yes"),25,50)),10,0)+IF('4-man'!BT$21=$Q$131,25,0))</f>
        <v/>
      </c>
      <c r="BU125">
        <f>MIN(100,BT126+IF(AND(BT126&lt;100,BT127+1&gt;=IF(OR('4-man'!$F$4=TRUE,'4-man'!$F$4="TRUE",'4-man'!$F$4="Yes"),25,50)),10,0)+IF('4-man'!BU$21=$Q$131,25,0))</f>
        <v/>
      </c>
      <c r="BV125">
        <f>MIN(100,BU126+IF(AND(BU126&lt;100,BU127+1&gt;=IF(OR('4-man'!$F$4=TRUE,'4-man'!$F$4="TRUE",'4-man'!$F$4="Yes"),25,50)),10,0)+IF('4-man'!BV$21=$Q$131,25,0))</f>
        <v/>
      </c>
      <c r="BW125">
        <f>MIN(100,BV126+IF(AND(BV126&lt;100,BV127+1&gt;=IF(OR('4-man'!$F$4=TRUE,'4-man'!$F$4="TRUE",'4-man'!$F$4="Yes"),25,50)),10,0)+IF('4-man'!BW$21=$Q$131,25,0))</f>
        <v/>
      </c>
      <c r="BX125">
        <f>MIN(100,BW126+IF(AND(BW126&lt;100,BW127+1&gt;=IF(OR('4-man'!$F$4=TRUE,'4-man'!$F$4="TRUE",'4-man'!$F$4="Yes"),25,50)),10,0)+IF('4-man'!BX$21=$Q$131,25,0))</f>
        <v/>
      </c>
      <c r="BY125">
        <f>MIN(100,BX126+IF(AND(BX126&lt;100,BX127+1&gt;=IF(OR('4-man'!$F$4=TRUE,'4-man'!$F$4="TRUE",'4-man'!$F$4="Yes"),25,50)),10,0)+IF('4-man'!BY$21=$Q$131,25,0))</f>
        <v/>
      </c>
      <c r="BZ125">
        <f>MIN(100,BY126+IF(AND(BY126&lt;100,BY127+1&gt;=IF(OR('4-man'!$F$4=TRUE,'4-man'!$F$4="TRUE",'4-man'!$F$4="Yes"),25,50)),10,0)+IF('4-man'!BZ$21=$Q$131,25,0))</f>
        <v/>
      </c>
      <c r="CA125">
        <f>MIN(100,BZ126+IF(AND(BZ126&lt;100,BZ127+1&gt;=IF(OR('4-man'!$F$4=TRUE,'4-man'!$F$4="TRUE",'4-man'!$F$4="Yes"),25,50)),10,0)+IF('4-man'!CA$21=$Q$131,25,0))</f>
        <v/>
      </c>
      <c r="CB125">
        <f>MIN(100,CA126+IF(AND(CA126&lt;100,CA127+1&gt;=IF(OR('4-man'!$F$4=TRUE,'4-man'!$F$4="TRUE",'4-man'!$F$4="Yes"),25,50)),10,0)+IF('4-man'!CB$21=$Q$131,25,0))</f>
        <v/>
      </c>
      <c r="CC125">
        <f>MIN(100,CB126+IF(AND(CB126&lt;100,CB127+1&gt;=IF(OR('4-man'!$F$4=TRUE,'4-man'!$F$4="TRUE",'4-man'!$F$4="Yes"),25,50)),10,0)+IF('4-man'!CC$21=$Q$131,25,0))</f>
        <v/>
      </c>
      <c r="CD125">
        <f>MIN(100,CC126+IF(AND(CC126&lt;100,CC127+1&gt;=IF(OR('4-man'!$F$4=TRUE,'4-man'!$F$4="TRUE",'4-man'!$F$4="Yes"),25,50)),10,0)+IF('4-man'!CD$21=$Q$131,25,0))</f>
        <v/>
      </c>
    </row>
    <row r="126">
      <c r="A126" t="inlineStr">
        <is>
          <t>P1 spec</t>
        </is>
      </c>
      <c r="B126">
        <f>IF('4-man'!$C$4="",100,'4-man'!$C$4)</f>
        <v/>
      </c>
      <c r="C126">
        <f>IF('4-man'!C$22="R",MIN(100,C125+10),IF('4-man'!C$22="P",MIN(100,C125+25),IF(AND('4-man'!C$22="D",C125&gt;=35,'4-man'!C$21&lt;=IF('4-man'!$BF$4="",999,'4-man'!$BF$4)),C125-35,IF(AND(LEFT('4-man'!C$22,3)="ST&gt;",C125&gt;=100,'4-man'!C$21&lt;=IF('4-man'!$BF$4="",999,'4-man'!$BF$4)),0,IF(AND(OR(AND('4-man'!C$23="ST&gt;1",C133&gt;=100),AND('4-man'!C$24="ST&gt;1",C141&gt;=100),AND('4-man'!C$25="ST&gt;1",C149&gt;=100)),'4-man'!C$21&lt;=IF('4-man'!$BF$4="",999,'4-man'!$BF$4)),100,C125)))))</f>
        <v/>
      </c>
      <c r="D126">
        <f>IF('4-man'!D$22="R",MIN(100,D125+10),IF('4-man'!D$22="P",MIN(100,D125+25),IF(AND('4-man'!D$22="D",D125&gt;=35,'4-man'!D$21&lt;=IF('4-man'!$BF$4="",999,'4-man'!$BF$4)),D125-35,IF(AND(LEFT('4-man'!D$22,3)="ST&gt;",D125&gt;=100,'4-man'!D$21&lt;=IF('4-man'!$BF$4="",999,'4-man'!$BF$4)),0,IF(AND(OR(AND('4-man'!D$23="ST&gt;1",D133&gt;=100),AND('4-man'!D$24="ST&gt;1",D141&gt;=100),AND('4-man'!D$25="ST&gt;1",D149&gt;=100)),'4-man'!D$21&lt;=IF('4-man'!$BF$4="",999,'4-man'!$BF$4)),100,D125)))))</f>
        <v/>
      </c>
      <c r="E126">
        <f>IF('4-man'!E$22="R",MIN(100,E125+10),IF('4-man'!E$22="P",MIN(100,E125+25),IF(AND('4-man'!E$22="D",E125&gt;=35,'4-man'!E$21&lt;=IF('4-man'!$BF$4="",999,'4-man'!$BF$4)),E125-35,IF(AND(LEFT('4-man'!E$22,3)="ST&gt;",E125&gt;=100,'4-man'!E$21&lt;=IF('4-man'!$BF$4="",999,'4-man'!$BF$4)),0,IF(AND(OR(AND('4-man'!E$23="ST&gt;1",E133&gt;=100),AND('4-man'!E$24="ST&gt;1",E141&gt;=100),AND('4-man'!E$25="ST&gt;1",E149&gt;=100)),'4-man'!E$21&lt;=IF('4-man'!$BF$4="",999,'4-man'!$BF$4)),100,E125)))))</f>
        <v/>
      </c>
      <c r="F126">
        <f>IF('4-man'!F$22="R",MIN(100,F125+10),IF('4-man'!F$22="P",MIN(100,F125+25),IF(AND('4-man'!F$22="D",F125&gt;=35,'4-man'!F$21&lt;=IF('4-man'!$BF$4="",999,'4-man'!$BF$4)),F125-35,IF(AND(LEFT('4-man'!F$22,3)="ST&gt;",F125&gt;=100,'4-man'!F$21&lt;=IF('4-man'!$BF$4="",999,'4-man'!$BF$4)),0,IF(AND(OR(AND('4-man'!F$23="ST&gt;1",F133&gt;=100),AND('4-man'!F$24="ST&gt;1",F141&gt;=100),AND('4-man'!F$25="ST&gt;1",F149&gt;=100)),'4-man'!F$21&lt;=IF('4-man'!$BF$4="",999,'4-man'!$BF$4)),100,F125)))))</f>
        <v/>
      </c>
      <c r="G126">
        <f>IF('4-man'!G$22="R",MIN(100,G125+10),IF('4-man'!G$22="P",MIN(100,G125+25),IF(AND('4-man'!G$22="D",G125&gt;=35,'4-man'!G$21&lt;=IF('4-man'!$BF$4="",999,'4-man'!$BF$4)),G125-35,IF(AND(LEFT('4-man'!G$22,3)="ST&gt;",G125&gt;=100,'4-man'!G$21&lt;=IF('4-man'!$BF$4="",999,'4-man'!$BF$4)),0,IF(AND(OR(AND('4-man'!G$23="ST&gt;1",G133&gt;=100),AND('4-man'!G$24="ST&gt;1",G141&gt;=100),AND('4-man'!G$25="ST&gt;1",G149&gt;=100)),'4-man'!G$21&lt;=IF('4-man'!$BF$4="",999,'4-man'!$BF$4)),100,G125)))))</f>
        <v/>
      </c>
      <c r="H126">
        <f>IF('4-man'!H$22="R",MIN(100,H125+10),IF('4-man'!H$22="P",MIN(100,H125+25),IF(AND('4-man'!H$22="D",H125&gt;=35,'4-man'!H$21&lt;=IF('4-man'!$BF$4="",999,'4-man'!$BF$4)),H125-35,IF(AND(LEFT('4-man'!H$22,3)="ST&gt;",H125&gt;=100,'4-man'!H$21&lt;=IF('4-man'!$BF$4="",999,'4-man'!$BF$4)),0,IF(AND(OR(AND('4-man'!H$23="ST&gt;1",H133&gt;=100),AND('4-man'!H$24="ST&gt;1",H141&gt;=100),AND('4-man'!H$25="ST&gt;1",H149&gt;=100)),'4-man'!H$21&lt;=IF('4-man'!$BF$4="",999,'4-man'!$BF$4)),100,H125)))))</f>
        <v/>
      </c>
      <c r="I126">
        <f>IF('4-man'!I$22="R",MIN(100,I125+10),IF('4-man'!I$22="P",MIN(100,I125+25),IF(AND('4-man'!I$22="D",I125&gt;=35,'4-man'!I$21&lt;=IF('4-man'!$BF$4="",999,'4-man'!$BF$4)),I125-35,IF(AND(LEFT('4-man'!I$22,3)="ST&gt;",I125&gt;=100,'4-man'!I$21&lt;=IF('4-man'!$BF$4="",999,'4-man'!$BF$4)),0,IF(AND(OR(AND('4-man'!I$23="ST&gt;1",I133&gt;=100),AND('4-man'!I$24="ST&gt;1",I141&gt;=100),AND('4-man'!I$25="ST&gt;1",I149&gt;=100)),'4-man'!I$21&lt;=IF('4-man'!$BF$4="",999,'4-man'!$BF$4)),100,I125)))))</f>
        <v/>
      </c>
      <c r="J126">
        <f>IF('4-man'!J$22="R",MIN(100,J125+10),IF('4-man'!J$22="P",MIN(100,J125+25),IF(AND('4-man'!J$22="D",J125&gt;=35,'4-man'!J$21&lt;=IF('4-man'!$BF$4="",999,'4-man'!$BF$4)),J125-35,IF(AND(LEFT('4-man'!J$22,3)="ST&gt;",J125&gt;=100,'4-man'!J$21&lt;=IF('4-man'!$BF$4="",999,'4-man'!$BF$4)),0,IF(AND(OR(AND('4-man'!J$23="ST&gt;1",J133&gt;=100),AND('4-man'!J$24="ST&gt;1",J141&gt;=100),AND('4-man'!J$25="ST&gt;1",J149&gt;=100)),'4-man'!J$21&lt;=IF('4-man'!$BF$4="",999,'4-man'!$BF$4)),100,J125)))))</f>
        <v/>
      </c>
      <c r="K126">
        <f>IF('4-man'!K$22="R",MIN(100,K125+10),IF('4-man'!K$22="P",MIN(100,K125+25),IF(AND('4-man'!K$22="D",K125&gt;=35,'4-man'!K$21&lt;=IF('4-man'!$BF$4="",999,'4-man'!$BF$4)),K125-35,IF(AND(LEFT('4-man'!K$22,3)="ST&gt;",K125&gt;=100,'4-man'!K$21&lt;=IF('4-man'!$BF$4="",999,'4-man'!$BF$4)),0,IF(AND(OR(AND('4-man'!K$23="ST&gt;1",K133&gt;=100),AND('4-man'!K$24="ST&gt;1",K141&gt;=100),AND('4-man'!K$25="ST&gt;1",K149&gt;=100)),'4-man'!K$21&lt;=IF('4-man'!$BF$4="",999,'4-man'!$BF$4)),100,K125)))))</f>
        <v/>
      </c>
      <c r="L126">
        <f>IF('4-man'!L$22="R",MIN(100,L125+10),IF('4-man'!L$22="P",MIN(100,L125+25),IF(AND('4-man'!L$22="D",L125&gt;=35,'4-man'!L$21&lt;=IF('4-man'!$BF$4="",999,'4-man'!$BF$4)),L125-35,IF(AND(LEFT('4-man'!L$22,3)="ST&gt;",L125&gt;=100,'4-man'!L$21&lt;=IF('4-man'!$BF$4="",999,'4-man'!$BF$4)),0,IF(AND(OR(AND('4-man'!L$23="ST&gt;1",L133&gt;=100),AND('4-man'!L$24="ST&gt;1",L141&gt;=100),AND('4-man'!L$25="ST&gt;1",L149&gt;=100)),'4-man'!L$21&lt;=IF('4-man'!$BF$4="",999,'4-man'!$BF$4)),100,L125)))))</f>
        <v/>
      </c>
      <c r="M126">
        <f>IF('4-man'!M$22="R",MIN(100,M125+10),IF('4-man'!M$22="P",MIN(100,M125+25),IF(AND('4-man'!M$22="D",M125&gt;=35,'4-man'!M$21&lt;=IF('4-man'!$BF$4="",999,'4-man'!$BF$4)),M125-35,IF(AND(LEFT('4-man'!M$22,3)="ST&gt;",M125&gt;=100,'4-man'!M$21&lt;=IF('4-man'!$BF$4="",999,'4-man'!$BF$4)),0,IF(AND(OR(AND('4-man'!M$23="ST&gt;1",M133&gt;=100),AND('4-man'!M$24="ST&gt;1",M141&gt;=100),AND('4-man'!M$25="ST&gt;1",M149&gt;=100)),'4-man'!M$21&lt;=IF('4-man'!$BF$4="",999,'4-man'!$BF$4)),100,M125)))))</f>
        <v/>
      </c>
      <c r="N126">
        <f>IF('4-man'!N$22="R",MIN(100,N125+10),IF('4-man'!N$22="P",MIN(100,N125+25),IF(AND('4-man'!N$22="D",N125&gt;=35,'4-man'!N$21&lt;=IF('4-man'!$BF$4="",999,'4-man'!$BF$4)),N125-35,IF(AND(LEFT('4-man'!N$22,3)="ST&gt;",N125&gt;=100,'4-man'!N$21&lt;=IF('4-man'!$BF$4="",999,'4-man'!$BF$4)),0,IF(AND(OR(AND('4-man'!N$23="ST&gt;1",N133&gt;=100),AND('4-man'!N$24="ST&gt;1",N141&gt;=100),AND('4-man'!N$25="ST&gt;1",N149&gt;=100)),'4-man'!N$21&lt;=IF('4-man'!$BF$4="",999,'4-man'!$BF$4)),100,N125)))))</f>
        <v/>
      </c>
      <c r="O126">
        <f>IF('4-man'!O$22="R",MIN(100,O125+10),IF('4-man'!O$22="P",MIN(100,O125+25),IF(AND('4-man'!O$22="D",O125&gt;=35,'4-man'!O$21&lt;=IF('4-man'!$BF$4="",999,'4-man'!$BF$4)),O125-35,IF(AND(LEFT('4-man'!O$22,3)="ST&gt;",O125&gt;=100,'4-man'!O$21&lt;=IF('4-man'!$BF$4="",999,'4-man'!$BF$4)),0,IF(AND(OR(AND('4-man'!O$23="ST&gt;1",O133&gt;=100),AND('4-man'!O$24="ST&gt;1",O141&gt;=100),AND('4-man'!O$25="ST&gt;1",O149&gt;=100)),'4-man'!O$21&lt;=IF('4-man'!$BF$4="",999,'4-man'!$BF$4)),100,O125)))))</f>
        <v/>
      </c>
      <c r="P126">
        <f>IF('4-man'!P$22="R",MIN(100,P125+10),IF('4-man'!P$22="P",MIN(100,P125+25),IF(AND('4-man'!P$22="D",P125&gt;=35,'4-man'!P$21&lt;=IF('4-man'!$BF$4="",999,'4-man'!$BF$4)),P125-35,IF(AND(LEFT('4-man'!P$22,3)="ST&gt;",P125&gt;=100,'4-man'!P$21&lt;=IF('4-man'!$BF$4="",999,'4-man'!$BF$4)),0,IF(AND(OR(AND('4-man'!P$23="ST&gt;1",P133&gt;=100),AND('4-man'!P$24="ST&gt;1",P141&gt;=100),AND('4-man'!P$25="ST&gt;1",P149&gt;=100)),'4-man'!P$21&lt;=IF('4-man'!$BF$4="",999,'4-man'!$BF$4)),100,P125)))))</f>
        <v/>
      </c>
      <c r="Q126">
        <f>IF('4-man'!Q$22="R",MIN(100,Q125+10),IF('4-man'!Q$22="P",MIN(100,Q125+25),IF(AND('4-man'!Q$22="D",Q125&gt;=35,'4-man'!Q$21&lt;=IF('4-man'!$BF$4="",999,'4-man'!$BF$4)),Q125-35,IF(AND(LEFT('4-man'!Q$22,3)="ST&gt;",Q125&gt;=100,'4-man'!Q$21&lt;=IF('4-man'!$BF$4="",999,'4-man'!$BF$4)),0,IF(AND(OR(AND('4-man'!Q$23="ST&gt;1",Q133&gt;=100),AND('4-man'!Q$24="ST&gt;1",Q141&gt;=100),AND('4-man'!Q$25="ST&gt;1",Q149&gt;=100)),'4-man'!Q$21&lt;=IF('4-man'!$BF$4="",999,'4-man'!$BF$4)),100,Q125)))))</f>
        <v/>
      </c>
      <c r="R126">
        <f>IF('4-man'!R$22="R",MIN(100,R125+10),IF('4-man'!R$22="P",MIN(100,R125+25),IF(AND('4-man'!R$22="D",R125&gt;=35,'4-man'!R$21&lt;=IF('4-man'!$BF$4="",999,'4-man'!$BF$4)),R125-35,IF(AND(LEFT('4-man'!R$22,3)="ST&gt;",R125&gt;=100,'4-man'!R$21&lt;=IF('4-man'!$BF$4="",999,'4-man'!$BF$4)),0,IF(AND(OR(AND('4-man'!R$23="ST&gt;1",R133&gt;=100),AND('4-man'!R$24="ST&gt;1",R141&gt;=100),AND('4-man'!R$25="ST&gt;1",R149&gt;=100)),'4-man'!R$21&lt;=IF('4-man'!$BF$4="",999,'4-man'!$BF$4)),100,R125)))))</f>
        <v/>
      </c>
      <c r="S126">
        <f>IF('4-man'!S$22="R",MIN(100,S125+10),IF('4-man'!S$22="P",MIN(100,S125+25),IF(AND('4-man'!S$22="D",S125&gt;=35,'4-man'!S$21&lt;=IF('4-man'!$BF$4="",999,'4-man'!$BF$4)),S125-35,IF(AND(LEFT('4-man'!S$22,3)="ST&gt;",S125&gt;=100,'4-man'!S$21&lt;=IF('4-man'!$BF$4="",999,'4-man'!$BF$4)),0,IF(AND(OR(AND('4-man'!S$23="ST&gt;1",S133&gt;=100),AND('4-man'!S$24="ST&gt;1",S141&gt;=100),AND('4-man'!S$25="ST&gt;1",S149&gt;=100)),'4-man'!S$21&lt;=IF('4-man'!$BF$4="",999,'4-man'!$BF$4)),100,S125)))))</f>
        <v/>
      </c>
      <c r="T126">
        <f>IF('4-man'!T$22="R",MIN(100,T125+10),IF('4-man'!T$22="P",MIN(100,T125+25),IF(AND('4-man'!T$22="D",T125&gt;=35,'4-man'!T$21&lt;=IF('4-man'!$BF$4="",999,'4-man'!$BF$4)),T125-35,IF(AND(LEFT('4-man'!T$22,3)="ST&gt;",T125&gt;=100,'4-man'!T$21&lt;=IF('4-man'!$BF$4="",999,'4-man'!$BF$4)),0,IF(AND(OR(AND('4-man'!T$23="ST&gt;1",T133&gt;=100),AND('4-man'!T$24="ST&gt;1",T141&gt;=100),AND('4-man'!T$25="ST&gt;1",T149&gt;=100)),'4-man'!T$21&lt;=IF('4-man'!$BF$4="",999,'4-man'!$BF$4)),100,T125)))))</f>
        <v/>
      </c>
      <c r="U126">
        <f>IF('4-man'!U$22="R",MIN(100,U125+10),IF('4-man'!U$22="P",MIN(100,U125+25),IF(AND('4-man'!U$22="D",U125&gt;=35,'4-man'!U$21&lt;=IF('4-man'!$BF$4="",999,'4-man'!$BF$4)),U125-35,IF(AND(LEFT('4-man'!U$22,3)="ST&gt;",U125&gt;=100,'4-man'!U$21&lt;=IF('4-man'!$BF$4="",999,'4-man'!$BF$4)),0,IF(AND(OR(AND('4-man'!U$23="ST&gt;1",U133&gt;=100),AND('4-man'!U$24="ST&gt;1",U141&gt;=100),AND('4-man'!U$25="ST&gt;1",U149&gt;=100)),'4-man'!U$21&lt;=IF('4-man'!$BF$4="",999,'4-man'!$BF$4)),100,U125)))))</f>
        <v/>
      </c>
      <c r="V126">
        <f>IF('4-man'!V$22="R",MIN(100,V125+10),IF('4-man'!V$22="P",MIN(100,V125+25),IF(AND('4-man'!V$22="D",V125&gt;=35,'4-man'!V$21&lt;=IF('4-man'!$BF$4="",999,'4-man'!$BF$4)),V125-35,IF(AND(LEFT('4-man'!V$22,3)="ST&gt;",V125&gt;=100,'4-man'!V$21&lt;=IF('4-man'!$BF$4="",999,'4-man'!$BF$4)),0,IF(AND(OR(AND('4-man'!V$23="ST&gt;1",V133&gt;=100),AND('4-man'!V$24="ST&gt;1",V141&gt;=100),AND('4-man'!V$25="ST&gt;1",V149&gt;=100)),'4-man'!V$21&lt;=IF('4-man'!$BF$4="",999,'4-man'!$BF$4)),100,V125)))))</f>
        <v/>
      </c>
      <c r="W126">
        <f>IF('4-man'!W$22="R",MIN(100,W125+10),IF('4-man'!W$22="P",MIN(100,W125+25),IF(AND('4-man'!W$22="D",W125&gt;=35,'4-man'!W$21&lt;=IF('4-man'!$BF$4="",999,'4-man'!$BF$4)),W125-35,IF(AND(LEFT('4-man'!W$22,3)="ST&gt;",W125&gt;=100,'4-man'!W$21&lt;=IF('4-man'!$BF$4="",999,'4-man'!$BF$4)),0,IF(AND(OR(AND('4-man'!W$23="ST&gt;1",W133&gt;=100),AND('4-man'!W$24="ST&gt;1",W141&gt;=100),AND('4-man'!W$25="ST&gt;1",W149&gt;=100)),'4-man'!W$21&lt;=IF('4-man'!$BF$4="",999,'4-man'!$BF$4)),100,W125)))))</f>
        <v/>
      </c>
      <c r="X126">
        <f>IF('4-man'!X$22="R",MIN(100,X125+10),IF('4-man'!X$22="P",MIN(100,X125+25),IF(AND('4-man'!X$22="D",X125&gt;=35,'4-man'!X$21&lt;=IF('4-man'!$BF$4="",999,'4-man'!$BF$4)),X125-35,IF(AND(LEFT('4-man'!X$22,3)="ST&gt;",X125&gt;=100,'4-man'!X$21&lt;=IF('4-man'!$BF$4="",999,'4-man'!$BF$4)),0,IF(AND(OR(AND('4-man'!X$23="ST&gt;1",X133&gt;=100),AND('4-man'!X$24="ST&gt;1",X141&gt;=100),AND('4-man'!X$25="ST&gt;1",X149&gt;=100)),'4-man'!X$21&lt;=IF('4-man'!$BF$4="",999,'4-man'!$BF$4)),100,X125)))))</f>
        <v/>
      </c>
      <c r="Y126">
        <f>IF('4-man'!Y$22="R",MIN(100,Y125+10),IF('4-man'!Y$22="P",MIN(100,Y125+25),IF(AND('4-man'!Y$22="D",Y125&gt;=35,'4-man'!Y$21&lt;=IF('4-man'!$BF$4="",999,'4-man'!$BF$4)),Y125-35,IF(AND(LEFT('4-man'!Y$22,3)="ST&gt;",Y125&gt;=100,'4-man'!Y$21&lt;=IF('4-man'!$BF$4="",999,'4-man'!$BF$4)),0,IF(AND(OR(AND('4-man'!Y$23="ST&gt;1",Y133&gt;=100),AND('4-man'!Y$24="ST&gt;1",Y141&gt;=100),AND('4-man'!Y$25="ST&gt;1",Y149&gt;=100)),'4-man'!Y$21&lt;=IF('4-man'!$BF$4="",999,'4-man'!$BF$4)),100,Y125)))))</f>
        <v/>
      </c>
      <c r="Z126">
        <f>IF('4-man'!Z$22="R",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4-man'!AA$22="R",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4-man'!AB$22="R",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4-man'!AC$22="R",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4-man'!AD$22="R",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4-man'!AE$22="R",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4-man'!AF$22="R",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4-man'!AG$22="R",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4-man'!AH$22="R",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4-man'!AI$22="R",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4-man'!AJ$22="R",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4-man'!AK$22="R",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4-man'!AL$22="R",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4-man'!AM$22="R",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4-man'!AN$22="R",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4-man'!AO$22="R",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4-man'!AP$22="R",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4-man'!AQ$22="R",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4-man'!AR$22="R",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4-man'!AS$22="R",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4-man'!AT$22="R",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4-man'!AU$22="R",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4-man'!AV$22="R",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4-man'!AW$22="R",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4-man'!AX$22="R",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4-man'!AY$22="R",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4-man'!AZ$22="R",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4-man'!BA$22="R",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4-man'!BB$22="R",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4-man'!BC$22="R",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4-man'!BD$22="R",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4-man'!BE$22="R",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4-man'!BF$22="R",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4-man'!BG$22="R",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4-man'!BH$22="R",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4-man'!BI$22="R",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4-man'!BJ$22="R",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4-man'!BK$22="R",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4-man'!BL$22="R",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4-man'!BM$22="R",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4-man'!BN$22="R",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4-man'!BO$22="R",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4-man'!BP$22="R",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4-man'!BQ$22="R",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4-man'!BR$22="R",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4-man'!BS$22="R",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4-man'!BT$22="R",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4-man'!BU$22="R",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4-man'!BV$22="R",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4-man'!BW$22="R",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4-man'!BX$22="R",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4-man'!BY$22="R",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4-man'!BZ$22="R",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4-man'!CA$22="R",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4-man'!CB$22="R",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4-man'!CC$22="R",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4-man'!CD$22="R",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IF('4-man'!C$22="R",0,IF(B126&gt;=100,0,IF(B127+1&gt;=IF(OR('4-man'!$F$4=TRUE,'4-man'!$F$4="TRUE",'4-man'!$F$4="Yes"),25,50),0,B127+1)))</f>
        <v/>
      </c>
      <c r="D127">
        <f>IF('4-man'!D$22="R",0,IF(C126&gt;=100,0,IF(C127+1&gt;=IF(OR('4-man'!$F$4=TRUE,'4-man'!$F$4="TRUE",'4-man'!$F$4="Yes"),25,50),0,C127+1)))</f>
        <v/>
      </c>
      <c r="E127">
        <f>IF('4-man'!E$22="R",0,IF(D126&gt;=100,0,IF(D127+1&gt;=IF(OR('4-man'!$F$4=TRUE,'4-man'!$F$4="TRUE",'4-man'!$F$4="Yes"),25,50),0,D127+1)))</f>
        <v/>
      </c>
      <c r="F127">
        <f>IF('4-man'!F$22="R",0,IF(E126&gt;=100,0,IF(E127+1&gt;=IF(OR('4-man'!$F$4=TRUE,'4-man'!$F$4="TRUE",'4-man'!$F$4="Yes"),25,50),0,E127+1)))</f>
        <v/>
      </c>
      <c r="G127">
        <f>IF('4-man'!G$22="R",0,IF(F126&gt;=100,0,IF(F127+1&gt;=IF(OR('4-man'!$F$4=TRUE,'4-man'!$F$4="TRUE",'4-man'!$F$4="Yes"),25,50),0,F127+1)))</f>
        <v/>
      </c>
      <c r="H127">
        <f>IF('4-man'!H$22="R",0,IF(G126&gt;=100,0,IF(G127+1&gt;=IF(OR('4-man'!$F$4=TRUE,'4-man'!$F$4="TRUE",'4-man'!$F$4="Yes"),25,50),0,G127+1)))</f>
        <v/>
      </c>
      <c r="I127">
        <f>IF('4-man'!I$22="R",0,IF(H126&gt;=100,0,IF(H127+1&gt;=IF(OR('4-man'!$F$4=TRUE,'4-man'!$F$4="TRUE",'4-man'!$F$4="Yes"),25,50),0,H127+1)))</f>
        <v/>
      </c>
      <c r="J127">
        <f>IF('4-man'!J$22="R",0,IF(I126&gt;=100,0,IF(I127+1&gt;=IF(OR('4-man'!$F$4=TRUE,'4-man'!$F$4="TRUE",'4-man'!$F$4="Yes"),25,50),0,I127+1)))</f>
        <v/>
      </c>
      <c r="K127">
        <f>IF('4-man'!K$22="R",0,IF(J126&gt;=100,0,IF(J127+1&gt;=IF(OR('4-man'!$F$4=TRUE,'4-man'!$F$4="TRUE",'4-man'!$F$4="Yes"),25,50),0,J127+1)))</f>
        <v/>
      </c>
      <c r="L127">
        <f>IF('4-man'!L$22="R",0,IF(K126&gt;=100,0,IF(K127+1&gt;=IF(OR('4-man'!$F$4=TRUE,'4-man'!$F$4="TRUE",'4-man'!$F$4="Yes"),25,50),0,K127+1)))</f>
        <v/>
      </c>
      <c r="M127">
        <f>IF('4-man'!M$22="R",0,IF(L126&gt;=100,0,IF(L127+1&gt;=IF(OR('4-man'!$F$4=TRUE,'4-man'!$F$4="TRUE",'4-man'!$F$4="Yes"),25,50),0,L127+1)))</f>
        <v/>
      </c>
      <c r="N127">
        <f>IF('4-man'!N$22="R",0,IF(M126&gt;=100,0,IF(M127+1&gt;=IF(OR('4-man'!$F$4=TRUE,'4-man'!$F$4="TRUE",'4-man'!$F$4="Yes"),25,50),0,M127+1)))</f>
        <v/>
      </c>
      <c r="O127">
        <f>IF('4-man'!O$22="R",0,IF(N126&gt;=100,0,IF(N127+1&gt;=IF(OR('4-man'!$F$4=TRUE,'4-man'!$F$4="TRUE",'4-man'!$F$4="Yes"),25,50),0,N127+1)))</f>
        <v/>
      </c>
      <c r="P127">
        <f>IF('4-man'!P$22="R",0,IF(O126&gt;=100,0,IF(O127+1&gt;=IF(OR('4-man'!$F$4=TRUE,'4-man'!$F$4="TRUE",'4-man'!$F$4="Yes"),25,50),0,O127+1)))</f>
        <v/>
      </c>
      <c r="Q127">
        <f>IF('4-man'!Q$22="R",0,IF(P126&gt;=100,0,IF(P127+1&gt;=IF(OR('4-man'!$F$4=TRUE,'4-man'!$F$4="TRUE",'4-man'!$F$4="Yes"),25,50),0,P127+1)))</f>
        <v/>
      </c>
      <c r="R127">
        <f>IF('4-man'!R$22="R",0,IF(Q126&gt;=100,0,IF(Q127+1&gt;=IF(OR('4-man'!$F$4=TRUE,'4-man'!$F$4="TRUE",'4-man'!$F$4="Yes"),25,50),0,Q127+1)))</f>
        <v/>
      </c>
      <c r="S127">
        <f>IF('4-man'!S$22="R",0,IF(R126&gt;=100,0,IF(R127+1&gt;=IF(OR('4-man'!$F$4=TRUE,'4-man'!$F$4="TRUE",'4-man'!$F$4="Yes"),25,50),0,R127+1)))</f>
        <v/>
      </c>
      <c r="T127">
        <f>IF('4-man'!T$22="R",0,IF(S126&gt;=100,0,IF(S127+1&gt;=IF(OR('4-man'!$F$4=TRUE,'4-man'!$F$4="TRUE",'4-man'!$F$4="Yes"),25,50),0,S127+1)))</f>
        <v/>
      </c>
      <c r="U127">
        <f>IF('4-man'!U$22="R",0,IF(T126&gt;=100,0,IF(T127+1&gt;=IF(OR('4-man'!$F$4=TRUE,'4-man'!$F$4="TRUE",'4-man'!$F$4="Yes"),25,50),0,T127+1)))</f>
        <v/>
      </c>
      <c r="V127">
        <f>IF('4-man'!V$22="R",0,IF(U126&gt;=100,0,IF(U127+1&gt;=IF(OR('4-man'!$F$4=TRUE,'4-man'!$F$4="TRUE",'4-man'!$F$4="Yes"),25,50),0,U127+1)))</f>
        <v/>
      </c>
      <c r="W127">
        <f>IF('4-man'!W$22="R",0,IF(V126&gt;=100,0,IF(V127+1&gt;=IF(OR('4-man'!$F$4=TRUE,'4-man'!$F$4="TRUE",'4-man'!$F$4="Yes"),25,50),0,V127+1)))</f>
        <v/>
      </c>
      <c r="X127">
        <f>IF('4-man'!X$22="R",0,IF(W126&gt;=100,0,IF(W127+1&gt;=IF(OR('4-man'!$F$4=TRUE,'4-man'!$F$4="TRUE",'4-man'!$F$4="Yes"),25,50),0,W127+1)))</f>
        <v/>
      </c>
      <c r="Y127">
        <f>IF('4-man'!Y$22="R",0,IF(X126&gt;=100,0,IF(X127+1&gt;=IF(OR('4-man'!$F$4=TRUE,'4-man'!$F$4="TRUE",'4-man'!$F$4="Yes"),25,50),0,X127+1)))</f>
        <v/>
      </c>
      <c r="Z127">
        <f>IF('4-man'!Z$22="R",0,IF(Y126&gt;=100,0,IF(Y127+1&gt;=IF(OR('4-man'!$F$4=TRUE,'4-man'!$F$4="TRUE",'4-man'!$F$4="Yes"),25,50),0,Y127+1)))</f>
        <v/>
      </c>
      <c r="AA127">
        <f>IF('4-man'!AA$22="R",0,IF(Z126&gt;=100,0,IF(Z127+1&gt;=IF(OR('4-man'!$F$4=TRUE,'4-man'!$F$4="TRUE",'4-man'!$F$4="Yes"),25,50),0,Z127+1)))</f>
        <v/>
      </c>
      <c r="AB127">
        <f>IF('4-man'!AB$22="R",0,IF(AA126&gt;=100,0,IF(AA127+1&gt;=IF(OR('4-man'!$F$4=TRUE,'4-man'!$F$4="TRUE",'4-man'!$F$4="Yes"),25,50),0,AA127+1)))</f>
        <v/>
      </c>
      <c r="AC127">
        <f>IF('4-man'!AC$22="R",0,IF(AB126&gt;=100,0,IF(AB127+1&gt;=IF(OR('4-man'!$F$4=TRUE,'4-man'!$F$4="TRUE",'4-man'!$F$4="Yes"),25,50),0,AB127+1)))</f>
        <v/>
      </c>
      <c r="AD127">
        <f>IF('4-man'!AD$22="R",0,IF(AC126&gt;=100,0,IF(AC127+1&gt;=IF(OR('4-man'!$F$4=TRUE,'4-man'!$F$4="TRUE",'4-man'!$F$4="Yes"),25,50),0,AC127+1)))</f>
        <v/>
      </c>
      <c r="AE127">
        <f>IF('4-man'!AE$22="R",0,IF(AD126&gt;=100,0,IF(AD127+1&gt;=IF(OR('4-man'!$F$4=TRUE,'4-man'!$F$4="TRUE",'4-man'!$F$4="Yes"),25,50),0,AD127+1)))</f>
        <v/>
      </c>
      <c r="AF127">
        <f>IF('4-man'!AF$22="R",0,IF(AE126&gt;=100,0,IF(AE127+1&gt;=IF(OR('4-man'!$F$4=TRUE,'4-man'!$F$4="TRUE",'4-man'!$F$4="Yes"),25,50),0,AE127+1)))</f>
        <v/>
      </c>
      <c r="AG127">
        <f>IF('4-man'!AG$22="R",0,IF(AF126&gt;=100,0,IF(AF127+1&gt;=IF(OR('4-man'!$F$4=TRUE,'4-man'!$F$4="TRUE",'4-man'!$F$4="Yes"),25,50),0,AF127+1)))</f>
        <v/>
      </c>
      <c r="AH127">
        <f>IF('4-man'!AH$22="R",0,IF(AG126&gt;=100,0,IF(AG127+1&gt;=IF(OR('4-man'!$F$4=TRUE,'4-man'!$F$4="TRUE",'4-man'!$F$4="Yes"),25,50),0,AG127+1)))</f>
        <v/>
      </c>
      <c r="AI127">
        <f>IF('4-man'!AI$22="R",0,IF(AH126&gt;=100,0,IF(AH127+1&gt;=IF(OR('4-man'!$F$4=TRUE,'4-man'!$F$4="TRUE",'4-man'!$F$4="Yes"),25,50),0,AH127+1)))</f>
        <v/>
      </c>
      <c r="AJ127">
        <f>IF('4-man'!AJ$22="R",0,IF(AI126&gt;=100,0,IF(AI127+1&gt;=IF(OR('4-man'!$F$4=TRUE,'4-man'!$F$4="TRUE",'4-man'!$F$4="Yes"),25,50),0,AI127+1)))</f>
        <v/>
      </c>
      <c r="AK127">
        <f>IF('4-man'!AK$22="R",0,IF(AJ126&gt;=100,0,IF(AJ127+1&gt;=IF(OR('4-man'!$F$4=TRUE,'4-man'!$F$4="TRUE",'4-man'!$F$4="Yes"),25,50),0,AJ127+1)))</f>
        <v/>
      </c>
      <c r="AL127">
        <f>IF('4-man'!AL$22="R",0,IF(AK126&gt;=100,0,IF(AK127+1&gt;=IF(OR('4-man'!$F$4=TRUE,'4-man'!$F$4="TRUE",'4-man'!$F$4="Yes"),25,50),0,AK127+1)))</f>
        <v/>
      </c>
      <c r="AM127">
        <f>IF('4-man'!AM$22="R",0,IF(AL126&gt;=100,0,IF(AL127+1&gt;=IF(OR('4-man'!$F$4=TRUE,'4-man'!$F$4="TRUE",'4-man'!$F$4="Yes"),25,50),0,AL127+1)))</f>
        <v/>
      </c>
      <c r="AN127">
        <f>IF('4-man'!AN$22="R",0,IF(AM126&gt;=100,0,IF(AM127+1&gt;=IF(OR('4-man'!$F$4=TRUE,'4-man'!$F$4="TRUE",'4-man'!$F$4="Yes"),25,50),0,AM127+1)))</f>
        <v/>
      </c>
      <c r="AO127">
        <f>IF('4-man'!AO$22="R",0,IF(AN126&gt;=100,0,IF(AN127+1&gt;=IF(OR('4-man'!$F$4=TRUE,'4-man'!$F$4="TRUE",'4-man'!$F$4="Yes"),25,50),0,AN127+1)))</f>
        <v/>
      </c>
      <c r="AP127">
        <f>IF('4-man'!AP$22="R",0,IF(AO126&gt;=100,0,IF(AO127+1&gt;=IF(OR('4-man'!$F$4=TRUE,'4-man'!$F$4="TRUE",'4-man'!$F$4="Yes"),25,50),0,AO127+1)))</f>
        <v/>
      </c>
      <c r="AQ127">
        <f>IF('4-man'!AQ$22="R",0,IF(AP126&gt;=100,0,IF(AP127+1&gt;=IF(OR('4-man'!$F$4=TRUE,'4-man'!$F$4="TRUE",'4-man'!$F$4="Yes"),25,50),0,AP127+1)))</f>
        <v/>
      </c>
      <c r="AR127">
        <f>IF('4-man'!AR$22="R",0,IF(AQ126&gt;=100,0,IF(AQ127+1&gt;=IF(OR('4-man'!$F$4=TRUE,'4-man'!$F$4="TRUE",'4-man'!$F$4="Yes"),25,50),0,AQ127+1)))</f>
        <v/>
      </c>
      <c r="AS127">
        <f>IF('4-man'!AS$22="R",0,IF(AR126&gt;=100,0,IF(AR127+1&gt;=IF(OR('4-man'!$F$4=TRUE,'4-man'!$F$4="TRUE",'4-man'!$F$4="Yes"),25,50),0,AR127+1)))</f>
        <v/>
      </c>
      <c r="AT127">
        <f>IF('4-man'!AT$22="R",0,IF(AS126&gt;=100,0,IF(AS127+1&gt;=IF(OR('4-man'!$F$4=TRUE,'4-man'!$F$4="TRUE",'4-man'!$F$4="Yes"),25,50),0,AS127+1)))</f>
        <v/>
      </c>
      <c r="AU127">
        <f>IF('4-man'!AU$22="R",0,IF(AT126&gt;=100,0,IF(AT127+1&gt;=IF(OR('4-man'!$F$4=TRUE,'4-man'!$F$4="TRUE",'4-man'!$F$4="Yes"),25,50),0,AT127+1)))</f>
        <v/>
      </c>
      <c r="AV127">
        <f>IF('4-man'!AV$22="R",0,IF(AU126&gt;=100,0,IF(AU127+1&gt;=IF(OR('4-man'!$F$4=TRUE,'4-man'!$F$4="TRUE",'4-man'!$F$4="Yes"),25,50),0,AU127+1)))</f>
        <v/>
      </c>
      <c r="AW127">
        <f>IF('4-man'!AW$22="R",0,IF(AV126&gt;=100,0,IF(AV127+1&gt;=IF(OR('4-man'!$F$4=TRUE,'4-man'!$F$4="TRUE",'4-man'!$F$4="Yes"),25,50),0,AV127+1)))</f>
        <v/>
      </c>
      <c r="AX127">
        <f>IF('4-man'!AX$22="R",0,IF(AW126&gt;=100,0,IF(AW127+1&gt;=IF(OR('4-man'!$F$4=TRUE,'4-man'!$F$4="TRUE",'4-man'!$F$4="Yes"),25,50),0,AW127+1)))</f>
        <v/>
      </c>
      <c r="AY127">
        <f>IF('4-man'!AY$22="R",0,IF(AX126&gt;=100,0,IF(AX127+1&gt;=IF(OR('4-man'!$F$4=TRUE,'4-man'!$F$4="TRUE",'4-man'!$F$4="Yes"),25,50),0,AX127+1)))</f>
        <v/>
      </c>
      <c r="AZ127">
        <f>IF('4-man'!AZ$22="R",0,IF(AY126&gt;=100,0,IF(AY127+1&gt;=IF(OR('4-man'!$F$4=TRUE,'4-man'!$F$4="TRUE",'4-man'!$F$4="Yes"),25,50),0,AY127+1)))</f>
        <v/>
      </c>
      <c r="BA127">
        <f>IF('4-man'!BA$22="R",0,IF(AZ126&gt;=100,0,IF(AZ127+1&gt;=IF(OR('4-man'!$F$4=TRUE,'4-man'!$F$4="TRUE",'4-man'!$F$4="Yes"),25,50),0,AZ127+1)))</f>
        <v/>
      </c>
      <c r="BB127">
        <f>IF('4-man'!BB$22="R",0,IF(BA126&gt;=100,0,IF(BA127+1&gt;=IF(OR('4-man'!$F$4=TRUE,'4-man'!$F$4="TRUE",'4-man'!$F$4="Yes"),25,50),0,BA127+1)))</f>
        <v/>
      </c>
      <c r="BC127">
        <f>IF('4-man'!BC$22="R",0,IF(BB126&gt;=100,0,IF(BB127+1&gt;=IF(OR('4-man'!$F$4=TRUE,'4-man'!$F$4="TRUE",'4-man'!$F$4="Yes"),25,50),0,BB127+1)))</f>
        <v/>
      </c>
      <c r="BD127">
        <f>IF('4-man'!BD$22="R",0,IF(BC126&gt;=100,0,IF(BC127+1&gt;=IF(OR('4-man'!$F$4=TRUE,'4-man'!$F$4="TRUE",'4-man'!$F$4="Yes"),25,50),0,BC127+1)))</f>
        <v/>
      </c>
      <c r="BE127">
        <f>IF('4-man'!BE$22="R",0,IF(BD126&gt;=100,0,IF(BD127+1&gt;=IF(OR('4-man'!$F$4=TRUE,'4-man'!$F$4="TRUE",'4-man'!$F$4="Yes"),25,50),0,BD127+1)))</f>
        <v/>
      </c>
      <c r="BF127">
        <f>IF('4-man'!BF$22="R",0,IF(BE126&gt;=100,0,IF(BE127+1&gt;=IF(OR('4-man'!$F$4=TRUE,'4-man'!$F$4="TRUE",'4-man'!$F$4="Yes"),25,50),0,BE127+1)))</f>
        <v/>
      </c>
      <c r="BG127">
        <f>IF('4-man'!BG$22="R",0,IF(BF126&gt;=100,0,IF(BF127+1&gt;=IF(OR('4-man'!$F$4=TRUE,'4-man'!$F$4="TRUE",'4-man'!$F$4="Yes"),25,50),0,BF127+1)))</f>
        <v/>
      </c>
      <c r="BH127">
        <f>IF('4-man'!BH$22="R",0,IF(BG126&gt;=100,0,IF(BG127+1&gt;=IF(OR('4-man'!$F$4=TRUE,'4-man'!$F$4="TRUE",'4-man'!$F$4="Yes"),25,50),0,BG127+1)))</f>
        <v/>
      </c>
      <c r="BI127">
        <f>IF('4-man'!BI$22="R",0,IF(BH126&gt;=100,0,IF(BH127+1&gt;=IF(OR('4-man'!$F$4=TRUE,'4-man'!$F$4="TRUE",'4-man'!$F$4="Yes"),25,50),0,BH127+1)))</f>
        <v/>
      </c>
      <c r="BJ127">
        <f>IF('4-man'!BJ$22="R",0,IF(BI126&gt;=100,0,IF(BI127+1&gt;=IF(OR('4-man'!$F$4=TRUE,'4-man'!$F$4="TRUE",'4-man'!$F$4="Yes"),25,50),0,BI127+1)))</f>
        <v/>
      </c>
      <c r="BK127">
        <f>IF('4-man'!BK$22="R",0,IF(BJ126&gt;=100,0,IF(BJ127+1&gt;=IF(OR('4-man'!$F$4=TRUE,'4-man'!$F$4="TRUE",'4-man'!$F$4="Yes"),25,50),0,BJ127+1)))</f>
        <v/>
      </c>
      <c r="BL127">
        <f>IF('4-man'!BL$22="R",0,IF(BK126&gt;=100,0,IF(BK127+1&gt;=IF(OR('4-man'!$F$4=TRUE,'4-man'!$F$4="TRUE",'4-man'!$F$4="Yes"),25,50),0,BK127+1)))</f>
        <v/>
      </c>
      <c r="BM127">
        <f>IF('4-man'!BM$22="R",0,IF(BL126&gt;=100,0,IF(BL127+1&gt;=IF(OR('4-man'!$F$4=TRUE,'4-man'!$F$4="TRUE",'4-man'!$F$4="Yes"),25,50),0,BL127+1)))</f>
        <v/>
      </c>
      <c r="BN127">
        <f>IF('4-man'!BN$22="R",0,IF(BM126&gt;=100,0,IF(BM127+1&gt;=IF(OR('4-man'!$F$4=TRUE,'4-man'!$F$4="TRUE",'4-man'!$F$4="Yes"),25,50),0,BM127+1)))</f>
        <v/>
      </c>
      <c r="BO127">
        <f>IF('4-man'!BO$22="R",0,IF(BN126&gt;=100,0,IF(BN127+1&gt;=IF(OR('4-man'!$F$4=TRUE,'4-man'!$F$4="TRUE",'4-man'!$F$4="Yes"),25,50),0,BN127+1)))</f>
        <v/>
      </c>
      <c r="BP127">
        <f>IF('4-man'!BP$22="R",0,IF(BO126&gt;=100,0,IF(BO127+1&gt;=IF(OR('4-man'!$F$4=TRUE,'4-man'!$F$4="TRUE",'4-man'!$F$4="Yes"),25,50),0,BO127+1)))</f>
        <v/>
      </c>
      <c r="BQ127">
        <f>IF('4-man'!BQ$22="R",0,IF(BP126&gt;=100,0,IF(BP127+1&gt;=IF(OR('4-man'!$F$4=TRUE,'4-man'!$F$4="TRUE",'4-man'!$F$4="Yes"),25,50),0,BP127+1)))</f>
        <v/>
      </c>
      <c r="BR127">
        <f>IF('4-man'!BR$22="R",0,IF(BQ126&gt;=100,0,IF(BQ127+1&gt;=IF(OR('4-man'!$F$4=TRUE,'4-man'!$F$4="TRUE",'4-man'!$F$4="Yes"),25,50),0,BQ127+1)))</f>
        <v/>
      </c>
      <c r="BS127">
        <f>IF('4-man'!BS$22="R",0,IF(BR126&gt;=100,0,IF(BR127+1&gt;=IF(OR('4-man'!$F$4=TRUE,'4-man'!$F$4="TRUE",'4-man'!$F$4="Yes"),25,50),0,BR127+1)))</f>
        <v/>
      </c>
      <c r="BT127">
        <f>IF('4-man'!BT$22="R",0,IF(BS126&gt;=100,0,IF(BS127+1&gt;=IF(OR('4-man'!$F$4=TRUE,'4-man'!$F$4="TRUE",'4-man'!$F$4="Yes"),25,50),0,BS127+1)))</f>
        <v/>
      </c>
      <c r="BU127">
        <f>IF('4-man'!BU$22="R",0,IF(BT126&gt;=100,0,IF(BT127+1&gt;=IF(OR('4-man'!$F$4=TRUE,'4-man'!$F$4="TRUE",'4-man'!$F$4="Yes"),25,50),0,BT127+1)))</f>
        <v/>
      </c>
      <c r="BV127">
        <f>IF('4-man'!BV$22="R",0,IF(BU126&gt;=100,0,IF(BU127+1&gt;=IF(OR('4-man'!$F$4=TRUE,'4-man'!$F$4="TRUE",'4-man'!$F$4="Yes"),25,50),0,BU127+1)))</f>
        <v/>
      </c>
      <c r="BW127">
        <f>IF('4-man'!BW$22="R",0,IF(BV126&gt;=100,0,IF(BV127+1&gt;=IF(OR('4-man'!$F$4=TRUE,'4-man'!$F$4="TRUE",'4-man'!$F$4="Yes"),25,50),0,BV127+1)))</f>
        <v/>
      </c>
      <c r="BX127">
        <f>IF('4-man'!BX$22="R",0,IF(BW126&gt;=100,0,IF(BW127+1&gt;=IF(OR('4-man'!$F$4=TRUE,'4-man'!$F$4="TRUE",'4-man'!$F$4="Yes"),25,50),0,BW127+1)))</f>
        <v/>
      </c>
      <c r="BY127">
        <f>IF('4-man'!BY$22="R",0,IF(BX126&gt;=100,0,IF(BX127+1&gt;=IF(OR('4-man'!$F$4=TRUE,'4-man'!$F$4="TRUE",'4-man'!$F$4="Yes"),25,50),0,BX127+1)))</f>
        <v/>
      </c>
      <c r="BZ127">
        <f>IF('4-man'!BZ$22="R",0,IF(BY126&gt;=100,0,IF(BY127+1&gt;=IF(OR('4-man'!$F$4=TRUE,'4-man'!$F$4="TRUE",'4-man'!$F$4="Yes"),25,50),0,BY127+1)))</f>
        <v/>
      </c>
      <c r="CA127">
        <f>IF('4-man'!CA$22="R",0,IF(BZ126&gt;=100,0,IF(BZ127+1&gt;=IF(OR('4-man'!$F$4=TRUE,'4-man'!$F$4="TRUE",'4-man'!$F$4="Yes"),25,50),0,BZ127+1)))</f>
        <v/>
      </c>
      <c r="CB127">
        <f>IF('4-man'!CB$22="R",0,IF(CA126&gt;=100,0,IF(CA127+1&gt;=IF(OR('4-man'!$F$4=TRUE,'4-man'!$F$4="TRUE",'4-man'!$F$4="Yes"),25,50),0,CA127+1)))</f>
        <v/>
      </c>
      <c r="CC127">
        <f>IF('4-man'!CC$22="R",0,IF(CB126&gt;=100,0,IF(CB127+1&gt;=IF(OR('4-man'!$F$4=TRUE,'4-man'!$F$4="TRUE",'4-man'!$F$4="Yes"),25,50),0,CB127+1)))</f>
        <v/>
      </c>
      <c r="CD127">
        <f>IF('4-man'!CD$22="R",0,IF(CC126&gt;=100,0,IF(CC127+1&gt;=IF(OR('4-man'!$F$4=TRUE,'4-man'!$F$4="TRUE",'4-man'!$F$4="Yes"),25,50),0,CC127+1)))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row>
    <row r="132">
      <c r="A132" t="inlineStr">
        <is>
          <t>P1 act</t>
        </is>
      </c>
      <c r="C132">
        <f>IF(OR('4-man'!C$22="P",'4-man'!C$22="R",AND('4-man'!C$21&lt;=IF('4-man'!$BF$4="",999,'4-man'!$BF$4),OR('4-man'!C$22="D",LEFT('4-man'!C$22,3)="ST&gt;",OR(AND('4-man'!C$23="ST&gt;1",C133&gt;=100),AND('4-man'!C$24="ST&gt;1",C141&gt;=100),AND('4-man'!C$25="ST&gt;1",C149&gt;=100))))),'4-man'!C$21,0)</f>
        <v/>
      </c>
      <c r="D132">
        <f>IF(OR('4-man'!D$22="P",'4-man'!D$22="R",AND('4-man'!D$21&lt;=IF('4-man'!$BF$4="",999,'4-man'!$BF$4),OR('4-man'!D$22="D",LEFT('4-man'!D$22,3)="ST&gt;",OR(AND('4-man'!D$23="ST&gt;1",D133&gt;=100),AND('4-man'!D$24="ST&gt;1",D141&gt;=100),AND('4-man'!D$25="ST&gt;1",D149&gt;=100))))),'4-man'!D$21,0)</f>
        <v/>
      </c>
      <c r="E132">
        <f>IF(OR('4-man'!E$22="P",'4-man'!E$22="R",AND('4-man'!E$21&lt;=IF('4-man'!$BF$4="",999,'4-man'!$BF$4),OR('4-man'!E$22="D",LEFT('4-man'!E$22,3)="ST&gt;",OR(AND('4-man'!E$23="ST&gt;1",E133&gt;=100),AND('4-man'!E$24="ST&gt;1",E141&gt;=100),AND('4-man'!E$25="ST&gt;1",E149&gt;=100))))),'4-man'!E$21,0)</f>
        <v/>
      </c>
      <c r="F132">
        <f>IF(OR('4-man'!F$22="P",'4-man'!F$22="R",AND('4-man'!F$21&lt;=IF('4-man'!$BF$4="",999,'4-man'!$BF$4),OR('4-man'!F$22="D",LEFT('4-man'!F$22,3)="ST&gt;",OR(AND('4-man'!F$23="ST&gt;1",F133&gt;=100),AND('4-man'!F$24="ST&gt;1",F141&gt;=100),AND('4-man'!F$25="ST&gt;1",F149&gt;=100))))),'4-man'!F$21,0)</f>
        <v/>
      </c>
      <c r="G132">
        <f>IF(OR('4-man'!G$22="P",'4-man'!G$22="R",AND('4-man'!G$21&lt;=IF('4-man'!$BF$4="",999,'4-man'!$BF$4),OR('4-man'!G$22="D",LEFT('4-man'!G$22,3)="ST&gt;",OR(AND('4-man'!G$23="ST&gt;1",G133&gt;=100),AND('4-man'!G$24="ST&gt;1",G141&gt;=100),AND('4-man'!G$25="ST&gt;1",G149&gt;=100))))),'4-man'!G$21,0)</f>
        <v/>
      </c>
      <c r="H132">
        <f>IF(OR('4-man'!H$22="P",'4-man'!H$22="R",AND('4-man'!H$21&lt;=IF('4-man'!$BF$4="",999,'4-man'!$BF$4),OR('4-man'!H$22="D",LEFT('4-man'!H$22,3)="ST&gt;",OR(AND('4-man'!H$23="ST&gt;1",H133&gt;=100),AND('4-man'!H$24="ST&gt;1",H141&gt;=100),AND('4-man'!H$25="ST&gt;1",H149&gt;=100))))),'4-man'!H$21,0)</f>
        <v/>
      </c>
      <c r="I132">
        <f>IF(OR('4-man'!I$22="P",'4-man'!I$22="R",AND('4-man'!I$21&lt;=IF('4-man'!$BF$4="",999,'4-man'!$BF$4),OR('4-man'!I$22="D",LEFT('4-man'!I$22,3)="ST&gt;",OR(AND('4-man'!I$23="ST&gt;1",I133&gt;=100),AND('4-man'!I$24="ST&gt;1",I141&gt;=100),AND('4-man'!I$25="ST&gt;1",I149&gt;=100))))),'4-man'!I$21,0)</f>
        <v/>
      </c>
      <c r="J132">
        <f>IF(OR('4-man'!J$22="P",'4-man'!J$22="R",AND('4-man'!J$21&lt;=IF('4-man'!$BF$4="",999,'4-man'!$BF$4),OR('4-man'!J$22="D",LEFT('4-man'!J$22,3)="ST&gt;",OR(AND('4-man'!J$23="ST&gt;1",J133&gt;=100),AND('4-man'!J$24="ST&gt;1",J141&gt;=100),AND('4-man'!J$25="ST&gt;1",J149&gt;=100))))),'4-man'!J$21,0)</f>
        <v/>
      </c>
      <c r="K132">
        <f>IF(OR('4-man'!K$22="P",'4-man'!K$22="R",AND('4-man'!K$21&lt;=IF('4-man'!$BF$4="",999,'4-man'!$BF$4),OR('4-man'!K$22="D",LEFT('4-man'!K$22,3)="ST&gt;",OR(AND('4-man'!K$23="ST&gt;1",K133&gt;=100),AND('4-man'!K$24="ST&gt;1",K141&gt;=100),AND('4-man'!K$25="ST&gt;1",K149&gt;=100))))),'4-man'!K$21,0)</f>
        <v/>
      </c>
      <c r="L132">
        <f>IF(OR('4-man'!L$22="P",'4-man'!L$22="R",AND('4-man'!L$21&lt;=IF('4-man'!$BF$4="",999,'4-man'!$BF$4),OR('4-man'!L$22="D",LEFT('4-man'!L$22,3)="ST&gt;",OR(AND('4-man'!L$23="ST&gt;1",L133&gt;=100),AND('4-man'!L$24="ST&gt;1",L141&gt;=100),AND('4-man'!L$25="ST&gt;1",L149&gt;=100))))),'4-man'!L$21,0)</f>
        <v/>
      </c>
      <c r="M132">
        <f>IF(OR('4-man'!M$22="P",'4-man'!M$22="R",AND('4-man'!M$21&lt;=IF('4-man'!$BF$4="",999,'4-man'!$BF$4),OR('4-man'!M$22="D",LEFT('4-man'!M$22,3)="ST&gt;",OR(AND('4-man'!M$23="ST&gt;1",M133&gt;=100),AND('4-man'!M$24="ST&gt;1",M141&gt;=100),AND('4-man'!M$25="ST&gt;1",M149&gt;=100))))),'4-man'!M$21,0)</f>
        <v/>
      </c>
      <c r="N132">
        <f>IF(OR('4-man'!N$22="P",'4-man'!N$22="R",AND('4-man'!N$21&lt;=IF('4-man'!$BF$4="",999,'4-man'!$BF$4),OR('4-man'!N$22="D",LEFT('4-man'!N$22,3)="ST&gt;",OR(AND('4-man'!N$23="ST&gt;1",N133&gt;=100),AND('4-man'!N$24="ST&gt;1",N141&gt;=100),AND('4-man'!N$25="ST&gt;1",N149&gt;=100))))),'4-man'!N$21,0)</f>
        <v/>
      </c>
      <c r="O132">
        <f>IF(OR('4-man'!O$22="P",'4-man'!O$22="R",AND('4-man'!O$21&lt;=IF('4-man'!$BF$4="",999,'4-man'!$BF$4),OR('4-man'!O$22="D",LEFT('4-man'!O$22,3)="ST&gt;",OR(AND('4-man'!O$23="ST&gt;1",O133&gt;=100),AND('4-man'!O$24="ST&gt;1",O141&gt;=100),AND('4-man'!O$25="ST&gt;1",O149&gt;=100))))),'4-man'!O$21,0)</f>
        <v/>
      </c>
      <c r="P132">
        <f>IF(OR('4-man'!P$22="P",'4-man'!P$22="R",AND('4-man'!P$21&lt;=IF('4-man'!$BF$4="",999,'4-man'!$BF$4),OR('4-man'!P$22="D",LEFT('4-man'!P$22,3)="ST&gt;",OR(AND('4-man'!P$23="ST&gt;1",P133&gt;=100),AND('4-man'!P$24="ST&gt;1",P141&gt;=100),AND('4-man'!P$25="ST&gt;1",P149&gt;=100))))),'4-man'!P$21,0)</f>
        <v/>
      </c>
      <c r="Q132">
        <f>IF(OR('4-man'!Q$22="P",'4-man'!Q$22="R",AND('4-man'!Q$21&lt;=IF('4-man'!$BF$4="",999,'4-man'!$BF$4),OR('4-man'!Q$22="D",LEFT('4-man'!Q$22,3)="ST&gt;",OR(AND('4-man'!Q$23="ST&gt;1",Q133&gt;=100),AND('4-man'!Q$24="ST&gt;1",Q141&gt;=100),AND('4-man'!Q$25="ST&gt;1",Q149&gt;=100))))),'4-man'!Q$21,0)</f>
        <v/>
      </c>
      <c r="R132">
        <f>IF(OR('4-man'!R$22="P",'4-man'!R$22="R",AND('4-man'!R$21&lt;=IF('4-man'!$BF$4="",999,'4-man'!$BF$4),OR('4-man'!R$22="D",LEFT('4-man'!R$22,3)="ST&gt;",OR(AND('4-man'!R$23="ST&gt;1",R133&gt;=100),AND('4-man'!R$24="ST&gt;1",R141&gt;=100),AND('4-man'!R$25="ST&gt;1",R149&gt;=100))))),'4-man'!R$21,0)</f>
        <v/>
      </c>
      <c r="S132">
        <f>IF(OR('4-man'!S$22="P",'4-man'!S$22="R",AND('4-man'!S$21&lt;=IF('4-man'!$BF$4="",999,'4-man'!$BF$4),OR('4-man'!S$22="D",LEFT('4-man'!S$22,3)="ST&gt;",OR(AND('4-man'!S$23="ST&gt;1",S133&gt;=100),AND('4-man'!S$24="ST&gt;1",S141&gt;=100),AND('4-man'!S$25="ST&gt;1",S149&gt;=100))))),'4-man'!S$21,0)</f>
        <v/>
      </c>
      <c r="T132">
        <f>IF(OR('4-man'!T$22="P",'4-man'!T$22="R",AND('4-man'!T$21&lt;=IF('4-man'!$BF$4="",999,'4-man'!$BF$4),OR('4-man'!T$22="D",LEFT('4-man'!T$22,3)="ST&gt;",OR(AND('4-man'!T$23="ST&gt;1",T133&gt;=100),AND('4-man'!T$24="ST&gt;1",T141&gt;=100),AND('4-man'!T$25="ST&gt;1",T149&gt;=100))))),'4-man'!T$21,0)</f>
        <v/>
      </c>
      <c r="U132">
        <f>IF(OR('4-man'!U$22="P",'4-man'!U$22="R",AND('4-man'!U$21&lt;=IF('4-man'!$BF$4="",999,'4-man'!$BF$4),OR('4-man'!U$22="D",LEFT('4-man'!U$22,3)="ST&gt;",OR(AND('4-man'!U$23="ST&gt;1",U133&gt;=100),AND('4-man'!U$24="ST&gt;1",U141&gt;=100),AND('4-man'!U$25="ST&gt;1",U149&gt;=100))))),'4-man'!U$21,0)</f>
        <v/>
      </c>
      <c r="V132">
        <f>IF(OR('4-man'!V$22="P",'4-man'!V$22="R",AND('4-man'!V$21&lt;=IF('4-man'!$BF$4="",999,'4-man'!$BF$4),OR('4-man'!V$22="D",LEFT('4-man'!V$22,3)="ST&gt;",OR(AND('4-man'!V$23="ST&gt;1",V133&gt;=100),AND('4-man'!V$24="ST&gt;1",V141&gt;=100),AND('4-man'!V$25="ST&gt;1",V149&gt;=100))))),'4-man'!V$21,0)</f>
        <v/>
      </c>
      <c r="W132">
        <f>IF(OR('4-man'!W$22="P",'4-man'!W$22="R",AND('4-man'!W$21&lt;=IF('4-man'!$BF$4="",999,'4-man'!$BF$4),OR('4-man'!W$22="D",LEFT('4-man'!W$22,3)="ST&gt;",OR(AND('4-man'!W$23="ST&gt;1",W133&gt;=100),AND('4-man'!W$24="ST&gt;1",W141&gt;=100),AND('4-man'!W$25="ST&gt;1",W149&gt;=100))))),'4-man'!W$21,0)</f>
        <v/>
      </c>
      <c r="X132">
        <f>IF(OR('4-man'!X$22="P",'4-man'!X$22="R",AND('4-man'!X$21&lt;=IF('4-man'!$BF$4="",999,'4-man'!$BF$4),OR('4-man'!X$22="D",LEFT('4-man'!X$22,3)="ST&gt;",OR(AND('4-man'!X$23="ST&gt;1",X133&gt;=100),AND('4-man'!X$24="ST&gt;1",X141&gt;=100),AND('4-man'!X$25="ST&gt;1",X149&gt;=100))))),'4-man'!X$21,0)</f>
        <v/>
      </c>
      <c r="Y132">
        <f>IF(OR('4-man'!Y$22="P",'4-man'!Y$22="R",AND('4-man'!Y$21&lt;=IF('4-man'!$BF$4="",999,'4-man'!$BF$4),OR('4-man'!Y$22="D",LEFT('4-man'!Y$22,3)="ST&gt;",OR(AND('4-man'!Y$23="ST&gt;1",Y133&gt;=100),AND('4-man'!Y$24="ST&gt;1",Y141&gt;=100),AND('4-man'!Y$25="ST&gt;1",Y149&gt;=100))))),'4-man'!Y$21,0)</f>
        <v/>
      </c>
      <c r="Z132">
        <f>IF(OR('4-man'!Z$22="P",'4-man'!Z$22="R",AND('4-man'!Z$21&lt;=IF('4-man'!$BF$4="",999,'4-man'!$BF$4),OR('4-man'!Z$22="D",LEFT('4-man'!Z$22,3)="ST&gt;",OR(AND('4-man'!Z$23="ST&gt;1",Z133&gt;=100),AND('4-man'!Z$24="ST&gt;1",Z141&gt;=100),AND('4-man'!Z$25="ST&gt;1",Z149&gt;=100))))),'4-man'!Z$21,0)</f>
        <v/>
      </c>
      <c r="AA132">
        <f>IF(OR('4-man'!AA$22="P",'4-man'!AA$22="R",AND('4-man'!AA$21&lt;=IF('4-man'!$BF$4="",999,'4-man'!$BF$4),OR('4-man'!AA$22="D",LEFT('4-man'!AA$22,3)="ST&gt;",OR(AND('4-man'!AA$23="ST&gt;1",AA133&gt;=100),AND('4-man'!AA$24="ST&gt;1",AA141&gt;=100),AND('4-man'!AA$25="ST&gt;1",AA149&gt;=100))))),'4-man'!AA$21,0)</f>
        <v/>
      </c>
      <c r="AB132">
        <f>IF(OR('4-man'!AB$22="P",'4-man'!AB$22="R",AND('4-man'!AB$21&lt;=IF('4-man'!$BF$4="",999,'4-man'!$BF$4),OR('4-man'!AB$22="D",LEFT('4-man'!AB$22,3)="ST&gt;",OR(AND('4-man'!AB$23="ST&gt;1",AB133&gt;=100),AND('4-man'!AB$24="ST&gt;1",AB141&gt;=100),AND('4-man'!AB$25="ST&gt;1",AB149&gt;=100))))),'4-man'!AB$21,0)</f>
        <v/>
      </c>
      <c r="AC132">
        <f>IF(OR('4-man'!AC$22="P",'4-man'!AC$22="R",AND('4-man'!AC$21&lt;=IF('4-man'!$BF$4="",999,'4-man'!$BF$4),OR('4-man'!AC$22="D",LEFT('4-man'!AC$22,3)="ST&gt;",OR(AND('4-man'!AC$23="ST&gt;1",AC133&gt;=100),AND('4-man'!AC$24="ST&gt;1",AC141&gt;=100),AND('4-man'!AC$25="ST&gt;1",AC149&gt;=100))))),'4-man'!AC$21,0)</f>
        <v/>
      </c>
      <c r="AD132">
        <f>IF(OR('4-man'!AD$22="P",'4-man'!AD$22="R",AND('4-man'!AD$21&lt;=IF('4-man'!$BF$4="",999,'4-man'!$BF$4),OR('4-man'!AD$22="D",LEFT('4-man'!AD$22,3)="ST&gt;",OR(AND('4-man'!AD$23="ST&gt;1",AD133&gt;=100),AND('4-man'!AD$24="ST&gt;1",AD141&gt;=100),AND('4-man'!AD$25="ST&gt;1",AD149&gt;=100))))),'4-man'!AD$21,0)</f>
        <v/>
      </c>
      <c r="AE132">
        <f>IF(OR('4-man'!AE$22="P",'4-man'!AE$22="R",AND('4-man'!AE$21&lt;=IF('4-man'!$BF$4="",999,'4-man'!$BF$4),OR('4-man'!AE$22="D",LEFT('4-man'!AE$22,3)="ST&gt;",OR(AND('4-man'!AE$23="ST&gt;1",AE133&gt;=100),AND('4-man'!AE$24="ST&gt;1",AE141&gt;=100),AND('4-man'!AE$25="ST&gt;1",AE149&gt;=100))))),'4-man'!AE$21,0)</f>
        <v/>
      </c>
      <c r="AF132">
        <f>IF(OR('4-man'!AF$22="P",'4-man'!AF$22="R",AND('4-man'!AF$21&lt;=IF('4-man'!$BF$4="",999,'4-man'!$BF$4),OR('4-man'!AF$22="D",LEFT('4-man'!AF$22,3)="ST&gt;",OR(AND('4-man'!AF$23="ST&gt;1",AF133&gt;=100),AND('4-man'!AF$24="ST&gt;1",AF141&gt;=100),AND('4-man'!AF$25="ST&gt;1",AF149&gt;=100))))),'4-man'!AF$21,0)</f>
        <v/>
      </c>
      <c r="AG132">
        <f>IF(OR('4-man'!AG$22="P",'4-man'!AG$22="R",AND('4-man'!AG$21&lt;=IF('4-man'!$BF$4="",999,'4-man'!$BF$4),OR('4-man'!AG$22="D",LEFT('4-man'!AG$22,3)="ST&gt;",OR(AND('4-man'!AG$23="ST&gt;1",AG133&gt;=100),AND('4-man'!AG$24="ST&gt;1",AG141&gt;=100),AND('4-man'!AG$25="ST&gt;1",AG149&gt;=100))))),'4-man'!AG$21,0)</f>
        <v/>
      </c>
      <c r="AH132">
        <f>IF(OR('4-man'!AH$22="P",'4-man'!AH$22="R",AND('4-man'!AH$21&lt;=IF('4-man'!$BF$4="",999,'4-man'!$BF$4),OR('4-man'!AH$22="D",LEFT('4-man'!AH$22,3)="ST&gt;",OR(AND('4-man'!AH$23="ST&gt;1",AH133&gt;=100),AND('4-man'!AH$24="ST&gt;1",AH141&gt;=100),AND('4-man'!AH$25="ST&gt;1",AH149&gt;=100))))),'4-man'!AH$21,0)</f>
        <v/>
      </c>
      <c r="AI132">
        <f>IF(OR('4-man'!AI$22="P",'4-man'!AI$22="R",AND('4-man'!AI$21&lt;=IF('4-man'!$BF$4="",999,'4-man'!$BF$4),OR('4-man'!AI$22="D",LEFT('4-man'!AI$22,3)="ST&gt;",OR(AND('4-man'!AI$23="ST&gt;1",AI133&gt;=100),AND('4-man'!AI$24="ST&gt;1",AI141&gt;=100),AND('4-man'!AI$25="ST&gt;1",AI149&gt;=100))))),'4-man'!AI$21,0)</f>
        <v/>
      </c>
      <c r="AJ132">
        <f>IF(OR('4-man'!AJ$22="P",'4-man'!AJ$22="R",AND('4-man'!AJ$21&lt;=IF('4-man'!$BF$4="",999,'4-man'!$BF$4),OR('4-man'!AJ$22="D",LEFT('4-man'!AJ$22,3)="ST&gt;",OR(AND('4-man'!AJ$23="ST&gt;1",AJ133&gt;=100),AND('4-man'!AJ$24="ST&gt;1",AJ141&gt;=100),AND('4-man'!AJ$25="ST&gt;1",AJ149&gt;=100))))),'4-man'!AJ$21,0)</f>
        <v/>
      </c>
      <c r="AK132">
        <f>IF(OR('4-man'!AK$22="P",'4-man'!AK$22="R",AND('4-man'!AK$21&lt;=IF('4-man'!$BF$4="",999,'4-man'!$BF$4),OR('4-man'!AK$22="D",LEFT('4-man'!AK$22,3)="ST&gt;",OR(AND('4-man'!AK$23="ST&gt;1",AK133&gt;=100),AND('4-man'!AK$24="ST&gt;1",AK141&gt;=100),AND('4-man'!AK$25="ST&gt;1",AK149&gt;=100))))),'4-man'!AK$21,0)</f>
        <v/>
      </c>
      <c r="AL132">
        <f>IF(OR('4-man'!AL$22="P",'4-man'!AL$22="R",AND('4-man'!AL$21&lt;=IF('4-man'!$BF$4="",999,'4-man'!$BF$4),OR('4-man'!AL$22="D",LEFT('4-man'!AL$22,3)="ST&gt;",OR(AND('4-man'!AL$23="ST&gt;1",AL133&gt;=100),AND('4-man'!AL$24="ST&gt;1",AL141&gt;=100),AND('4-man'!AL$25="ST&gt;1",AL149&gt;=100))))),'4-man'!AL$21,0)</f>
        <v/>
      </c>
      <c r="AM132">
        <f>IF(OR('4-man'!AM$22="P",'4-man'!AM$22="R",AND('4-man'!AM$21&lt;=IF('4-man'!$BF$4="",999,'4-man'!$BF$4),OR('4-man'!AM$22="D",LEFT('4-man'!AM$22,3)="ST&gt;",OR(AND('4-man'!AM$23="ST&gt;1",AM133&gt;=100),AND('4-man'!AM$24="ST&gt;1",AM141&gt;=100),AND('4-man'!AM$25="ST&gt;1",AM149&gt;=100))))),'4-man'!AM$21,0)</f>
        <v/>
      </c>
      <c r="AN132">
        <f>IF(OR('4-man'!AN$22="P",'4-man'!AN$22="R",AND('4-man'!AN$21&lt;=IF('4-man'!$BF$4="",999,'4-man'!$BF$4),OR('4-man'!AN$22="D",LEFT('4-man'!AN$22,3)="ST&gt;",OR(AND('4-man'!AN$23="ST&gt;1",AN133&gt;=100),AND('4-man'!AN$24="ST&gt;1",AN141&gt;=100),AND('4-man'!AN$25="ST&gt;1",AN149&gt;=100))))),'4-man'!AN$21,0)</f>
        <v/>
      </c>
      <c r="AO132">
        <f>IF(OR('4-man'!AO$22="P",'4-man'!AO$22="R",AND('4-man'!AO$21&lt;=IF('4-man'!$BF$4="",999,'4-man'!$BF$4),OR('4-man'!AO$22="D",LEFT('4-man'!AO$22,3)="ST&gt;",OR(AND('4-man'!AO$23="ST&gt;1",AO133&gt;=100),AND('4-man'!AO$24="ST&gt;1",AO141&gt;=100),AND('4-man'!AO$25="ST&gt;1",AO149&gt;=100))))),'4-man'!AO$21,0)</f>
        <v/>
      </c>
      <c r="AP132">
        <f>IF(OR('4-man'!AP$22="P",'4-man'!AP$22="R",AND('4-man'!AP$21&lt;=IF('4-man'!$BF$4="",999,'4-man'!$BF$4),OR('4-man'!AP$22="D",LEFT('4-man'!AP$22,3)="ST&gt;",OR(AND('4-man'!AP$23="ST&gt;1",AP133&gt;=100),AND('4-man'!AP$24="ST&gt;1",AP141&gt;=100),AND('4-man'!AP$25="ST&gt;1",AP149&gt;=100))))),'4-man'!AP$21,0)</f>
        <v/>
      </c>
      <c r="AQ132">
        <f>IF(OR('4-man'!AQ$22="P",'4-man'!AQ$22="R",AND('4-man'!AQ$21&lt;=IF('4-man'!$BF$4="",999,'4-man'!$BF$4),OR('4-man'!AQ$22="D",LEFT('4-man'!AQ$22,3)="ST&gt;",OR(AND('4-man'!AQ$23="ST&gt;1",AQ133&gt;=100),AND('4-man'!AQ$24="ST&gt;1",AQ141&gt;=100),AND('4-man'!AQ$25="ST&gt;1",AQ149&gt;=100))))),'4-man'!AQ$21,0)</f>
        <v/>
      </c>
      <c r="AR132">
        <f>IF(OR('4-man'!AR$22="P",'4-man'!AR$22="R",AND('4-man'!AR$21&lt;=IF('4-man'!$BF$4="",999,'4-man'!$BF$4),OR('4-man'!AR$22="D",LEFT('4-man'!AR$22,3)="ST&gt;",OR(AND('4-man'!AR$23="ST&gt;1",AR133&gt;=100),AND('4-man'!AR$24="ST&gt;1",AR141&gt;=100),AND('4-man'!AR$25="ST&gt;1",AR149&gt;=100))))),'4-man'!AR$21,0)</f>
        <v/>
      </c>
      <c r="AS132">
        <f>IF(OR('4-man'!AS$22="P",'4-man'!AS$22="R",AND('4-man'!AS$21&lt;=IF('4-man'!$BF$4="",999,'4-man'!$BF$4),OR('4-man'!AS$22="D",LEFT('4-man'!AS$22,3)="ST&gt;",OR(AND('4-man'!AS$23="ST&gt;1",AS133&gt;=100),AND('4-man'!AS$24="ST&gt;1",AS141&gt;=100),AND('4-man'!AS$25="ST&gt;1",AS149&gt;=100))))),'4-man'!AS$21,0)</f>
        <v/>
      </c>
      <c r="AT132">
        <f>IF(OR('4-man'!AT$22="P",'4-man'!AT$22="R",AND('4-man'!AT$21&lt;=IF('4-man'!$BF$4="",999,'4-man'!$BF$4),OR('4-man'!AT$22="D",LEFT('4-man'!AT$22,3)="ST&gt;",OR(AND('4-man'!AT$23="ST&gt;1",AT133&gt;=100),AND('4-man'!AT$24="ST&gt;1",AT141&gt;=100),AND('4-man'!AT$25="ST&gt;1",AT149&gt;=100))))),'4-man'!AT$21,0)</f>
        <v/>
      </c>
      <c r="AU132">
        <f>IF(OR('4-man'!AU$22="P",'4-man'!AU$22="R",AND('4-man'!AU$21&lt;=IF('4-man'!$BF$4="",999,'4-man'!$BF$4),OR('4-man'!AU$22="D",LEFT('4-man'!AU$22,3)="ST&gt;",OR(AND('4-man'!AU$23="ST&gt;1",AU133&gt;=100),AND('4-man'!AU$24="ST&gt;1",AU141&gt;=100),AND('4-man'!AU$25="ST&gt;1",AU149&gt;=100))))),'4-man'!AU$21,0)</f>
        <v/>
      </c>
      <c r="AV132">
        <f>IF(OR('4-man'!AV$22="P",'4-man'!AV$22="R",AND('4-man'!AV$21&lt;=IF('4-man'!$BF$4="",999,'4-man'!$BF$4),OR('4-man'!AV$22="D",LEFT('4-man'!AV$22,3)="ST&gt;",OR(AND('4-man'!AV$23="ST&gt;1",AV133&gt;=100),AND('4-man'!AV$24="ST&gt;1",AV141&gt;=100),AND('4-man'!AV$25="ST&gt;1",AV149&gt;=100))))),'4-man'!AV$21,0)</f>
        <v/>
      </c>
      <c r="AW132">
        <f>IF(OR('4-man'!AW$22="P",'4-man'!AW$22="R",AND('4-man'!AW$21&lt;=IF('4-man'!$BF$4="",999,'4-man'!$BF$4),OR('4-man'!AW$22="D",LEFT('4-man'!AW$22,3)="ST&gt;",OR(AND('4-man'!AW$23="ST&gt;1",AW133&gt;=100),AND('4-man'!AW$24="ST&gt;1",AW141&gt;=100),AND('4-man'!AW$25="ST&gt;1",AW149&gt;=100))))),'4-man'!AW$21,0)</f>
        <v/>
      </c>
      <c r="AX132">
        <f>IF(OR('4-man'!AX$22="P",'4-man'!AX$22="R",AND('4-man'!AX$21&lt;=IF('4-man'!$BF$4="",999,'4-man'!$BF$4),OR('4-man'!AX$22="D",LEFT('4-man'!AX$22,3)="ST&gt;",OR(AND('4-man'!AX$23="ST&gt;1",AX133&gt;=100),AND('4-man'!AX$24="ST&gt;1",AX141&gt;=100),AND('4-man'!AX$25="ST&gt;1",AX149&gt;=100))))),'4-man'!AX$21,0)</f>
        <v/>
      </c>
      <c r="AY132">
        <f>IF(OR('4-man'!AY$22="P",'4-man'!AY$22="R",AND('4-man'!AY$21&lt;=IF('4-man'!$BF$4="",999,'4-man'!$BF$4),OR('4-man'!AY$22="D",LEFT('4-man'!AY$22,3)="ST&gt;",OR(AND('4-man'!AY$23="ST&gt;1",AY133&gt;=100),AND('4-man'!AY$24="ST&gt;1",AY141&gt;=100),AND('4-man'!AY$25="ST&gt;1",AY149&gt;=100))))),'4-man'!AY$21,0)</f>
        <v/>
      </c>
      <c r="AZ132">
        <f>IF(OR('4-man'!AZ$22="P",'4-man'!AZ$22="R",AND('4-man'!AZ$21&lt;=IF('4-man'!$BF$4="",999,'4-man'!$BF$4),OR('4-man'!AZ$22="D",LEFT('4-man'!AZ$22,3)="ST&gt;",OR(AND('4-man'!AZ$23="ST&gt;1",AZ133&gt;=100),AND('4-man'!AZ$24="ST&gt;1",AZ141&gt;=100),AND('4-man'!AZ$25="ST&gt;1",AZ149&gt;=100))))),'4-man'!AZ$21,0)</f>
        <v/>
      </c>
      <c r="BA132">
        <f>IF(OR('4-man'!BA$22="P",'4-man'!BA$22="R",AND('4-man'!BA$21&lt;=IF('4-man'!$BF$4="",999,'4-man'!$BF$4),OR('4-man'!BA$22="D",LEFT('4-man'!BA$22,3)="ST&gt;",OR(AND('4-man'!BA$23="ST&gt;1",BA133&gt;=100),AND('4-man'!BA$24="ST&gt;1",BA141&gt;=100),AND('4-man'!BA$25="ST&gt;1",BA149&gt;=100))))),'4-man'!BA$21,0)</f>
        <v/>
      </c>
      <c r="BB132">
        <f>IF(OR('4-man'!BB$22="P",'4-man'!BB$22="R",AND('4-man'!BB$21&lt;=IF('4-man'!$BF$4="",999,'4-man'!$BF$4),OR('4-man'!BB$22="D",LEFT('4-man'!BB$22,3)="ST&gt;",OR(AND('4-man'!BB$23="ST&gt;1",BB133&gt;=100),AND('4-man'!BB$24="ST&gt;1",BB141&gt;=100),AND('4-man'!BB$25="ST&gt;1",BB149&gt;=100))))),'4-man'!BB$21,0)</f>
        <v/>
      </c>
      <c r="BC132">
        <f>IF(OR('4-man'!BC$22="P",'4-man'!BC$22="R",AND('4-man'!BC$21&lt;=IF('4-man'!$BF$4="",999,'4-man'!$BF$4),OR('4-man'!BC$22="D",LEFT('4-man'!BC$22,3)="ST&gt;",OR(AND('4-man'!BC$23="ST&gt;1",BC133&gt;=100),AND('4-man'!BC$24="ST&gt;1",BC141&gt;=100),AND('4-man'!BC$25="ST&gt;1",BC149&gt;=100))))),'4-man'!BC$21,0)</f>
        <v/>
      </c>
      <c r="BD132">
        <f>IF(OR('4-man'!BD$22="P",'4-man'!BD$22="R",AND('4-man'!BD$21&lt;=IF('4-man'!$BF$4="",999,'4-man'!$BF$4),OR('4-man'!BD$22="D",LEFT('4-man'!BD$22,3)="ST&gt;",OR(AND('4-man'!BD$23="ST&gt;1",BD133&gt;=100),AND('4-man'!BD$24="ST&gt;1",BD141&gt;=100),AND('4-man'!BD$25="ST&gt;1",BD149&gt;=100))))),'4-man'!BD$21,0)</f>
        <v/>
      </c>
      <c r="BE132">
        <f>IF(OR('4-man'!BE$22="P",'4-man'!BE$22="R",AND('4-man'!BE$21&lt;=IF('4-man'!$BF$4="",999,'4-man'!$BF$4),OR('4-man'!BE$22="D",LEFT('4-man'!BE$22,3)="ST&gt;",OR(AND('4-man'!BE$23="ST&gt;1",BE133&gt;=100),AND('4-man'!BE$24="ST&gt;1",BE141&gt;=100),AND('4-man'!BE$25="ST&gt;1",BE149&gt;=100))))),'4-man'!BE$21,0)</f>
        <v/>
      </c>
      <c r="BF132">
        <f>IF(OR('4-man'!BF$22="P",'4-man'!BF$22="R",AND('4-man'!BF$21&lt;=IF('4-man'!$BF$4="",999,'4-man'!$BF$4),OR('4-man'!BF$22="D",LEFT('4-man'!BF$22,3)="ST&gt;",OR(AND('4-man'!BF$23="ST&gt;1",BF133&gt;=100),AND('4-man'!BF$24="ST&gt;1",BF141&gt;=100),AND('4-man'!BF$25="ST&gt;1",BF149&gt;=100))))),'4-man'!BF$21,0)</f>
        <v/>
      </c>
      <c r="BG132">
        <f>IF(OR('4-man'!BG$22="P",'4-man'!BG$22="R",AND('4-man'!BG$21&lt;=IF('4-man'!$BF$4="",999,'4-man'!$BF$4),OR('4-man'!BG$22="D",LEFT('4-man'!BG$22,3)="ST&gt;",OR(AND('4-man'!BG$23="ST&gt;1",BG133&gt;=100),AND('4-man'!BG$24="ST&gt;1",BG141&gt;=100),AND('4-man'!BG$25="ST&gt;1",BG149&gt;=100))))),'4-man'!BG$21,0)</f>
        <v/>
      </c>
      <c r="BH132">
        <f>IF(OR('4-man'!BH$22="P",'4-man'!BH$22="R",AND('4-man'!BH$21&lt;=IF('4-man'!$BF$4="",999,'4-man'!$BF$4),OR('4-man'!BH$22="D",LEFT('4-man'!BH$22,3)="ST&gt;",OR(AND('4-man'!BH$23="ST&gt;1",BH133&gt;=100),AND('4-man'!BH$24="ST&gt;1",BH141&gt;=100),AND('4-man'!BH$25="ST&gt;1",BH149&gt;=100))))),'4-man'!BH$21,0)</f>
        <v/>
      </c>
      <c r="BI132">
        <f>IF(OR('4-man'!BI$22="P",'4-man'!BI$22="R",AND('4-man'!BI$21&lt;=IF('4-man'!$BF$4="",999,'4-man'!$BF$4),OR('4-man'!BI$22="D",LEFT('4-man'!BI$22,3)="ST&gt;",OR(AND('4-man'!BI$23="ST&gt;1",BI133&gt;=100),AND('4-man'!BI$24="ST&gt;1",BI141&gt;=100),AND('4-man'!BI$25="ST&gt;1",BI149&gt;=100))))),'4-man'!BI$21,0)</f>
        <v/>
      </c>
      <c r="BJ132">
        <f>IF(OR('4-man'!BJ$22="P",'4-man'!BJ$22="R",AND('4-man'!BJ$21&lt;=IF('4-man'!$BF$4="",999,'4-man'!$BF$4),OR('4-man'!BJ$22="D",LEFT('4-man'!BJ$22,3)="ST&gt;",OR(AND('4-man'!BJ$23="ST&gt;1",BJ133&gt;=100),AND('4-man'!BJ$24="ST&gt;1",BJ141&gt;=100),AND('4-man'!BJ$25="ST&gt;1",BJ149&gt;=100))))),'4-man'!BJ$21,0)</f>
        <v/>
      </c>
      <c r="BK132">
        <f>IF(OR('4-man'!BK$22="P",'4-man'!BK$22="R",AND('4-man'!BK$21&lt;=IF('4-man'!$BF$4="",999,'4-man'!$BF$4),OR('4-man'!BK$22="D",LEFT('4-man'!BK$22,3)="ST&gt;",OR(AND('4-man'!BK$23="ST&gt;1",BK133&gt;=100),AND('4-man'!BK$24="ST&gt;1",BK141&gt;=100),AND('4-man'!BK$25="ST&gt;1",BK149&gt;=100))))),'4-man'!BK$21,0)</f>
        <v/>
      </c>
      <c r="BL132">
        <f>IF(OR('4-man'!BL$22="P",'4-man'!BL$22="R",AND('4-man'!BL$21&lt;=IF('4-man'!$BF$4="",999,'4-man'!$BF$4),OR('4-man'!BL$22="D",LEFT('4-man'!BL$22,3)="ST&gt;",OR(AND('4-man'!BL$23="ST&gt;1",BL133&gt;=100),AND('4-man'!BL$24="ST&gt;1",BL141&gt;=100),AND('4-man'!BL$25="ST&gt;1",BL149&gt;=100))))),'4-man'!BL$21,0)</f>
        <v/>
      </c>
      <c r="BM132">
        <f>IF(OR('4-man'!BM$22="P",'4-man'!BM$22="R",AND('4-man'!BM$21&lt;=IF('4-man'!$BF$4="",999,'4-man'!$BF$4),OR('4-man'!BM$22="D",LEFT('4-man'!BM$22,3)="ST&gt;",OR(AND('4-man'!BM$23="ST&gt;1",BM133&gt;=100),AND('4-man'!BM$24="ST&gt;1",BM141&gt;=100),AND('4-man'!BM$25="ST&gt;1",BM149&gt;=100))))),'4-man'!BM$21,0)</f>
        <v/>
      </c>
      <c r="BN132">
        <f>IF(OR('4-man'!BN$22="P",'4-man'!BN$22="R",AND('4-man'!BN$21&lt;=IF('4-man'!$BF$4="",999,'4-man'!$BF$4),OR('4-man'!BN$22="D",LEFT('4-man'!BN$22,3)="ST&gt;",OR(AND('4-man'!BN$23="ST&gt;1",BN133&gt;=100),AND('4-man'!BN$24="ST&gt;1",BN141&gt;=100),AND('4-man'!BN$25="ST&gt;1",BN149&gt;=100))))),'4-man'!BN$21,0)</f>
        <v/>
      </c>
      <c r="BO132">
        <f>IF(OR('4-man'!BO$22="P",'4-man'!BO$22="R",AND('4-man'!BO$21&lt;=IF('4-man'!$BF$4="",999,'4-man'!$BF$4),OR('4-man'!BO$22="D",LEFT('4-man'!BO$22,3)="ST&gt;",OR(AND('4-man'!BO$23="ST&gt;1",BO133&gt;=100),AND('4-man'!BO$24="ST&gt;1",BO141&gt;=100),AND('4-man'!BO$25="ST&gt;1",BO149&gt;=100))))),'4-man'!BO$21,0)</f>
        <v/>
      </c>
      <c r="BP132">
        <f>IF(OR('4-man'!BP$22="P",'4-man'!BP$22="R",AND('4-man'!BP$21&lt;=IF('4-man'!$BF$4="",999,'4-man'!$BF$4),OR('4-man'!BP$22="D",LEFT('4-man'!BP$22,3)="ST&gt;",OR(AND('4-man'!BP$23="ST&gt;1",BP133&gt;=100),AND('4-man'!BP$24="ST&gt;1",BP141&gt;=100),AND('4-man'!BP$25="ST&gt;1",BP149&gt;=100))))),'4-man'!BP$21,0)</f>
        <v/>
      </c>
      <c r="BQ132">
        <f>IF(OR('4-man'!BQ$22="P",'4-man'!BQ$22="R",AND('4-man'!BQ$21&lt;=IF('4-man'!$BF$4="",999,'4-man'!$BF$4),OR('4-man'!BQ$22="D",LEFT('4-man'!BQ$22,3)="ST&gt;",OR(AND('4-man'!BQ$23="ST&gt;1",BQ133&gt;=100),AND('4-man'!BQ$24="ST&gt;1",BQ141&gt;=100),AND('4-man'!BQ$25="ST&gt;1",BQ149&gt;=100))))),'4-man'!BQ$21,0)</f>
        <v/>
      </c>
      <c r="BR132">
        <f>IF(OR('4-man'!BR$22="P",'4-man'!BR$22="R",AND('4-man'!BR$21&lt;=IF('4-man'!$BF$4="",999,'4-man'!$BF$4),OR('4-man'!BR$22="D",LEFT('4-man'!BR$22,3)="ST&gt;",OR(AND('4-man'!BR$23="ST&gt;1",BR133&gt;=100),AND('4-man'!BR$24="ST&gt;1",BR141&gt;=100),AND('4-man'!BR$25="ST&gt;1",BR149&gt;=100))))),'4-man'!BR$21,0)</f>
        <v/>
      </c>
      <c r="BS132">
        <f>IF(OR('4-man'!BS$22="P",'4-man'!BS$22="R",AND('4-man'!BS$21&lt;=IF('4-man'!$BF$4="",999,'4-man'!$BF$4),OR('4-man'!BS$22="D",LEFT('4-man'!BS$22,3)="ST&gt;",OR(AND('4-man'!BS$23="ST&gt;1",BS133&gt;=100),AND('4-man'!BS$24="ST&gt;1",BS141&gt;=100),AND('4-man'!BS$25="ST&gt;1",BS149&gt;=100))))),'4-man'!BS$21,0)</f>
        <v/>
      </c>
      <c r="BT132">
        <f>IF(OR('4-man'!BT$22="P",'4-man'!BT$22="R",AND('4-man'!BT$21&lt;=IF('4-man'!$BF$4="",999,'4-man'!$BF$4),OR('4-man'!BT$22="D",LEFT('4-man'!BT$22,3)="ST&gt;",OR(AND('4-man'!BT$23="ST&gt;1",BT133&gt;=100),AND('4-man'!BT$24="ST&gt;1",BT141&gt;=100),AND('4-man'!BT$25="ST&gt;1",BT149&gt;=100))))),'4-man'!BT$21,0)</f>
        <v/>
      </c>
      <c r="BU132">
        <f>IF(OR('4-man'!BU$22="P",'4-man'!BU$22="R",AND('4-man'!BU$21&lt;=IF('4-man'!$BF$4="",999,'4-man'!$BF$4),OR('4-man'!BU$22="D",LEFT('4-man'!BU$22,3)="ST&gt;",OR(AND('4-man'!BU$23="ST&gt;1",BU133&gt;=100),AND('4-man'!BU$24="ST&gt;1",BU141&gt;=100),AND('4-man'!BU$25="ST&gt;1",BU149&gt;=100))))),'4-man'!BU$21,0)</f>
        <v/>
      </c>
      <c r="BV132">
        <f>IF(OR('4-man'!BV$22="P",'4-man'!BV$22="R",AND('4-man'!BV$21&lt;=IF('4-man'!$BF$4="",999,'4-man'!$BF$4),OR('4-man'!BV$22="D",LEFT('4-man'!BV$22,3)="ST&gt;",OR(AND('4-man'!BV$23="ST&gt;1",BV133&gt;=100),AND('4-man'!BV$24="ST&gt;1",BV141&gt;=100),AND('4-man'!BV$25="ST&gt;1",BV149&gt;=100))))),'4-man'!BV$21,0)</f>
        <v/>
      </c>
      <c r="BW132">
        <f>IF(OR('4-man'!BW$22="P",'4-man'!BW$22="R",AND('4-man'!BW$21&lt;=IF('4-man'!$BF$4="",999,'4-man'!$BF$4),OR('4-man'!BW$22="D",LEFT('4-man'!BW$22,3)="ST&gt;",OR(AND('4-man'!BW$23="ST&gt;1",BW133&gt;=100),AND('4-man'!BW$24="ST&gt;1",BW141&gt;=100),AND('4-man'!BW$25="ST&gt;1",BW149&gt;=100))))),'4-man'!BW$21,0)</f>
        <v/>
      </c>
      <c r="BX132">
        <f>IF(OR('4-man'!BX$22="P",'4-man'!BX$22="R",AND('4-man'!BX$21&lt;=IF('4-man'!$BF$4="",999,'4-man'!$BF$4),OR('4-man'!BX$22="D",LEFT('4-man'!BX$22,3)="ST&gt;",OR(AND('4-man'!BX$23="ST&gt;1",BX133&gt;=100),AND('4-man'!BX$24="ST&gt;1",BX141&gt;=100),AND('4-man'!BX$25="ST&gt;1",BX149&gt;=100))))),'4-man'!BX$21,0)</f>
        <v/>
      </c>
      <c r="BY132">
        <f>IF(OR('4-man'!BY$22="P",'4-man'!BY$22="R",AND('4-man'!BY$21&lt;=IF('4-man'!$BF$4="",999,'4-man'!$BF$4),OR('4-man'!BY$22="D",LEFT('4-man'!BY$22,3)="ST&gt;",OR(AND('4-man'!BY$23="ST&gt;1",BY133&gt;=100),AND('4-man'!BY$24="ST&gt;1",BY141&gt;=100),AND('4-man'!BY$25="ST&gt;1",BY149&gt;=100))))),'4-man'!BY$21,0)</f>
        <v/>
      </c>
      <c r="BZ132">
        <f>IF(OR('4-man'!BZ$22="P",'4-man'!BZ$22="R",AND('4-man'!BZ$21&lt;=IF('4-man'!$BF$4="",999,'4-man'!$BF$4),OR('4-man'!BZ$22="D",LEFT('4-man'!BZ$22,3)="ST&gt;",OR(AND('4-man'!BZ$23="ST&gt;1",BZ133&gt;=100),AND('4-man'!BZ$24="ST&gt;1",BZ141&gt;=100),AND('4-man'!BZ$25="ST&gt;1",BZ149&gt;=100))))),'4-man'!BZ$21,0)</f>
        <v/>
      </c>
      <c r="CA132">
        <f>IF(OR('4-man'!CA$22="P",'4-man'!CA$22="R",AND('4-man'!CA$21&lt;=IF('4-man'!$BF$4="",999,'4-man'!$BF$4),OR('4-man'!CA$22="D",LEFT('4-man'!CA$22,3)="ST&gt;",OR(AND('4-man'!CA$23="ST&gt;1",CA133&gt;=100),AND('4-man'!CA$24="ST&gt;1",CA141&gt;=100),AND('4-man'!CA$25="ST&gt;1",CA149&gt;=100))))),'4-man'!CA$21,0)</f>
        <v/>
      </c>
      <c r="CB132">
        <f>IF(OR('4-man'!CB$22="P",'4-man'!CB$22="R",AND('4-man'!CB$21&lt;=IF('4-man'!$BF$4="",999,'4-man'!$BF$4),OR('4-man'!CB$22="D",LEFT('4-man'!CB$22,3)="ST&gt;",OR(AND('4-man'!CB$23="ST&gt;1",CB133&gt;=100),AND('4-man'!CB$24="ST&gt;1",CB141&gt;=100),AND('4-man'!CB$25="ST&gt;1",CB149&gt;=100))))),'4-man'!CB$21,0)</f>
        <v/>
      </c>
      <c r="CC132">
        <f>IF(OR('4-man'!CC$22="P",'4-man'!CC$22="R",AND('4-man'!CC$21&lt;=IF('4-man'!$BF$4="",999,'4-man'!$BF$4),OR('4-man'!CC$22="D",LEFT('4-man'!CC$22,3)="ST&gt;",OR(AND('4-man'!CC$23="ST&gt;1",CC133&gt;=100),AND('4-man'!CC$24="ST&gt;1",CC141&gt;=100),AND('4-man'!CC$25="ST&gt;1",CC149&gt;=100))))),'4-man'!CC$21,0)</f>
        <v/>
      </c>
      <c r="CD132">
        <f>IF(OR('4-man'!CD$22="P",'4-man'!CD$22="R",AND('4-man'!CD$21&lt;=IF('4-man'!$BF$4="",999,'4-man'!$BF$4),OR('4-man'!CD$22="D",LEFT('4-man'!CD$22,3)="ST&gt;",OR(AND('4-man'!CD$23="ST&gt;1",CD133&gt;=100),AND('4-man'!CD$24="ST&gt;1",CD141&gt;=100),AND('4-man'!CD$25="ST&gt;1",CD149&gt;=100))))),'4-man'!CD$21,0)</f>
        <v/>
      </c>
    </row>
    <row r="133">
      <c r="A133" t="inlineStr">
        <is>
          <t>P2 s1</t>
        </is>
      </c>
      <c r="C133">
        <f>MIN(100,B134+IF(AND(B134&lt;100,B135+1&gt;=IF(OR('4-man'!$F$5=TRUE,'4-man'!$F$5="TRUE",'4-man'!$F$5="Yes"),25,50)),10,0)+IF('4-man'!C$21=$Q$139,25,0))</f>
        <v/>
      </c>
      <c r="D133">
        <f>MIN(100,C134+IF(AND(C134&lt;100,C135+1&gt;=IF(OR('4-man'!$F$5=TRUE,'4-man'!$F$5="TRUE",'4-man'!$F$5="Yes"),25,50)),10,0)+IF('4-man'!D$21=$Q$139,25,0))</f>
        <v/>
      </c>
      <c r="E133">
        <f>MIN(100,D134+IF(AND(D134&lt;100,D135+1&gt;=IF(OR('4-man'!$F$5=TRUE,'4-man'!$F$5="TRUE",'4-man'!$F$5="Yes"),25,50)),10,0)+IF('4-man'!E$21=$Q$139,25,0))</f>
        <v/>
      </c>
      <c r="F133">
        <f>MIN(100,E134+IF(AND(E134&lt;100,E135+1&gt;=IF(OR('4-man'!$F$5=TRUE,'4-man'!$F$5="TRUE",'4-man'!$F$5="Yes"),25,50)),10,0)+IF('4-man'!F$21=$Q$139,25,0))</f>
        <v/>
      </c>
      <c r="G133">
        <f>MIN(100,F134+IF(AND(F134&lt;100,F135+1&gt;=IF(OR('4-man'!$F$5=TRUE,'4-man'!$F$5="TRUE",'4-man'!$F$5="Yes"),25,50)),10,0)+IF('4-man'!G$21=$Q$139,25,0))</f>
        <v/>
      </c>
      <c r="H133">
        <f>MIN(100,G134+IF(AND(G134&lt;100,G135+1&gt;=IF(OR('4-man'!$F$5=TRUE,'4-man'!$F$5="TRUE",'4-man'!$F$5="Yes"),25,50)),10,0)+IF('4-man'!H$21=$Q$139,25,0))</f>
        <v/>
      </c>
      <c r="I133">
        <f>MIN(100,H134+IF(AND(H134&lt;100,H135+1&gt;=IF(OR('4-man'!$F$5=TRUE,'4-man'!$F$5="TRUE",'4-man'!$F$5="Yes"),25,50)),10,0)+IF('4-man'!I$21=$Q$139,25,0))</f>
        <v/>
      </c>
      <c r="J133">
        <f>MIN(100,I134+IF(AND(I134&lt;100,I135+1&gt;=IF(OR('4-man'!$F$5=TRUE,'4-man'!$F$5="TRUE",'4-man'!$F$5="Yes"),25,50)),10,0)+IF('4-man'!J$21=$Q$139,25,0))</f>
        <v/>
      </c>
      <c r="K133">
        <f>MIN(100,J134+IF(AND(J134&lt;100,J135+1&gt;=IF(OR('4-man'!$F$5=TRUE,'4-man'!$F$5="TRUE",'4-man'!$F$5="Yes"),25,50)),10,0)+IF('4-man'!K$21=$Q$139,25,0))</f>
        <v/>
      </c>
      <c r="L133">
        <f>MIN(100,K134+IF(AND(K134&lt;100,K135+1&gt;=IF(OR('4-man'!$F$5=TRUE,'4-man'!$F$5="TRUE",'4-man'!$F$5="Yes"),25,50)),10,0)+IF('4-man'!L$21=$Q$139,25,0))</f>
        <v/>
      </c>
      <c r="M133">
        <f>MIN(100,L134+IF(AND(L134&lt;100,L135+1&gt;=IF(OR('4-man'!$F$5=TRUE,'4-man'!$F$5="TRUE",'4-man'!$F$5="Yes"),25,50)),10,0)+IF('4-man'!M$21=$Q$139,25,0))</f>
        <v/>
      </c>
      <c r="N133">
        <f>MIN(100,M134+IF(AND(M134&lt;100,M135+1&gt;=IF(OR('4-man'!$F$5=TRUE,'4-man'!$F$5="TRUE",'4-man'!$F$5="Yes"),25,50)),10,0)+IF('4-man'!N$21=$Q$139,25,0))</f>
        <v/>
      </c>
      <c r="O133">
        <f>MIN(100,N134+IF(AND(N134&lt;100,N135+1&gt;=IF(OR('4-man'!$F$5=TRUE,'4-man'!$F$5="TRUE",'4-man'!$F$5="Yes"),25,50)),10,0)+IF('4-man'!O$21=$Q$139,25,0))</f>
        <v/>
      </c>
      <c r="P133">
        <f>MIN(100,O134+IF(AND(O134&lt;100,O135+1&gt;=IF(OR('4-man'!$F$5=TRUE,'4-man'!$F$5="TRUE",'4-man'!$F$5="Yes"),25,50)),10,0)+IF('4-man'!P$21=$Q$139,25,0))</f>
        <v/>
      </c>
      <c r="Q133">
        <f>MIN(100,P134+IF(AND(P134&lt;100,P135+1&gt;=IF(OR('4-man'!$F$5=TRUE,'4-man'!$F$5="TRUE",'4-man'!$F$5="Yes"),25,50)),10,0)+IF('4-man'!Q$21=$Q$139,25,0))</f>
        <v/>
      </c>
      <c r="R133">
        <f>MIN(100,Q134+IF(AND(Q134&lt;100,Q135+1&gt;=IF(OR('4-man'!$F$5=TRUE,'4-man'!$F$5="TRUE",'4-man'!$F$5="Yes"),25,50)),10,0)+IF('4-man'!R$21=$Q$139,25,0))</f>
        <v/>
      </c>
      <c r="S133">
        <f>MIN(100,R134+IF(AND(R134&lt;100,R135+1&gt;=IF(OR('4-man'!$F$5=TRUE,'4-man'!$F$5="TRUE",'4-man'!$F$5="Yes"),25,50)),10,0)+IF('4-man'!S$21=$Q$139,25,0))</f>
        <v/>
      </c>
      <c r="T133">
        <f>MIN(100,S134+IF(AND(S134&lt;100,S135+1&gt;=IF(OR('4-man'!$F$5=TRUE,'4-man'!$F$5="TRUE",'4-man'!$F$5="Yes"),25,50)),10,0)+IF('4-man'!T$21=$Q$139,25,0))</f>
        <v/>
      </c>
      <c r="U133">
        <f>MIN(100,T134+IF(AND(T134&lt;100,T135+1&gt;=IF(OR('4-man'!$F$5=TRUE,'4-man'!$F$5="TRUE",'4-man'!$F$5="Yes"),25,50)),10,0)+IF('4-man'!U$21=$Q$139,25,0))</f>
        <v/>
      </c>
      <c r="V133">
        <f>MIN(100,U134+IF(AND(U134&lt;100,U135+1&gt;=IF(OR('4-man'!$F$5=TRUE,'4-man'!$F$5="TRUE",'4-man'!$F$5="Yes"),25,50)),10,0)+IF('4-man'!V$21=$Q$139,25,0))</f>
        <v/>
      </c>
      <c r="W133">
        <f>MIN(100,V134+IF(AND(V134&lt;100,V135+1&gt;=IF(OR('4-man'!$F$5=TRUE,'4-man'!$F$5="TRUE",'4-man'!$F$5="Yes"),25,50)),10,0)+IF('4-man'!W$21=$Q$139,25,0))</f>
        <v/>
      </c>
      <c r="X133">
        <f>MIN(100,W134+IF(AND(W134&lt;100,W135+1&gt;=IF(OR('4-man'!$F$5=TRUE,'4-man'!$F$5="TRUE",'4-man'!$F$5="Yes"),25,50)),10,0)+IF('4-man'!X$21=$Q$139,25,0))</f>
        <v/>
      </c>
      <c r="Y133">
        <f>MIN(100,X134+IF(AND(X134&lt;100,X135+1&gt;=IF(OR('4-man'!$F$5=TRUE,'4-man'!$F$5="TRUE",'4-man'!$F$5="Yes"),25,50)),10,0)+IF('4-man'!Y$21=$Q$139,25,0))</f>
        <v/>
      </c>
      <c r="Z133">
        <f>MIN(100,Y134+IF(AND(Y134&lt;100,Y135+1&gt;=IF(OR('4-man'!$F$5=TRUE,'4-man'!$F$5="TRUE",'4-man'!$F$5="Yes"),25,50)),10,0)+IF('4-man'!Z$21=$Q$139,25,0))</f>
        <v/>
      </c>
      <c r="AA133">
        <f>MIN(100,Z134+IF(AND(Z134&lt;100,Z135+1&gt;=IF(OR('4-man'!$F$5=TRUE,'4-man'!$F$5="TRUE",'4-man'!$F$5="Yes"),25,50)),10,0)+IF('4-man'!AA$21=$Q$139,25,0))</f>
        <v/>
      </c>
      <c r="AB133">
        <f>MIN(100,AA134+IF(AND(AA134&lt;100,AA135+1&gt;=IF(OR('4-man'!$F$5=TRUE,'4-man'!$F$5="TRUE",'4-man'!$F$5="Yes"),25,50)),10,0)+IF('4-man'!AB$21=$Q$139,25,0))</f>
        <v/>
      </c>
      <c r="AC133">
        <f>MIN(100,AB134+IF(AND(AB134&lt;100,AB135+1&gt;=IF(OR('4-man'!$F$5=TRUE,'4-man'!$F$5="TRUE",'4-man'!$F$5="Yes"),25,50)),10,0)+IF('4-man'!AC$21=$Q$139,25,0))</f>
        <v/>
      </c>
      <c r="AD133">
        <f>MIN(100,AC134+IF(AND(AC134&lt;100,AC135+1&gt;=IF(OR('4-man'!$F$5=TRUE,'4-man'!$F$5="TRUE",'4-man'!$F$5="Yes"),25,50)),10,0)+IF('4-man'!AD$21=$Q$139,25,0))</f>
        <v/>
      </c>
      <c r="AE133">
        <f>MIN(100,AD134+IF(AND(AD134&lt;100,AD135+1&gt;=IF(OR('4-man'!$F$5=TRUE,'4-man'!$F$5="TRUE",'4-man'!$F$5="Yes"),25,50)),10,0)+IF('4-man'!AE$21=$Q$139,25,0))</f>
        <v/>
      </c>
      <c r="AF133">
        <f>MIN(100,AE134+IF(AND(AE134&lt;100,AE135+1&gt;=IF(OR('4-man'!$F$5=TRUE,'4-man'!$F$5="TRUE",'4-man'!$F$5="Yes"),25,50)),10,0)+IF('4-man'!AF$21=$Q$139,25,0))</f>
        <v/>
      </c>
      <c r="AG133">
        <f>MIN(100,AF134+IF(AND(AF134&lt;100,AF135+1&gt;=IF(OR('4-man'!$F$5=TRUE,'4-man'!$F$5="TRUE",'4-man'!$F$5="Yes"),25,50)),10,0)+IF('4-man'!AG$21=$Q$139,25,0))</f>
        <v/>
      </c>
      <c r="AH133">
        <f>MIN(100,AG134+IF(AND(AG134&lt;100,AG135+1&gt;=IF(OR('4-man'!$F$5=TRUE,'4-man'!$F$5="TRUE",'4-man'!$F$5="Yes"),25,50)),10,0)+IF('4-man'!AH$21=$Q$139,25,0))</f>
        <v/>
      </c>
      <c r="AI133">
        <f>MIN(100,AH134+IF(AND(AH134&lt;100,AH135+1&gt;=IF(OR('4-man'!$F$5=TRUE,'4-man'!$F$5="TRUE",'4-man'!$F$5="Yes"),25,50)),10,0)+IF('4-man'!AI$21=$Q$139,25,0))</f>
        <v/>
      </c>
      <c r="AJ133">
        <f>MIN(100,AI134+IF(AND(AI134&lt;100,AI135+1&gt;=IF(OR('4-man'!$F$5=TRUE,'4-man'!$F$5="TRUE",'4-man'!$F$5="Yes"),25,50)),10,0)+IF('4-man'!AJ$21=$Q$139,25,0))</f>
        <v/>
      </c>
      <c r="AK133">
        <f>MIN(100,AJ134+IF(AND(AJ134&lt;100,AJ135+1&gt;=IF(OR('4-man'!$F$5=TRUE,'4-man'!$F$5="TRUE",'4-man'!$F$5="Yes"),25,50)),10,0)+IF('4-man'!AK$21=$Q$139,25,0))</f>
        <v/>
      </c>
      <c r="AL133">
        <f>MIN(100,AK134+IF(AND(AK134&lt;100,AK135+1&gt;=IF(OR('4-man'!$F$5=TRUE,'4-man'!$F$5="TRUE",'4-man'!$F$5="Yes"),25,50)),10,0)+IF('4-man'!AL$21=$Q$139,25,0))</f>
        <v/>
      </c>
      <c r="AM133">
        <f>MIN(100,AL134+IF(AND(AL134&lt;100,AL135+1&gt;=IF(OR('4-man'!$F$5=TRUE,'4-man'!$F$5="TRUE",'4-man'!$F$5="Yes"),25,50)),10,0)+IF('4-man'!AM$21=$Q$139,25,0))</f>
        <v/>
      </c>
      <c r="AN133">
        <f>MIN(100,AM134+IF(AND(AM134&lt;100,AM135+1&gt;=IF(OR('4-man'!$F$5=TRUE,'4-man'!$F$5="TRUE",'4-man'!$F$5="Yes"),25,50)),10,0)+IF('4-man'!AN$21=$Q$139,25,0))</f>
        <v/>
      </c>
      <c r="AO133">
        <f>MIN(100,AN134+IF(AND(AN134&lt;100,AN135+1&gt;=IF(OR('4-man'!$F$5=TRUE,'4-man'!$F$5="TRUE",'4-man'!$F$5="Yes"),25,50)),10,0)+IF('4-man'!AO$21=$Q$139,25,0))</f>
        <v/>
      </c>
      <c r="AP133">
        <f>MIN(100,AO134+IF(AND(AO134&lt;100,AO135+1&gt;=IF(OR('4-man'!$F$5=TRUE,'4-man'!$F$5="TRUE",'4-man'!$F$5="Yes"),25,50)),10,0)+IF('4-man'!AP$21=$Q$139,25,0))</f>
        <v/>
      </c>
      <c r="AQ133">
        <f>MIN(100,AP134+IF(AND(AP134&lt;100,AP135+1&gt;=IF(OR('4-man'!$F$5=TRUE,'4-man'!$F$5="TRUE",'4-man'!$F$5="Yes"),25,50)),10,0)+IF('4-man'!AQ$21=$Q$139,25,0))</f>
        <v/>
      </c>
      <c r="AR133">
        <f>MIN(100,AQ134+IF(AND(AQ134&lt;100,AQ135+1&gt;=IF(OR('4-man'!$F$5=TRUE,'4-man'!$F$5="TRUE",'4-man'!$F$5="Yes"),25,50)),10,0)+IF('4-man'!AR$21=$Q$139,25,0))</f>
        <v/>
      </c>
      <c r="AS133">
        <f>MIN(100,AR134+IF(AND(AR134&lt;100,AR135+1&gt;=IF(OR('4-man'!$F$5=TRUE,'4-man'!$F$5="TRUE",'4-man'!$F$5="Yes"),25,50)),10,0)+IF('4-man'!AS$21=$Q$139,25,0))</f>
        <v/>
      </c>
      <c r="AT133">
        <f>MIN(100,AS134+IF(AND(AS134&lt;100,AS135+1&gt;=IF(OR('4-man'!$F$5=TRUE,'4-man'!$F$5="TRUE",'4-man'!$F$5="Yes"),25,50)),10,0)+IF('4-man'!AT$21=$Q$139,25,0))</f>
        <v/>
      </c>
      <c r="AU133">
        <f>MIN(100,AT134+IF(AND(AT134&lt;100,AT135+1&gt;=IF(OR('4-man'!$F$5=TRUE,'4-man'!$F$5="TRUE",'4-man'!$F$5="Yes"),25,50)),10,0)+IF('4-man'!AU$21=$Q$139,25,0))</f>
        <v/>
      </c>
      <c r="AV133">
        <f>MIN(100,AU134+IF(AND(AU134&lt;100,AU135+1&gt;=IF(OR('4-man'!$F$5=TRUE,'4-man'!$F$5="TRUE",'4-man'!$F$5="Yes"),25,50)),10,0)+IF('4-man'!AV$21=$Q$139,25,0))</f>
        <v/>
      </c>
      <c r="AW133">
        <f>MIN(100,AV134+IF(AND(AV134&lt;100,AV135+1&gt;=IF(OR('4-man'!$F$5=TRUE,'4-man'!$F$5="TRUE",'4-man'!$F$5="Yes"),25,50)),10,0)+IF('4-man'!AW$21=$Q$139,25,0))</f>
        <v/>
      </c>
      <c r="AX133">
        <f>MIN(100,AW134+IF(AND(AW134&lt;100,AW135+1&gt;=IF(OR('4-man'!$F$5=TRUE,'4-man'!$F$5="TRUE",'4-man'!$F$5="Yes"),25,50)),10,0)+IF('4-man'!AX$21=$Q$139,25,0))</f>
        <v/>
      </c>
      <c r="AY133">
        <f>MIN(100,AX134+IF(AND(AX134&lt;100,AX135+1&gt;=IF(OR('4-man'!$F$5=TRUE,'4-man'!$F$5="TRUE",'4-man'!$F$5="Yes"),25,50)),10,0)+IF('4-man'!AY$21=$Q$139,25,0))</f>
        <v/>
      </c>
      <c r="AZ133">
        <f>MIN(100,AY134+IF(AND(AY134&lt;100,AY135+1&gt;=IF(OR('4-man'!$F$5=TRUE,'4-man'!$F$5="TRUE",'4-man'!$F$5="Yes"),25,50)),10,0)+IF('4-man'!AZ$21=$Q$139,25,0))</f>
        <v/>
      </c>
      <c r="BA133">
        <f>MIN(100,AZ134+IF(AND(AZ134&lt;100,AZ135+1&gt;=IF(OR('4-man'!$F$5=TRUE,'4-man'!$F$5="TRUE",'4-man'!$F$5="Yes"),25,50)),10,0)+IF('4-man'!BA$21=$Q$139,25,0))</f>
        <v/>
      </c>
      <c r="BB133">
        <f>MIN(100,BA134+IF(AND(BA134&lt;100,BA135+1&gt;=IF(OR('4-man'!$F$5=TRUE,'4-man'!$F$5="TRUE",'4-man'!$F$5="Yes"),25,50)),10,0)+IF('4-man'!BB$21=$Q$139,25,0))</f>
        <v/>
      </c>
      <c r="BC133">
        <f>MIN(100,BB134+IF(AND(BB134&lt;100,BB135+1&gt;=IF(OR('4-man'!$F$5=TRUE,'4-man'!$F$5="TRUE",'4-man'!$F$5="Yes"),25,50)),10,0)+IF('4-man'!BC$21=$Q$139,25,0))</f>
        <v/>
      </c>
      <c r="BD133">
        <f>MIN(100,BC134+IF(AND(BC134&lt;100,BC135+1&gt;=IF(OR('4-man'!$F$5=TRUE,'4-man'!$F$5="TRUE",'4-man'!$F$5="Yes"),25,50)),10,0)+IF('4-man'!BD$21=$Q$139,25,0))</f>
        <v/>
      </c>
      <c r="BE133">
        <f>MIN(100,BD134+IF(AND(BD134&lt;100,BD135+1&gt;=IF(OR('4-man'!$F$5=TRUE,'4-man'!$F$5="TRUE",'4-man'!$F$5="Yes"),25,50)),10,0)+IF('4-man'!BE$21=$Q$139,25,0))</f>
        <v/>
      </c>
      <c r="BF133">
        <f>MIN(100,BE134+IF(AND(BE134&lt;100,BE135+1&gt;=IF(OR('4-man'!$F$5=TRUE,'4-man'!$F$5="TRUE",'4-man'!$F$5="Yes"),25,50)),10,0)+IF('4-man'!BF$21=$Q$139,25,0))</f>
        <v/>
      </c>
      <c r="BG133">
        <f>MIN(100,BF134+IF(AND(BF134&lt;100,BF135+1&gt;=IF(OR('4-man'!$F$5=TRUE,'4-man'!$F$5="TRUE",'4-man'!$F$5="Yes"),25,50)),10,0)+IF('4-man'!BG$21=$Q$139,25,0))</f>
        <v/>
      </c>
      <c r="BH133">
        <f>MIN(100,BG134+IF(AND(BG134&lt;100,BG135+1&gt;=IF(OR('4-man'!$F$5=TRUE,'4-man'!$F$5="TRUE",'4-man'!$F$5="Yes"),25,50)),10,0)+IF('4-man'!BH$21=$Q$139,25,0))</f>
        <v/>
      </c>
      <c r="BI133">
        <f>MIN(100,BH134+IF(AND(BH134&lt;100,BH135+1&gt;=IF(OR('4-man'!$F$5=TRUE,'4-man'!$F$5="TRUE",'4-man'!$F$5="Yes"),25,50)),10,0)+IF('4-man'!BI$21=$Q$139,25,0))</f>
        <v/>
      </c>
      <c r="BJ133">
        <f>MIN(100,BI134+IF(AND(BI134&lt;100,BI135+1&gt;=IF(OR('4-man'!$F$5=TRUE,'4-man'!$F$5="TRUE",'4-man'!$F$5="Yes"),25,50)),10,0)+IF('4-man'!BJ$21=$Q$139,25,0))</f>
        <v/>
      </c>
      <c r="BK133">
        <f>MIN(100,BJ134+IF(AND(BJ134&lt;100,BJ135+1&gt;=IF(OR('4-man'!$F$5=TRUE,'4-man'!$F$5="TRUE",'4-man'!$F$5="Yes"),25,50)),10,0)+IF('4-man'!BK$21=$Q$139,25,0))</f>
        <v/>
      </c>
      <c r="BL133">
        <f>MIN(100,BK134+IF(AND(BK134&lt;100,BK135+1&gt;=IF(OR('4-man'!$F$5=TRUE,'4-man'!$F$5="TRUE",'4-man'!$F$5="Yes"),25,50)),10,0)+IF('4-man'!BL$21=$Q$139,25,0))</f>
        <v/>
      </c>
      <c r="BM133">
        <f>MIN(100,BL134+IF(AND(BL134&lt;100,BL135+1&gt;=IF(OR('4-man'!$F$5=TRUE,'4-man'!$F$5="TRUE",'4-man'!$F$5="Yes"),25,50)),10,0)+IF('4-man'!BM$21=$Q$139,25,0))</f>
        <v/>
      </c>
      <c r="BN133">
        <f>MIN(100,BM134+IF(AND(BM134&lt;100,BM135+1&gt;=IF(OR('4-man'!$F$5=TRUE,'4-man'!$F$5="TRUE",'4-man'!$F$5="Yes"),25,50)),10,0)+IF('4-man'!BN$21=$Q$139,25,0))</f>
        <v/>
      </c>
      <c r="BO133">
        <f>MIN(100,BN134+IF(AND(BN134&lt;100,BN135+1&gt;=IF(OR('4-man'!$F$5=TRUE,'4-man'!$F$5="TRUE",'4-man'!$F$5="Yes"),25,50)),10,0)+IF('4-man'!BO$21=$Q$139,25,0))</f>
        <v/>
      </c>
      <c r="BP133">
        <f>MIN(100,BO134+IF(AND(BO134&lt;100,BO135+1&gt;=IF(OR('4-man'!$F$5=TRUE,'4-man'!$F$5="TRUE",'4-man'!$F$5="Yes"),25,50)),10,0)+IF('4-man'!BP$21=$Q$139,25,0))</f>
        <v/>
      </c>
      <c r="BQ133">
        <f>MIN(100,BP134+IF(AND(BP134&lt;100,BP135+1&gt;=IF(OR('4-man'!$F$5=TRUE,'4-man'!$F$5="TRUE",'4-man'!$F$5="Yes"),25,50)),10,0)+IF('4-man'!BQ$21=$Q$139,25,0))</f>
        <v/>
      </c>
      <c r="BR133">
        <f>MIN(100,BQ134+IF(AND(BQ134&lt;100,BQ135+1&gt;=IF(OR('4-man'!$F$5=TRUE,'4-man'!$F$5="TRUE",'4-man'!$F$5="Yes"),25,50)),10,0)+IF('4-man'!BR$21=$Q$139,25,0))</f>
        <v/>
      </c>
      <c r="BS133">
        <f>MIN(100,BR134+IF(AND(BR134&lt;100,BR135+1&gt;=IF(OR('4-man'!$F$5=TRUE,'4-man'!$F$5="TRUE",'4-man'!$F$5="Yes"),25,50)),10,0)+IF('4-man'!BS$21=$Q$139,25,0))</f>
        <v/>
      </c>
      <c r="BT133">
        <f>MIN(100,BS134+IF(AND(BS134&lt;100,BS135+1&gt;=IF(OR('4-man'!$F$5=TRUE,'4-man'!$F$5="TRUE",'4-man'!$F$5="Yes"),25,50)),10,0)+IF('4-man'!BT$21=$Q$139,25,0))</f>
        <v/>
      </c>
      <c r="BU133">
        <f>MIN(100,BT134+IF(AND(BT134&lt;100,BT135+1&gt;=IF(OR('4-man'!$F$5=TRUE,'4-man'!$F$5="TRUE",'4-man'!$F$5="Yes"),25,50)),10,0)+IF('4-man'!BU$21=$Q$139,25,0))</f>
        <v/>
      </c>
      <c r="BV133">
        <f>MIN(100,BU134+IF(AND(BU134&lt;100,BU135+1&gt;=IF(OR('4-man'!$F$5=TRUE,'4-man'!$F$5="TRUE",'4-man'!$F$5="Yes"),25,50)),10,0)+IF('4-man'!BV$21=$Q$139,25,0))</f>
        <v/>
      </c>
      <c r="BW133">
        <f>MIN(100,BV134+IF(AND(BV134&lt;100,BV135+1&gt;=IF(OR('4-man'!$F$5=TRUE,'4-man'!$F$5="TRUE",'4-man'!$F$5="Yes"),25,50)),10,0)+IF('4-man'!BW$21=$Q$139,25,0))</f>
        <v/>
      </c>
      <c r="BX133">
        <f>MIN(100,BW134+IF(AND(BW134&lt;100,BW135+1&gt;=IF(OR('4-man'!$F$5=TRUE,'4-man'!$F$5="TRUE",'4-man'!$F$5="Yes"),25,50)),10,0)+IF('4-man'!BX$21=$Q$139,25,0))</f>
        <v/>
      </c>
      <c r="BY133">
        <f>MIN(100,BX134+IF(AND(BX134&lt;100,BX135+1&gt;=IF(OR('4-man'!$F$5=TRUE,'4-man'!$F$5="TRUE",'4-man'!$F$5="Yes"),25,50)),10,0)+IF('4-man'!BY$21=$Q$139,25,0))</f>
        <v/>
      </c>
      <c r="BZ133">
        <f>MIN(100,BY134+IF(AND(BY134&lt;100,BY135+1&gt;=IF(OR('4-man'!$F$5=TRUE,'4-man'!$F$5="TRUE",'4-man'!$F$5="Yes"),25,50)),10,0)+IF('4-man'!BZ$21=$Q$139,25,0))</f>
        <v/>
      </c>
      <c r="CA133">
        <f>MIN(100,BZ134+IF(AND(BZ134&lt;100,BZ135+1&gt;=IF(OR('4-man'!$F$5=TRUE,'4-man'!$F$5="TRUE",'4-man'!$F$5="Yes"),25,50)),10,0)+IF('4-man'!CA$21=$Q$139,25,0))</f>
        <v/>
      </c>
      <c r="CB133">
        <f>MIN(100,CA134+IF(AND(CA134&lt;100,CA135+1&gt;=IF(OR('4-man'!$F$5=TRUE,'4-man'!$F$5="TRUE",'4-man'!$F$5="Yes"),25,50)),10,0)+IF('4-man'!CB$21=$Q$139,25,0))</f>
        <v/>
      </c>
      <c r="CC133">
        <f>MIN(100,CB134+IF(AND(CB134&lt;100,CB135+1&gt;=IF(OR('4-man'!$F$5=TRUE,'4-man'!$F$5="TRUE",'4-man'!$F$5="Yes"),25,50)),10,0)+IF('4-man'!CC$21=$Q$139,25,0))</f>
        <v/>
      </c>
      <c r="CD133">
        <f>MIN(100,CC134+IF(AND(CC134&lt;100,CC135+1&gt;=IF(OR('4-man'!$F$5=TRUE,'4-man'!$F$5="TRUE",'4-man'!$F$5="Yes"),25,50)),10,0)+IF('4-man'!CD$21=$Q$139,25,0))</f>
        <v/>
      </c>
    </row>
    <row r="134">
      <c r="A134" t="inlineStr">
        <is>
          <t>P2 spec</t>
        </is>
      </c>
      <c r="B134">
        <f>IF('4-man'!$C$5="",100,'4-man'!$C$5)</f>
        <v/>
      </c>
      <c r="C134">
        <f>IF('4-man'!C$23="R",MIN(100,C133+10),IF('4-man'!C$23="P",MIN(100,C133+25),IF(AND('4-man'!C$23="D",C133&gt;=35,'4-man'!C$21&lt;=IF('4-man'!$BF$4="",999,'4-man'!$BF$4)),C133-35,IF(AND(LEFT('4-man'!C$23,3)="ST&gt;",C133&gt;=100,'4-man'!C$21&lt;=IF('4-man'!$BF$4="",999,'4-man'!$BF$4)),0,IF(AND(OR(AND('4-man'!C$22="ST&gt;2",C125&gt;=100),AND('4-man'!C$24="ST&gt;2",C141&gt;=100),AND('4-man'!C$25="ST&gt;2",C149&gt;=100)),'4-man'!C$21&lt;=IF('4-man'!$BF$4="",999,'4-man'!$BF$4)),100,C133)))))</f>
        <v/>
      </c>
      <c r="D134">
        <f>IF('4-man'!D$23="R",MIN(100,D133+10),IF('4-man'!D$23="P",MIN(100,D133+25),IF(AND('4-man'!D$23="D",D133&gt;=35,'4-man'!D$21&lt;=IF('4-man'!$BF$4="",999,'4-man'!$BF$4)),D133-35,IF(AND(LEFT('4-man'!D$23,3)="ST&gt;",D133&gt;=100,'4-man'!D$21&lt;=IF('4-man'!$BF$4="",999,'4-man'!$BF$4)),0,IF(AND(OR(AND('4-man'!D$22="ST&gt;2",D125&gt;=100),AND('4-man'!D$24="ST&gt;2",D141&gt;=100),AND('4-man'!D$25="ST&gt;2",D149&gt;=100)),'4-man'!D$21&lt;=IF('4-man'!$BF$4="",999,'4-man'!$BF$4)),100,D133)))))</f>
        <v/>
      </c>
      <c r="E134">
        <f>IF('4-man'!E$23="R",MIN(100,E133+10),IF('4-man'!E$23="P",MIN(100,E133+25),IF(AND('4-man'!E$23="D",E133&gt;=35,'4-man'!E$21&lt;=IF('4-man'!$BF$4="",999,'4-man'!$BF$4)),E133-35,IF(AND(LEFT('4-man'!E$23,3)="ST&gt;",E133&gt;=100,'4-man'!E$21&lt;=IF('4-man'!$BF$4="",999,'4-man'!$BF$4)),0,IF(AND(OR(AND('4-man'!E$22="ST&gt;2",E125&gt;=100),AND('4-man'!E$24="ST&gt;2",E141&gt;=100),AND('4-man'!E$25="ST&gt;2",E149&gt;=100)),'4-man'!E$21&lt;=IF('4-man'!$BF$4="",999,'4-man'!$BF$4)),100,E133)))))</f>
        <v/>
      </c>
      <c r="F134">
        <f>IF('4-man'!F$23="R",MIN(100,F133+10),IF('4-man'!F$23="P",MIN(100,F133+25),IF(AND('4-man'!F$23="D",F133&gt;=35,'4-man'!F$21&lt;=IF('4-man'!$BF$4="",999,'4-man'!$BF$4)),F133-35,IF(AND(LEFT('4-man'!F$23,3)="ST&gt;",F133&gt;=100,'4-man'!F$21&lt;=IF('4-man'!$BF$4="",999,'4-man'!$BF$4)),0,IF(AND(OR(AND('4-man'!F$22="ST&gt;2",F125&gt;=100),AND('4-man'!F$24="ST&gt;2",F141&gt;=100),AND('4-man'!F$25="ST&gt;2",F149&gt;=100)),'4-man'!F$21&lt;=IF('4-man'!$BF$4="",999,'4-man'!$BF$4)),100,F133)))))</f>
        <v/>
      </c>
      <c r="G134">
        <f>IF('4-man'!G$23="R",MIN(100,G133+10),IF('4-man'!G$23="P",MIN(100,G133+25),IF(AND('4-man'!G$23="D",G133&gt;=35,'4-man'!G$21&lt;=IF('4-man'!$BF$4="",999,'4-man'!$BF$4)),G133-35,IF(AND(LEFT('4-man'!G$23,3)="ST&gt;",G133&gt;=100,'4-man'!G$21&lt;=IF('4-man'!$BF$4="",999,'4-man'!$BF$4)),0,IF(AND(OR(AND('4-man'!G$22="ST&gt;2",G125&gt;=100),AND('4-man'!G$24="ST&gt;2",G141&gt;=100),AND('4-man'!G$25="ST&gt;2",G149&gt;=100)),'4-man'!G$21&lt;=IF('4-man'!$BF$4="",999,'4-man'!$BF$4)),100,G133)))))</f>
        <v/>
      </c>
      <c r="H134">
        <f>IF('4-man'!H$23="R",MIN(100,H133+10),IF('4-man'!H$23="P",MIN(100,H133+25),IF(AND('4-man'!H$23="D",H133&gt;=35,'4-man'!H$21&lt;=IF('4-man'!$BF$4="",999,'4-man'!$BF$4)),H133-35,IF(AND(LEFT('4-man'!H$23,3)="ST&gt;",H133&gt;=100,'4-man'!H$21&lt;=IF('4-man'!$BF$4="",999,'4-man'!$BF$4)),0,IF(AND(OR(AND('4-man'!H$22="ST&gt;2",H125&gt;=100),AND('4-man'!H$24="ST&gt;2",H141&gt;=100),AND('4-man'!H$25="ST&gt;2",H149&gt;=100)),'4-man'!H$21&lt;=IF('4-man'!$BF$4="",999,'4-man'!$BF$4)),100,H133)))))</f>
        <v/>
      </c>
      <c r="I134">
        <f>IF('4-man'!I$23="R",MIN(100,I133+10),IF('4-man'!I$23="P",MIN(100,I133+25),IF(AND('4-man'!I$23="D",I133&gt;=35,'4-man'!I$21&lt;=IF('4-man'!$BF$4="",999,'4-man'!$BF$4)),I133-35,IF(AND(LEFT('4-man'!I$23,3)="ST&gt;",I133&gt;=100,'4-man'!I$21&lt;=IF('4-man'!$BF$4="",999,'4-man'!$BF$4)),0,IF(AND(OR(AND('4-man'!I$22="ST&gt;2",I125&gt;=100),AND('4-man'!I$24="ST&gt;2",I141&gt;=100),AND('4-man'!I$25="ST&gt;2",I149&gt;=100)),'4-man'!I$21&lt;=IF('4-man'!$BF$4="",999,'4-man'!$BF$4)),100,I133)))))</f>
        <v/>
      </c>
      <c r="J134">
        <f>IF('4-man'!J$23="R",MIN(100,J133+10),IF('4-man'!J$23="P",MIN(100,J133+25),IF(AND('4-man'!J$23="D",J133&gt;=35,'4-man'!J$21&lt;=IF('4-man'!$BF$4="",999,'4-man'!$BF$4)),J133-35,IF(AND(LEFT('4-man'!J$23,3)="ST&gt;",J133&gt;=100,'4-man'!J$21&lt;=IF('4-man'!$BF$4="",999,'4-man'!$BF$4)),0,IF(AND(OR(AND('4-man'!J$22="ST&gt;2",J125&gt;=100),AND('4-man'!J$24="ST&gt;2",J141&gt;=100),AND('4-man'!J$25="ST&gt;2",J149&gt;=100)),'4-man'!J$21&lt;=IF('4-man'!$BF$4="",999,'4-man'!$BF$4)),100,J133)))))</f>
        <v/>
      </c>
      <c r="K134">
        <f>IF('4-man'!K$23="R",MIN(100,K133+10),IF('4-man'!K$23="P",MIN(100,K133+25),IF(AND('4-man'!K$23="D",K133&gt;=35,'4-man'!K$21&lt;=IF('4-man'!$BF$4="",999,'4-man'!$BF$4)),K133-35,IF(AND(LEFT('4-man'!K$23,3)="ST&gt;",K133&gt;=100,'4-man'!K$21&lt;=IF('4-man'!$BF$4="",999,'4-man'!$BF$4)),0,IF(AND(OR(AND('4-man'!K$22="ST&gt;2",K125&gt;=100),AND('4-man'!K$24="ST&gt;2",K141&gt;=100),AND('4-man'!K$25="ST&gt;2",K149&gt;=100)),'4-man'!K$21&lt;=IF('4-man'!$BF$4="",999,'4-man'!$BF$4)),100,K133)))))</f>
        <v/>
      </c>
      <c r="L134">
        <f>IF('4-man'!L$23="R",MIN(100,L133+10),IF('4-man'!L$23="P",MIN(100,L133+25),IF(AND('4-man'!L$23="D",L133&gt;=35,'4-man'!L$21&lt;=IF('4-man'!$BF$4="",999,'4-man'!$BF$4)),L133-35,IF(AND(LEFT('4-man'!L$23,3)="ST&gt;",L133&gt;=100,'4-man'!L$21&lt;=IF('4-man'!$BF$4="",999,'4-man'!$BF$4)),0,IF(AND(OR(AND('4-man'!L$22="ST&gt;2",L125&gt;=100),AND('4-man'!L$24="ST&gt;2",L141&gt;=100),AND('4-man'!L$25="ST&gt;2",L149&gt;=100)),'4-man'!L$21&lt;=IF('4-man'!$BF$4="",999,'4-man'!$BF$4)),100,L133)))))</f>
        <v/>
      </c>
      <c r="M134">
        <f>IF('4-man'!M$23="R",MIN(100,M133+10),IF('4-man'!M$23="P",MIN(100,M133+25),IF(AND('4-man'!M$23="D",M133&gt;=35,'4-man'!M$21&lt;=IF('4-man'!$BF$4="",999,'4-man'!$BF$4)),M133-35,IF(AND(LEFT('4-man'!M$23,3)="ST&gt;",M133&gt;=100,'4-man'!M$21&lt;=IF('4-man'!$BF$4="",999,'4-man'!$BF$4)),0,IF(AND(OR(AND('4-man'!M$22="ST&gt;2",M125&gt;=100),AND('4-man'!M$24="ST&gt;2",M141&gt;=100),AND('4-man'!M$25="ST&gt;2",M149&gt;=100)),'4-man'!M$21&lt;=IF('4-man'!$BF$4="",999,'4-man'!$BF$4)),100,M133)))))</f>
        <v/>
      </c>
      <c r="N134">
        <f>IF('4-man'!N$23="R",MIN(100,N133+10),IF('4-man'!N$23="P",MIN(100,N133+25),IF(AND('4-man'!N$23="D",N133&gt;=35,'4-man'!N$21&lt;=IF('4-man'!$BF$4="",999,'4-man'!$BF$4)),N133-35,IF(AND(LEFT('4-man'!N$23,3)="ST&gt;",N133&gt;=100,'4-man'!N$21&lt;=IF('4-man'!$BF$4="",999,'4-man'!$BF$4)),0,IF(AND(OR(AND('4-man'!N$22="ST&gt;2",N125&gt;=100),AND('4-man'!N$24="ST&gt;2",N141&gt;=100),AND('4-man'!N$25="ST&gt;2",N149&gt;=100)),'4-man'!N$21&lt;=IF('4-man'!$BF$4="",999,'4-man'!$BF$4)),100,N133)))))</f>
        <v/>
      </c>
      <c r="O134">
        <f>IF('4-man'!O$23="R",MIN(100,O133+10),IF('4-man'!O$23="P",MIN(100,O133+25),IF(AND('4-man'!O$23="D",O133&gt;=35,'4-man'!O$21&lt;=IF('4-man'!$BF$4="",999,'4-man'!$BF$4)),O133-35,IF(AND(LEFT('4-man'!O$23,3)="ST&gt;",O133&gt;=100,'4-man'!O$21&lt;=IF('4-man'!$BF$4="",999,'4-man'!$BF$4)),0,IF(AND(OR(AND('4-man'!O$22="ST&gt;2",O125&gt;=100),AND('4-man'!O$24="ST&gt;2",O141&gt;=100),AND('4-man'!O$25="ST&gt;2",O149&gt;=100)),'4-man'!O$21&lt;=IF('4-man'!$BF$4="",999,'4-man'!$BF$4)),100,O133)))))</f>
        <v/>
      </c>
      <c r="P134">
        <f>IF('4-man'!P$23="R",MIN(100,P133+10),IF('4-man'!P$23="P",MIN(100,P133+25),IF(AND('4-man'!P$23="D",P133&gt;=35,'4-man'!P$21&lt;=IF('4-man'!$BF$4="",999,'4-man'!$BF$4)),P133-35,IF(AND(LEFT('4-man'!P$23,3)="ST&gt;",P133&gt;=100,'4-man'!P$21&lt;=IF('4-man'!$BF$4="",999,'4-man'!$BF$4)),0,IF(AND(OR(AND('4-man'!P$22="ST&gt;2",P125&gt;=100),AND('4-man'!P$24="ST&gt;2",P141&gt;=100),AND('4-man'!P$25="ST&gt;2",P149&gt;=100)),'4-man'!P$21&lt;=IF('4-man'!$BF$4="",999,'4-man'!$BF$4)),100,P133)))))</f>
        <v/>
      </c>
      <c r="Q134">
        <f>IF('4-man'!Q$23="R",MIN(100,Q133+10),IF('4-man'!Q$23="P",MIN(100,Q133+25),IF(AND('4-man'!Q$23="D",Q133&gt;=35,'4-man'!Q$21&lt;=IF('4-man'!$BF$4="",999,'4-man'!$BF$4)),Q133-35,IF(AND(LEFT('4-man'!Q$23,3)="ST&gt;",Q133&gt;=100,'4-man'!Q$21&lt;=IF('4-man'!$BF$4="",999,'4-man'!$BF$4)),0,IF(AND(OR(AND('4-man'!Q$22="ST&gt;2",Q125&gt;=100),AND('4-man'!Q$24="ST&gt;2",Q141&gt;=100),AND('4-man'!Q$25="ST&gt;2",Q149&gt;=100)),'4-man'!Q$21&lt;=IF('4-man'!$BF$4="",999,'4-man'!$BF$4)),100,Q133)))))</f>
        <v/>
      </c>
      <c r="R134">
        <f>IF('4-man'!R$23="R",MIN(100,R133+10),IF('4-man'!R$23="P",MIN(100,R133+25),IF(AND('4-man'!R$23="D",R133&gt;=35,'4-man'!R$21&lt;=IF('4-man'!$BF$4="",999,'4-man'!$BF$4)),R133-35,IF(AND(LEFT('4-man'!R$23,3)="ST&gt;",R133&gt;=100,'4-man'!R$21&lt;=IF('4-man'!$BF$4="",999,'4-man'!$BF$4)),0,IF(AND(OR(AND('4-man'!R$22="ST&gt;2",R125&gt;=100),AND('4-man'!R$24="ST&gt;2",R141&gt;=100),AND('4-man'!R$25="ST&gt;2",R149&gt;=100)),'4-man'!R$21&lt;=IF('4-man'!$BF$4="",999,'4-man'!$BF$4)),100,R133)))))</f>
        <v/>
      </c>
      <c r="S134">
        <f>IF('4-man'!S$23="R",MIN(100,S133+10),IF('4-man'!S$23="P",MIN(100,S133+25),IF(AND('4-man'!S$23="D",S133&gt;=35,'4-man'!S$21&lt;=IF('4-man'!$BF$4="",999,'4-man'!$BF$4)),S133-35,IF(AND(LEFT('4-man'!S$23,3)="ST&gt;",S133&gt;=100,'4-man'!S$21&lt;=IF('4-man'!$BF$4="",999,'4-man'!$BF$4)),0,IF(AND(OR(AND('4-man'!S$22="ST&gt;2",S125&gt;=100),AND('4-man'!S$24="ST&gt;2",S141&gt;=100),AND('4-man'!S$25="ST&gt;2",S149&gt;=100)),'4-man'!S$21&lt;=IF('4-man'!$BF$4="",999,'4-man'!$BF$4)),100,S133)))))</f>
        <v/>
      </c>
      <c r="T134">
        <f>IF('4-man'!T$23="R",MIN(100,T133+10),IF('4-man'!T$23="P",MIN(100,T133+25),IF(AND('4-man'!T$23="D",T133&gt;=35,'4-man'!T$21&lt;=IF('4-man'!$BF$4="",999,'4-man'!$BF$4)),T133-35,IF(AND(LEFT('4-man'!T$23,3)="ST&gt;",T133&gt;=100,'4-man'!T$21&lt;=IF('4-man'!$BF$4="",999,'4-man'!$BF$4)),0,IF(AND(OR(AND('4-man'!T$22="ST&gt;2",T125&gt;=100),AND('4-man'!T$24="ST&gt;2",T141&gt;=100),AND('4-man'!T$25="ST&gt;2",T149&gt;=100)),'4-man'!T$21&lt;=IF('4-man'!$BF$4="",999,'4-man'!$BF$4)),100,T133)))))</f>
        <v/>
      </c>
      <c r="U134">
        <f>IF('4-man'!U$23="R",MIN(100,U133+10),IF('4-man'!U$23="P",MIN(100,U133+25),IF(AND('4-man'!U$23="D",U133&gt;=35,'4-man'!U$21&lt;=IF('4-man'!$BF$4="",999,'4-man'!$BF$4)),U133-35,IF(AND(LEFT('4-man'!U$23,3)="ST&gt;",U133&gt;=100,'4-man'!U$21&lt;=IF('4-man'!$BF$4="",999,'4-man'!$BF$4)),0,IF(AND(OR(AND('4-man'!U$22="ST&gt;2",U125&gt;=100),AND('4-man'!U$24="ST&gt;2",U141&gt;=100),AND('4-man'!U$25="ST&gt;2",U149&gt;=100)),'4-man'!U$21&lt;=IF('4-man'!$BF$4="",999,'4-man'!$BF$4)),100,U133)))))</f>
        <v/>
      </c>
      <c r="V134">
        <f>IF('4-man'!V$23="R",MIN(100,V133+10),IF('4-man'!V$23="P",MIN(100,V133+25),IF(AND('4-man'!V$23="D",V133&gt;=35,'4-man'!V$21&lt;=IF('4-man'!$BF$4="",999,'4-man'!$BF$4)),V133-35,IF(AND(LEFT('4-man'!V$23,3)="ST&gt;",V133&gt;=100,'4-man'!V$21&lt;=IF('4-man'!$BF$4="",999,'4-man'!$BF$4)),0,IF(AND(OR(AND('4-man'!V$22="ST&gt;2",V125&gt;=100),AND('4-man'!V$24="ST&gt;2",V141&gt;=100),AND('4-man'!V$25="ST&gt;2",V149&gt;=100)),'4-man'!V$21&lt;=IF('4-man'!$BF$4="",999,'4-man'!$BF$4)),100,V133)))))</f>
        <v/>
      </c>
      <c r="W134">
        <f>IF('4-man'!W$23="R",MIN(100,W133+10),IF('4-man'!W$23="P",MIN(100,W133+25),IF(AND('4-man'!W$23="D",W133&gt;=35,'4-man'!W$21&lt;=IF('4-man'!$BF$4="",999,'4-man'!$BF$4)),W133-35,IF(AND(LEFT('4-man'!W$23,3)="ST&gt;",W133&gt;=100,'4-man'!W$21&lt;=IF('4-man'!$BF$4="",999,'4-man'!$BF$4)),0,IF(AND(OR(AND('4-man'!W$22="ST&gt;2",W125&gt;=100),AND('4-man'!W$24="ST&gt;2",W141&gt;=100),AND('4-man'!W$25="ST&gt;2",W149&gt;=100)),'4-man'!W$21&lt;=IF('4-man'!$BF$4="",999,'4-man'!$BF$4)),100,W133)))))</f>
        <v/>
      </c>
      <c r="X134">
        <f>IF('4-man'!X$23="R",MIN(100,X133+10),IF('4-man'!X$23="P",MIN(100,X133+25),IF(AND('4-man'!X$23="D",X133&gt;=35,'4-man'!X$21&lt;=IF('4-man'!$BF$4="",999,'4-man'!$BF$4)),X133-35,IF(AND(LEFT('4-man'!X$23,3)="ST&gt;",X133&gt;=100,'4-man'!X$21&lt;=IF('4-man'!$BF$4="",999,'4-man'!$BF$4)),0,IF(AND(OR(AND('4-man'!X$22="ST&gt;2",X125&gt;=100),AND('4-man'!X$24="ST&gt;2",X141&gt;=100),AND('4-man'!X$25="ST&gt;2",X149&gt;=100)),'4-man'!X$21&lt;=IF('4-man'!$BF$4="",999,'4-man'!$BF$4)),100,X133)))))</f>
        <v/>
      </c>
      <c r="Y134">
        <f>IF('4-man'!Y$23="R",MIN(100,Y133+10),IF('4-man'!Y$23="P",MIN(100,Y133+25),IF(AND('4-man'!Y$23="D",Y133&gt;=35,'4-man'!Y$21&lt;=IF('4-man'!$BF$4="",999,'4-man'!$BF$4)),Y133-35,IF(AND(LEFT('4-man'!Y$23,3)="ST&gt;",Y133&gt;=100,'4-man'!Y$21&lt;=IF('4-man'!$BF$4="",999,'4-man'!$BF$4)),0,IF(AND(OR(AND('4-man'!Y$22="ST&gt;2",Y125&gt;=100),AND('4-man'!Y$24="ST&gt;2",Y141&gt;=100),AND('4-man'!Y$25="ST&gt;2",Y149&gt;=100)),'4-man'!Y$21&lt;=IF('4-man'!$BF$4="",999,'4-man'!$BF$4)),100,Y133)))))</f>
        <v/>
      </c>
      <c r="Z134">
        <f>IF('4-man'!Z$23="R",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4-man'!AA$23="R",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4-man'!AB$23="R",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4-man'!AC$23="R",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4-man'!AD$23="R",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4-man'!AE$23="R",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4-man'!AF$23="R",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4-man'!AG$23="R",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4-man'!AH$23="R",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4-man'!AI$23="R",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4-man'!AJ$23="R",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4-man'!AK$23="R",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4-man'!AL$23="R",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4-man'!AM$23="R",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4-man'!AN$23="R",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4-man'!AO$23="R",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4-man'!AP$23="R",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4-man'!AQ$23="R",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4-man'!AR$23="R",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4-man'!AS$23="R",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4-man'!AT$23="R",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4-man'!AU$23="R",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4-man'!AV$23="R",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4-man'!AW$23="R",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4-man'!AX$23="R",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4-man'!AY$23="R",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4-man'!AZ$23="R",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4-man'!BA$23="R",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4-man'!BB$23="R",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4-man'!BC$23="R",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4-man'!BD$23="R",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4-man'!BE$23="R",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4-man'!BF$23="R",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4-man'!BG$23="R",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4-man'!BH$23="R",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4-man'!BI$23="R",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4-man'!BJ$23="R",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4-man'!BK$23="R",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4-man'!BL$23="R",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4-man'!BM$23="R",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4-man'!BN$23="R",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4-man'!BO$23="R",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4-man'!BP$23="R",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4-man'!BQ$23="R",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4-man'!BR$23="R",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4-man'!BS$23="R",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4-man'!BT$23="R",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4-man'!BU$23="R",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4-man'!BV$23="R",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4-man'!BW$23="R",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4-man'!BX$23="R",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4-man'!BY$23="R",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4-man'!BZ$23="R",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4-man'!CA$23="R",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4-man'!CB$23="R",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4-man'!CC$23="R",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4-man'!CD$23="R",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IF('4-man'!C$23="R",0,IF(B134&gt;=100,0,IF(B135+1&gt;=IF(OR('4-man'!$F$5=TRUE,'4-man'!$F$5="TRUE",'4-man'!$F$5="Yes"),25,50),0,B135+1)))</f>
        <v/>
      </c>
      <c r="D135">
        <f>IF('4-man'!D$23="R",0,IF(C134&gt;=100,0,IF(C135+1&gt;=IF(OR('4-man'!$F$5=TRUE,'4-man'!$F$5="TRUE",'4-man'!$F$5="Yes"),25,50),0,C135+1)))</f>
        <v/>
      </c>
      <c r="E135">
        <f>IF('4-man'!E$23="R",0,IF(D134&gt;=100,0,IF(D135+1&gt;=IF(OR('4-man'!$F$5=TRUE,'4-man'!$F$5="TRUE",'4-man'!$F$5="Yes"),25,50),0,D135+1)))</f>
        <v/>
      </c>
      <c r="F135">
        <f>IF('4-man'!F$23="R",0,IF(E134&gt;=100,0,IF(E135+1&gt;=IF(OR('4-man'!$F$5=TRUE,'4-man'!$F$5="TRUE",'4-man'!$F$5="Yes"),25,50),0,E135+1)))</f>
        <v/>
      </c>
      <c r="G135">
        <f>IF('4-man'!G$23="R",0,IF(F134&gt;=100,0,IF(F135+1&gt;=IF(OR('4-man'!$F$5=TRUE,'4-man'!$F$5="TRUE",'4-man'!$F$5="Yes"),25,50),0,F135+1)))</f>
        <v/>
      </c>
      <c r="H135">
        <f>IF('4-man'!H$23="R",0,IF(G134&gt;=100,0,IF(G135+1&gt;=IF(OR('4-man'!$F$5=TRUE,'4-man'!$F$5="TRUE",'4-man'!$F$5="Yes"),25,50),0,G135+1)))</f>
        <v/>
      </c>
      <c r="I135">
        <f>IF('4-man'!I$23="R",0,IF(H134&gt;=100,0,IF(H135+1&gt;=IF(OR('4-man'!$F$5=TRUE,'4-man'!$F$5="TRUE",'4-man'!$F$5="Yes"),25,50),0,H135+1)))</f>
        <v/>
      </c>
      <c r="J135">
        <f>IF('4-man'!J$23="R",0,IF(I134&gt;=100,0,IF(I135+1&gt;=IF(OR('4-man'!$F$5=TRUE,'4-man'!$F$5="TRUE",'4-man'!$F$5="Yes"),25,50),0,I135+1)))</f>
        <v/>
      </c>
      <c r="K135">
        <f>IF('4-man'!K$23="R",0,IF(J134&gt;=100,0,IF(J135+1&gt;=IF(OR('4-man'!$F$5=TRUE,'4-man'!$F$5="TRUE",'4-man'!$F$5="Yes"),25,50),0,J135+1)))</f>
        <v/>
      </c>
      <c r="L135">
        <f>IF('4-man'!L$23="R",0,IF(K134&gt;=100,0,IF(K135+1&gt;=IF(OR('4-man'!$F$5=TRUE,'4-man'!$F$5="TRUE",'4-man'!$F$5="Yes"),25,50),0,K135+1)))</f>
        <v/>
      </c>
      <c r="M135">
        <f>IF('4-man'!M$23="R",0,IF(L134&gt;=100,0,IF(L135+1&gt;=IF(OR('4-man'!$F$5=TRUE,'4-man'!$F$5="TRUE",'4-man'!$F$5="Yes"),25,50),0,L135+1)))</f>
        <v/>
      </c>
      <c r="N135">
        <f>IF('4-man'!N$23="R",0,IF(M134&gt;=100,0,IF(M135+1&gt;=IF(OR('4-man'!$F$5=TRUE,'4-man'!$F$5="TRUE",'4-man'!$F$5="Yes"),25,50),0,M135+1)))</f>
        <v/>
      </c>
      <c r="O135">
        <f>IF('4-man'!O$23="R",0,IF(N134&gt;=100,0,IF(N135+1&gt;=IF(OR('4-man'!$F$5=TRUE,'4-man'!$F$5="TRUE",'4-man'!$F$5="Yes"),25,50),0,N135+1)))</f>
        <v/>
      </c>
      <c r="P135">
        <f>IF('4-man'!P$23="R",0,IF(O134&gt;=100,0,IF(O135+1&gt;=IF(OR('4-man'!$F$5=TRUE,'4-man'!$F$5="TRUE",'4-man'!$F$5="Yes"),25,50),0,O135+1)))</f>
        <v/>
      </c>
      <c r="Q135">
        <f>IF('4-man'!Q$23="R",0,IF(P134&gt;=100,0,IF(P135+1&gt;=IF(OR('4-man'!$F$5=TRUE,'4-man'!$F$5="TRUE",'4-man'!$F$5="Yes"),25,50),0,P135+1)))</f>
        <v/>
      </c>
      <c r="R135">
        <f>IF('4-man'!R$23="R",0,IF(Q134&gt;=100,0,IF(Q135+1&gt;=IF(OR('4-man'!$F$5=TRUE,'4-man'!$F$5="TRUE",'4-man'!$F$5="Yes"),25,50),0,Q135+1)))</f>
        <v/>
      </c>
      <c r="S135">
        <f>IF('4-man'!S$23="R",0,IF(R134&gt;=100,0,IF(R135+1&gt;=IF(OR('4-man'!$F$5=TRUE,'4-man'!$F$5="TRUE",'4-man'!$F$5="Yes"),25,50),0,R135+1)))</f>
        <v/>
      </c>
      <c r="T135">
        <f>IF('4-man'!T$23="R",0,IF(S134&gt;=100,0,IF(S135+1&gt;=IF(OR('4-man'!$F$5=TRUE,'4-man'!$F$5="TRUE",'4-man'!$F$5="Yes"),25,50),0,S135+1)))</f>
        <v/>
      </c>
      <c r="U135">
        <f>IF('4-man'!U$23="R",0,IF(T134&gt;=100,0,IF(T135+1&gt;=IF(OR('4-man'!$F$5=TRUE,'4-man'!$F$5="TRUE",'4-man'!$F$5="Yes"),25,50),0,T135+1)))</f>
        <v/>
      </c>
      <c r="V135">
        <f>IF('4-man'!V$23="R",0,IF(U134&gt;=100,0,IF(U135+1&gt;=IF(OR('4-man'!$F$5=TRUE,'4-man'!$F$5="TRUE",'4-man'!$F$5="Yes"),25,50),0,U135+1)))</f>
        <v/>
      </c>
      <c r="W135">
        <f>IF('4-man'!W$23="R",0,IF(V134&gt;=100,0,IF(V135+1&gt;=IF(OR('4-man'!$F$5=TRUE,'4-man'!$F$5="TRUE",'4-man'!$F$5="Yes"),25,50),0,V135+1)))</f>
        <v/>
      </c>
      <c r="X135">
        <f>IF('4-man'!X$23="R",0,IF(W134&gt;=100,0,IF(W135+1&gt;=IF(OR('4-man'!$F$5=TRUE,'4-man'!$F$5="TRUE",'4-man'!$F$5="Yes"),25,50),0,W135+1)))</f>
        <v/>
      </c>
      <c r="Y135">
        <f>IF('4-man'!Y$23="R",0,IF(X134&gt;=100,0,IF(X135+1&gt;=IF(OR('4-man'!$F$5=TRUE,'4-man'!$F$5="TRUE",'4-man'!$F$5="Yes"),25,50),0,X135+1)))</f>
        <v/>
      </c>
      <c r="Z135">
        <f>IF('4-man'!Z$23="R",0,IF(Y134&gt;=100,0,IF(Y135+1&gt;=IF(OR('4-man'!$F$5=TRUE,'4-man'!$F$5="TRUE",'4-man'!$F$5="Yes"),25,50),0,Y135+1)))</f>
        <v/>
      </c>
      <c r="AA135">
        <f>IF('4-man'!AA$23="R",0,IF(Z134&gt;=100,0,IF(Z135+1&gt;=IF(OR('4-man'!$F$5=TRUE,'4-man'!$F$5="TRUE",'4-man'!$F$5="Yes"),25,50),0,Z135+1)))</f>
        <v/>
      </c>
      <c r="AB135">
        <f>IF('4-man'!AB$23="R",0,IF(AA134&gt;=100,0,IF(AA135+1&gt;=IF(OR('4-man'!$F$5=TRUE,'4-man'!$F$5="TRUE",'4-man'!$F$5="Yes"),25,50),0,AA135+1)))</f>
        <v/>
      </c>
      <c r="AC135">
        <f>IF('4-man'!AC$23="R",0,IF(AB134&gt;=100,0,IF(AB135+1&gt;=IF(OR('4-man'!$F$5=TRUE,'4-man'!$F$5="TRUE",'4-man'!$F$5="Yes"),25,50),0,AB135+1)))</f>
        <v/>
      </c>
      <c r="AD135">
        <f>IF('4-man'!AD$23="R",0,IF(AC134&gt;=100,0,IF(AC135+1&gt;=IF(OR('4-man'!$F$5=TRUE,'4-man'!$F$5="TRUE",'4-man'!$F$5="Yes"),25,50),0,AC135+1)))</f>
        <v/>
      </c>
      <c r="AE135">
        <f>IF('4-man'!AE$23="R",0,IF(AD134&gt;=100,0,IF(AD135+1&gt;=IF(OR('4-man'!$F$5=TRUE,'4-man'!$F$5="TRUE",'4-man'!$F$5="Yes"),25,50),0,AD135+1)))</f>
        <v/>
      </c>
      <c r="AF135">
        <f>IF('4-man'!AF$23="R",0,IF(AE134&gt;=100,0,IF(AE135+1&gt;=IF(OR('4-man'!$F$5=TRUE,'4-man'!$F$5="TRUE",'4-man'!$F$5="Yes"),25,50),0,AE135+1)))</f>
        <v/>
      </c>
      <c r="AG135">
        <f>IF('4-man'!AG$23="R",0,IF(AF134&gt;=100,0,IF(AF135+1&gt;=IF(OR('4-man'!$F$5=TRUE,'4-man'!$F$5="TRUE",'4-man'!$F$5="Yes"),25,50),0,AF135+1)))</f>
        <v/>
      </c>
      <c r="AH135">
        <f>IF('4-man'!AH$23="R",0,IF(AG134&gt;=100,0,IF(AG135+1&gt;=IF(OR('4-man'!$F$5=TRUE,'4-man'!$F$5="TRUE",'4-man'!$F$5="Yes"),25,50),0,AG135+1)))</f>
        <v/>
      </c>
      <c r="AI135">
        <f>IF('4-man'!AI$23="R",0,IF(AH134&gt;=100,0,IF(AH135+1&gt;=IF(OR('4-man'!$F$5=TRUE,'4-man'!$F$5="TRUE",'4-man'!$F$5="Yes"),25,50),0,AH135+1)))</f>
        <v/>
      </c>
      <c r="AJ135">
        <f>IF('4-man'!AJ$23="R",0,IF(AI134&gt;=100,0,IF(AI135+1&gt;=IF(OR('4-man'!$F$5=TRUE,'4-man'!$F$5="TRUE",'4-man'!$F$5="Yes"),25,50),0,AI135+1)))</f>
        <v/>
      </c>
      <c r="AK135">
        <f>IF('4-man'!AK$23="R",0,IF(AJ134&gt;=100,0,IF(AJ135+1&gt;=IF(OR('4-man'!$F$5=TRUE,'4-man'!$F$5="TRUE",'4-man'!$F$5="Yes"),25,50),0,AJ135+1)))</f>
        <v/>
      </c>
      <c r="AL135">
        <f>IF('4-man'!AL$23="R",0,IF(AK134&gt;=100,0,IF(AK135+1&gt;=IF(OR('4-man'!$F$5=TRUE,'4-man'!$F$5="TRUE",'4-man'!$F$5="Yes"),25,50),0,AK135+1)))</f>
        <v/>
      </c>
      <c r="AM135">
        <f>IF('4-man'!AM$23="R",0,IF(AL134&gt;=100,0,IF(AL135+1&gt;=IF(OR('4-man'!$F$5=TRUE,'4-man'!$F$5="TRUE",'4-man'!$F$5="Yes"),25,50),0,AL135+1)))</f>
        <v/>
      </c>
      <c r="AN135">
        <f>IF('4-man'!AN$23="R",0,IF(AM134&gt;=100,0,IF(AM135+1&gt;=IF(OR('4-man'!$F$5=TRUE,'4-man'!$F$5="TRUE",'4-man'!$F$5="Yes"),25,50),0,AM135+1)))</f>
        <v/>
      </c>
      <c r="AO135">
        <f>IF('4-man'!AO$23="R",0,IF(AN134&gt;=100,0,IF(AN135+1&gt;=IF(OR('4-man'!$F$5=TRUE,'4-man'!$F$5="TRUE",'4-man'!$F$5="Yes"),25,50),0,AN135+1)))</f>
        <v/>
      </c>
      <c r="AP135">
        <f>IF('4-man'!AP$23="R",0,IF(AO134&gt;=100,0,IF(AO135+1&gt;=IF(OR('4-man'!$F$5=TRUE,'4-man'!$F$5="TRUE",'4-man'!$F$5="Yes"),25,50),0,AO135+1)))</f>
        <v/>
      </c>
      <c r="AQ135">
        <f>IF('4-man'!AQ$23="R",0,IF(AP134&gt;=100,0,IF(AP135+1&gt;=IF(OR('4-man'!$F$5=TRUE,'4-man'!$F$5="TRUE",'4-man'!$F$5="Yes"),25,50),0,AP135+1)))</f>
        <v/>
      </c>
      <c r="AR135">
        <f>IF('4-man'!AR$23="R",0,IF(AQ134&gt;=100,0,IF(AQ135+1&gt;=IF(OR('4-man'!$F$5=TRUE,'4-man'!$F$5="TRUE",'4-man'!$F$5="Yes"),25,50),0,AQ135+1)))</f>
        <v/>
      </c>
      <c r="AS135">
        <f>IF('4-man'!AS$23="R",0,IF(AR134&gt;=100,0,IF(AR135+1&gt;=IF(OR('4-man'!$F$5=TRUE,'4-man'!$F$5="TRUE",'4-man'!$F$5="Yes"),25,50),0,AR135+1)))</f>
        <v/>
      </c>
      <c r="AT135">
        <f>IF('4-man'!AT$23="R",0,IF(AS134&gt;=100,0,IF(AS135+1&gt;=IF(OR('4-man'!$F$5=TRUE,'4-man'!$F$5="TRUE",'4-man'!$F$5="Yes"),25,50),0,AS135+1)))</f>
        <v/>
      </c>
      <c r="AU135">
        <f>IF('4-man'!AU$23="R",0,IF(AT134&gt;=100,0,IF(AT135+1&gt;=IF(OR('4-man'!$F$5=TRUE,'4-man'!$F$5="TRUE",'4-man'!$F$5="Yes"),25,50),0,AT135+1)))</f>
        <v/>
      </c>
      <c r="AV135">
        <f>IF('4-man'!AV$23="R",0,IF(AU134&gt;=100,0,IF(AU135+1&gt;=IF(OR('4-man'!$F$5=TRUE,'4-man'!$F$5="TRUE",'4-man'!$F$5="Yes"),25,50),0,AU135+1)))</f>
        <v/>
      </c>
      <c r="AW135">
        <f>IF('4-man'!AW$23="R",0,IF(AV134&gt;=100,0,IF(AV135+1&gt;=IF(OR('4-man'!$F$5=TRUE,'4-man'!$F$5="TRUE",'4-man'!$F$5="Yes"),25,50),0,AV135+1)))</f>
        <v/>
      </c>
      <c r="AX135">
        <f>IF('4-man'!AX$23="R",0,IF(AW134&gt;=100,0,IF(AW135+1&gt;=IF(OR('4-man'!$F$5=TRUE,'4-man'!$F$5="TRUE",'4-man'!$F$5="Yes"),25,50),0,AW135+1)))</f>
        <v/>
      </c>
      <c r="AY135">
        <f>IF('4-man'!AY$23="R",0,IF(AX134&gt;=100,0,IF(AX135+1&gt;=IF(OR('4-man'!$F$5=TRUE,'4-man'!$F$5="TRUE",'4-man'!$F$5="Yes"),25,50),0,AX135+1)))</f>
        <v/>
      </c>
      <c r="AZ135">
        <f>IF('4-man'!AZ$23="R",0,IF(AY134&gt;=100,0,IF(AY135+1&gt;=IF(OR('4-man'!$F$5=TRUE,'4-man'!$F$5="TRUE",'4-man'!$F$5="Yes"),25,50),0,AY135+1)))</f>
        <v/>
      </c>
      <c r="BA135">
        <f>IF('4-man'!BA$23="R",0,IF(AZ134&gt;=100,0,IF(AZ135+1&gt;=IF(OR('4-man'!$F$5=TRUE,'4-man'!$F$5="TRUE",'4-man'!$F$5="Yes"),25,50),0,AZ135+1)))</f>
        <v/>
      </c>
      <c r="BB135">
        <f>IF('4-man'!BB$23="R",0,IF(BA134&gt;=100,0,IF(BA135+1&gt;=IF(OR('4-man'!$F$5=TRUE,'4-man'!$F$5="TRUE",'4-man'!$F$5="Yes"),25,50),0,BA135+1)))</f>
        <v/>
      </c>
      <c r="BC135">
        <f>IF('4-man'!BC$23="R",0,IF(BB134&gt;=100,0,IF(BB135+1&gt;=IF(OR('4-man'!$F$5=TRUE,'4-man'!$F$5="TRUE",'4-man'!$F$5="Yes"),25,50),0,BB135+1)))</f>
        <v/>
      </c>
      <c r="BD135">
        <f>IF('4-man'!BD$23="R",0,IF(BC134&gt;=100,0,IF(BC135+1&gt;=IF(OR('4-man'!$F$5=TRUE,'4-man'!$F$5="TRUE",'4-man'!$F$5="Yes"),25,50),0,BC135+1)))</f>
        <v/>
      </c>
      <c r="BE135">
        <f>IF('4-man'!BE$23="R",0,IF(BD134&gt;=100,0,IF(BD135+1&gt;=IF(OR('4-man'!$F$5=TRUE,'4-man'!$F$5="TRUE",'4-man'!$F$5="Yes"),25,50),0,BD135+1)))</f>
        <v/>
      </c>
      <c r="BF135">
        <f>IF('4-man'!BF$23="R",0,IF(BE134&gt;=100,0,IF(BE135+1&gt;=IF(OR('4-man'!$F$5=TRUE,'4-man'!$F$5="TRUE",'4-man'!$F$5="Yes"),25,50),0,BE135+1)))</f>
        <v/>
      </c>
      <c r="BG135">
        <f>IF('4-man'!BG$23="R",0,IF(BF134&gt;=100,0,IF(BF135+1&gt;=IF(OR('4-man'!$F$5=TRUE,'4-man'!$F$5="TRUE",'4-man'!$F$5="Yes"),25,50),0,BF135+1)))</f>
        <v/>
      </c>
      <c r="BH135">
        <f>IF('4-man'!BH$23="R",0,IF(BG134&gt;=100,0,IF(BG135+1&gt;=IF(OR('4-man'!$F$5=TRUE,'4-man'!$F$5="TRUE",'4-man'!$F$5="Yes"),25,50),0,BG135+1)))</f>
        <v/>
      </c>
      <c r="BI135">
        <f>IF('4-man'!BI$23="R",0,IF(BH134&gt;=100,0,IF(BH135+1&gt;=IF(OR('4-man'!$F$5=TRUE,'4-man'!$F$5="TRUE",'4-man'!$F$5="Yes"),25,50),0,BH135+1)))</f>
        <v/>
      </c>
      <c r="BJ135">
        <f>IF('4-man'!BJ$23="R",0,IF(BI134&gt;=100,0,IF(BI135+1&gt;=IF(OR('4-man'!$F$5=TRUE,'4-man'!$F$5="TRUE",'4-man'!$F$5="Yes"),25,50),0,BI135+1)))</f>
        <v/>
      </c>
      <c r="BK135">
        <f>IF('4-man'!BK$23="R",0,IF(BJ134&gt;=100,0,IF(BJ135+1&gt;=IF(OR('4-man'!$F$5=TRUE,'4-man'!$F$5="TRUE",'4-man'!$F$5="Yes"),25,50),0,BJ135+1)))</f>
        <v/>
      </c>
      <c r="BL135">
        <f>IF('4-man'!BL$23="R",0,IF(BK134&gt;=100,0,IF(BK135+1&gt;=IF(OR('4-man'!$F$5=TRUE,'4-man'!$F$5="TRUE",'4-man'!$F$5="Yes"),25,50),0,BK135+1)))</f>
        <v/>
      </c>
      <c r="BM135">
        <f>IF('4-man'!BM$23="R",0,IF(BL134&gt;=100,0,IF(BL135+1&gt;=IF(OR('4-man'!$F$5=TRUE,'4-man'!$F$5="TRUE",'4-man'!$F$5="Yes"),25,50),0,BL135+1)))</f>
        <v/>
      </c>
      <c r="BN135">
        <f>IF('4-man'!BN$23="R",0,IF(BM134&gt;=100,0,IF(BM135+1&gt;=IF(OR('4-man'!$F$5=TRUE,'4-man'!$F$5="TRUE",'4-man'!$F$5="Yes"),25,50),0,BM135+1)))</f>
        <v/>
      </c>
      <c r="BO135">
        <f>IF('4-man'!BO$23="R",0,IF(BN134&gt;=100,0,IF(BN135+1&gt;=IF(OR('4-man'!$F$5=TRUE,'4-man'!$F$5="TRUE",'4-man'!$F$5="Yes"),25,50),0,BN135+1)))</f>
        <v/>
      </c>
      <c r="BP135">
        <f>IF('4-man'!BP$23="R",0,IF(BO134&gt;=100,0,IF(BO135+1&gt;=IF(OR('4-man'!$F$5=TRUE,'4-man'!$F$5="TRUE",'4-man'!$F$5="Yes"),25,50),0,BO135+1)))</f>
        <v/>
      </c>
      <c r="BQ135">
        <f>IF('4-man'!BQ$23="R",0,IF(BP134&gt;=100,0,IF(BP135+1&gt;=IF(OR('4-man'!$F$5=TRUE,'4-man'!$F$5="TRUE",'4-man'!$F$5="Yes"),25,50),0,BP135+1)))</f>
        <v/>
      </c>
      <c r="BR135">
        <f>IF('4-man'!BR$23="R",0,IF(BQ134&gt;=100,0,IF(BQ135+1&gt;=IF(OR('4-man'!$F$5=TRUE,'4-man'!$F$5="TRUE",'4-man'!$F$5="Yes"),25,50),0,BQ135+1)))</f>
        <v/>
      </c>
      <c r="BS135">
        <f>IF('4-man'!BS$23="R",0,IF(BR134&gt;=100,0,IF(BR135+1&gt;=IF(OR('4-man'!$F$5=TRUE,'4-man'!$F$5="TRUE",'4-man'!$F$5="Yes"),25,50),0,BR135+1)))</f>
        <v/>
      </c>
      <c r="BT135">
        <f>IF('4-man'!BT$23="R",0,IF(BS134&gt;=100,0,IF(BS135+1&gt;=IF(OR('4-man'!$F$5=TRUE,'4-man'!$F$5="TRUE",'4-man'!$F$5="Yes"),25,50),0,BS135+1)))</f>
        <v/>
      </c>
      <c r="BU135">
        <f>IF('4-man'!BU$23="R",0,IF(BT134&gt;=100,0,IF(BT135+1&gt;=IF(OR('4-man'!$F$5=TRUE,'4-man'!$F$5="TRUE",'4-man'!$F$5="Yes"),25,50),0,BT135+1)))</f>
        <v/>
      </c>
      <c r="BV135">
        <f>IF('4-man'!BV$23="R",0,IF(BU134&gt;=100,0,IF(BU135+1&gt;=IF(OR('4-man'!$F$5=TRUE,'4-man'!$F$5="TRUE",'4-man'!$F$5="Yes"),25,50),0,BU135+1)))</f>
        <v/>
      </c>
      <c r="BW135">
        <f>IF('4-man'!BW$23="R",0,IF(BV134&gt;=100,0,IF(BV135+1&gt;=IF(OR('4-man'!$F$5=TRUE,'4-man'!$F$5="TRUE",'4-man'!$F$5="Yes"),25,50),0,BV135+1)))</f>
        <v/>
      </c>
      <c r="BX135">
        <f>IF('4-man'!BX$23="R",0,IF(BW134&gt;=100,0,IF(BW135+1&gt;=IF(OR('4-man'!$F$5=TRUE,'4-man'!$F$5="TRUE",'4-man'!$F$5="Yes"),25,50),0,BW135+1)))</f>
        <v/>
      </c>
      <c r="BY135">
        <f>IF('4-man'!BY$23="R",0,IF(BX134&gt;=100,0,IF(BX135+1&gt;=IF(OR('4-man'!$F$5=TRUE,'4-man'!$F$5="TRUE",'4-man'!$F$5="Yes"),25,50),0,BX135+1)))</f>
        <v/>
      </c>
      <c r="BZ135">
        <f>IF('4-man'!BZ$23="R",0,IF(BY134&gt;=100,0,IF(BY135+1&gt;=IF(OR('4-man'!$F$5=TRUE,'4-man'!$F$5="TRUE",'4-man'!$F$5="Yes"),25,50),0,BY135+1)))</f>
        <v/>
      </c>
      <c r="CA135">
        <f>IF('4-man'!CA$23="R",0,IF(BZ134&gt;=100,0,IF(BZ135+1&gt;=IF(OR('4-man'!$F$5=TRUE,'4-man'!$F$5="TRUE",'4-man'!$F$5="Yes"),25,50),0,BZ135+1)))</f>
        <v/>
      </c>
      <c r="CB135">
        <f>IF('4-man'!CB$23="R",0,IF(CA134&gt;=100,0,IF(CA135+1&gt;=IF(OR('4-man'!$F$5=TRUE,'4-man'!$F$5="TRUE",'4-man'!$F$5="Yes"),25,50),0,CA135+1)))</f>
        <v/>
      </c>
      <c r="CC135">
        <f>IF('4-man'!CC$23="R",0,IF(CB134&gt;=100,0,IF(CB135+1&gt;=IF(OR('4-man'!$F$5=TRUE,'4-man'!$F$5="TRUE",'4-man'!$F$5="Yes"),25,50),0,CB135+1)))</f>
        <v/>
      </c>
      <c r="CD135">
        <f>IF('4-man'!CD$23="R",0,IF(CC134&gt;=100,0,IF(CC135+1&gt;=IF(OR('4-man'!$F$5=TRUE,'4-man'!$F$5="TRUE",'4-man'!$F$5="Yes"),25,50),0,CC135+1)))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row>
    <row r="140">
      <c r="A140" t="inlineStr">
        <is>
          <t>P2 act</t>
        </is>
      </c>
      <c r="C140">
        <f>IF(OR('4-man'!C$23="P",'4-man'!C$23="R",AND('4-man'!C$21&lt;=IF('4-man'!$BF$4="",999,'4-man'!$BF$4),OR('4-man'!C$23="D",LEFT('4-man'!C$23,3)="ST&gt;",OR(AND('4-man'!C$22="ST&gt;2",C125&gt;=100),AND('4-man'!C$24="ST&gt;2",C141&gt;=100),AND('4-man'!C$25="ST&gt;2",C149&gt;=100))))),'4-man'!C$21,0)</f>
        <v/>
      </c>
      <c r="D140">
        <f>IF(OR('4-man'!D$23="P",'4-man'!D$23="R",AND('4-man'!D$21&lt;=IF('4-man'!$BF$4="",999,'4-man'!$BF$4),OR('4-man'!D$23="D",LEFT('4-man'!D$23,3)="ST&gt;",OR(AND('4-man'!D$22="ST&gt;2",D125&gt;=100),AND('4-man'!D$24="ST&gt;2",D141&gt;=100),AND('4-man'!D$25="ST&gt;2",D149&gt;=100))))),'4-man'!D$21,0)</f>
        <v/>
      </c>
      <c r="E140">
        <f>IF(OR('4-man'!E$23="P",'4-man'!E$23="R",AND('4-man'!E$21&lt;=IF('4-man'!$BF$4="",999,'4-man'!$BF$4),OR('4-man'!E$23="D",LEFT('4-man'!E$23,3)="ST&gt;",OR(AND('4-man'!E$22="ST&gt;2",E125&gt;=100),AND('4-man'!E$24="ST&gt;2",E141&gt;=100),AND('4-man'!E$25="ST&gt;2",E149&gt;=100))))),'4-man'!E$21,0)</f>
        <v/>
      </c>
      <c r="F140">
        <f>IF(OR('4-man'!F$23="P",'4-man'!F$23="R",AND('4-man'!F$21&lt;=IF('4-man'!$BF$4="",999,'4-man'!$BF$4),OR('4-man'!F$23="D",LEFT('4-man'!F$23,3)="ST&gt;",OR(AND('4-man'!F$22="ST&gt;2",F125&gt;=100),AND('4-man'!F$24="ST&gt;2",F141&gt;=100),AND('4-man'!F$25="ST&gt;2",F149&gt;=100))))),'4-man'!F$21,0)</f>
        <v/>
      </c>
      <c r="G140">
        <f>IF(OR('4-man'!G$23="P",'4-man'!G$23="R",AND('4-man'!G$21&lt;=IF('4-man'!$BF$4="",999,'4-man'!$BF$4),OR('4-man'!G$23="D",LEFT('4-man'!G$23,3)="ST&gt;",OR(AND('4-man'!G$22="ST&gt;2",G125&gt;=100),AND('4-man'!G$24="ST&gt;2",G141&gt;=100),AND('4-man'!G$25="ST&gt;2",G149&gt;=100))))),'4-man'!G$21,0)</f>
        <v/>
      </c>
      <c r="H140">
        <f>IF(OR('4-man'!H$23="P",'4-man'!H$23="R",AND('4-man'!H$21&lt;=IF('4-man'!$BF$4="",999,'4-man'!$BF$4),OR('4-man'!H$23="D",LEFT('4-man'!H$23,3)="ST&gt;",OR(AND('4-man'!H$22="ST&gt;2",H125&gt;=100),AND('4-man'!H$24="ST&gt;2",H141&gt;=100),AND('4-man'!H$25="ST&gt;2",H149&gt;=100))))),'4-man'!H$21,0)</f>
        <v/>
      </c>
      <c r="I140">
        <f>IF(OR('4-man'!I$23="P",'4-man'!I$23="R",AND('4-man'!I$21&lt;=IF('4-man'!$BF$4="",999,'4-man'!$BF$4),OR('4-man'!I$23="D",LEFT('4-man'!I$23,3)="ST&gt;",OR(AND('4-man'!I$22="ST&gt;2",I125&gt;=100),AND('4-man'!I$24="ST&gt;2",I141&gt;=100),AND('4-man'!I$25="ST&gt;2",I149&gt;=100))))),'4-man'!I$21,0)</f>
        <v/>
      </c>
      <c r="J140">
        <f>IF(OR('4-man'!J$23="P",'4-man'!J$23="R",AND('4-man'!J$21&lt;=IF('4-man'!$BF$4="",999,'4-man'!$BF$4),OR('4-man'!J$23="D",LEFT('4-man'!J$23,3)="ST&gt;",OR(AND('4-man'!J$22="ST&gt;2",J125&gt;=100),AND('4-man'!J$24="ST&gt;2",J141&gt;=100),AND('4-man'!J$25="ST&gt;2",J149&gt;=100))))),'4-man'!J$21,0)</f>
        <v/>
      </c>
      <c r="K140">
        <f>IF(OR('4-man'!K$23="P",'4-man'!K$23="R",AND('4-man'!K$21&lt;=IF('4-man'!$BF$4="",999,'4-man'!$BF$4),OR('4-man'!K$23="D",LEFT('4-man'!K$23,3)="ST&gt;",OR(AND('4-man'!K$22="ST&gt;2",K125&gt;=100),AND('4-man'!K$24="ST&gt;2",K141&gt;=100),AND('4-man'!K$25="ST&gt;2",K149&gt;=100))))),'4-man'!K$21,0)</f>
        <v/>
      </c>
      <c r="L140">
        <f>IF(OR('4-man'!L$23="P",'4-man'!L$23="R",AND('4-man'!L$21&lt;=IF('4-man'!$BF$4="",999,'4-man'!$BF$4),OR('4-man'!L$23="D",LEFT('4-man'!L$23,3)="ST&gt;",OR(AND('4-man'!L$22="ST&gt;2",L125&gt;=100),AND('4-man'!L$24="ST&gt;2",L141&gt;=100),AND('4-man'!L$25="ST&gt;2",L149&gt;=100))))),'4-man'!L$21,0)</f>
        <v/>
      </c>
      <c r="M140">
        <f>IF(OR('4-man'!M$23="P",'4-man'!M$23="R",AND('4-man'!M$21&lt;=IF('4-man'!$BF$4="",999,'4-man'!$BF$4),OR('4-man'!M$23="D",LEFT('4-man'!M$23,3)="ST&gt;",OR(AND('4-man'!M$22="ST&gt;2",M125&gt;=100),AND('4-man'!M$24="ST&gt;2",M141&gt;=100),AND('4-man'!M$25="ST&gt;2",M149&gt;=100))))),'4-man'!M$21,0)</f>
        <v/>
      </c>
      <c r="N140">
        <f>IF(OR('4-man'!N$23="P",'4-man'!N$23="R",AND('4-man'!N$21&lt;=IF('4-man'!$BF$4="",999,'4-man'!$BF$4),OR('4-man'!N$23="D",LEFT('4-man'!N$23,3)="ST&gt;",OR(AND('4-man'!N$22="ST&gt;2",N125&gt;=100),AND('4-man'!N$24="ST&gt;2",N141&gt;=100),AND('4-man'!N$25="ST&gt;2",N149&gt;=100))))),'4-man'!N$21,0)</f>
        <v/>
      </c>
      <c r="O140">
        <f>IF(OR('4-man'!O$23="P",'4-man'!O$23="R",AND('4-man'!O$21&lt;=IF('4-man'!$BF$4="",999,'4-man'!$BF$4),OR('4-man'!O$23="D",LEFT('4-man'!O$23,3)="ST&gt;",OR(AND('4-man'!O$22="ST&gt;2",O125&gt;=100),AND('4-man'!O$24="ST&gt;2",O141&gt;=100),AND('4-man'!O$25="ST&gt;2",O149&gt;=100))))),'4-man'!O$21,0)</f>
        <v/>
      </c>
      <c r="P140">
        <f>IF(OR('4-man'!P$23="P",'4-man'!P$23="R",AND('4-man'!P$21&lt;=IF('4-man'!$BF$4="",999,'4-man'!$BF$4),OR('4-man'!P$23="D",LEFT('4-man'!P$23,3)="ST&gt;",OR(AND('4-man'!P$22="ST&gt;2",P125&gt;=100),AND('4-man'!P$24="ST&gt;2",P141&gt;=100),AND('4-man'!P$25="ST&gt;2",P149&gt;=100))))),'4-man'!P$21,0)</f>
        <v/>
      </c>
      <c r="Q140">
        <f>IF(OR('4-man'!Q$23="P",'4-man'!Q$23="R",AND('4-man'!Q$21&lt;=IF('4-man'!$BF$4="",999,'4-man'!$BF$4),OR('4-man'!Q$23="D",LEFT('4-man'!Q$23,3)="ST&gt;",OR(AND('4-man'!Q$22="ST&gt;2",Q125&gt;=100),AND('4-man'!Q$24="ST&gt;2",Q141&gt;=100),AND('4-man'!Q$25="ST&gt;2",Q149&gt;=100))))),'4-man'!Q$21,0)</f>
        <v/>
      </c>
      <c r="R140">
        <f>IF(OR('4-man'!R$23="P",'4-man'!R$23="R",AND('4-man'!R$21&lt;=IF('4-man'!$BF$4="",999,'4-man'!$BF$4),OR('4-man'!R$23="D",LEFT('4-man'!R$23,3)="ST&gt;",OR(AND('4-man'!R$22="ST&gt;2",R125&gt;=100),AND('4-man'!R$24="ST&gt;2",R141&gt;=100),AND('4-man'!R$25="ST&gt;2",R149&gt;=100))))),'4-man'!R$21,0)</f>
        <v/>
      </c>
      <c r="S140">
        <f>IF(OR('4-man'!S$23="P",'4-man'!S$23="R",AND('4-man'!S$21&lt;=IF('4-man'!$BF$4="",999,'4-man'!$BF$4),OR('4-man'!S$23="D",LEFT('4-man'!S$23,3)="ST&gt;",OR(AND('4-man'!S$22="ST&gt;2",S125&gt;=100),AND('4-man'!S$24="ST&gt;2",S141&gt;=100),AND('4-man'!S$25="ST&gt;2",S149&gt;=100))))),'4-man'!S$21,0)</f>
        <v/>
      </c>
      <c r="T140">
        <f>IF(OR('4-man'!T$23="P",'4-man'!T$23="R",AND('4-man'!T$21&lt;=IF('4-man'!$BF$4="",999,'4-man'!$BF$4),OR('4-man'!T$23="D",LEFT('4-man'!T$23,3)="ST&gt;",OR(AND('4-man'!T$22="ST&gt;2",T125&gt;=100),AND('4-man'!T$24="ST&gt;2",T141&gt;=100),AND('4-man'!T$25="ST&gt;2",T149&gt;=100))))),'4-man'!T$21,0)</f>
        <v/>
      </c>
      <c r="U140">
        <f>IF(OR('4-man'!U$23="P",'4-man'!U$23="R",AND('4-man'!U$21&lt;=IF('4-man'!$BF$4="",999,'4-man'!$BF$4),OR('4-man'!U$23="D",LEFT('4-man'!U$23,3)="ST&gt;",OR(AND('4-man'!U$22="ST&gt;2",U125&gt;=100),AND('4-man'!U$24="ST&gt;2",U141&gt;=100),AND('4-man'!U$25="ST&gt;2",U149&gt;=100))))),'4-man'!U$21,0)</f>
        <v/>
      </c>
      <c r="V140">
        <f>IF(OR('4-man'!V$23="P",'4-man'!V$23="R",AND('4-man'!V$21&lt;=IF('4-man'!$BF$4="",999,'4-man'!$BF$4),OR('4-man'!V$23="D",LEFT('4-man'!V$23,3)="ST&gt;",OR(AND('4-man'!V$22="ST&gt;2",V125&gt;=100),AND('4-man'!V$24="ST&gt;2",V141&gt;=100),AND('4-man'!V$25="ST&gt;2",V149&gt;=100))))),'4-man'!V$21,0)</f>
        <v/>
      </c>
      <c r="W140">
        <f>IF(OR('4-man'!W$23="P",'4-man'!W$23="R",AND('4-man'!W$21&lt;=IF('4-man'!$BF$4="",999,'4-man'!$BF$4),OR('4-man'!W$23="D",LEFT('4-man'!W$23,3)="ST&gt;",OR(AND('4-man'!W$22="ST&gt;2",W125&gt;=100),AND('4-man'!W$24="ST&gt;2",W141&gt;=100),AND('4-man'!W$25="ST&gt;2",W149&gt;=100))))),'4-man'!W$21,0)</f>
        <v/>
      </c>
      <c r="X140">
        <f>IF(OR('4-man'!X$23="P",'4-man'!X$23="R",AND('4-man'!X$21&lt;=IF('4-man'!$BF$4="",999,'4-man'!$BF$4),OR('4-man'!X$23="D",LEFT('4-man'!X$23,3)="ST&gt;",OR(AND('4-man'!X$22="ST&gt;2",X125&gt;=100),AND('4-man'!X$24="ST&gt;2",X141&gt;=100),AND('4-man'!X$25="ST&gt;2",X149&gt;=100))))),'4-man'!X$21,0)</f>
        <v/>
      </c>
      <c r="Y140">
        <f>IF(OR('4-man'!Y$23="P",'4-man'!Y$23="R",AND('4-man'!Y$21&lt;=IF('4-man'!$BF$4="",999,'4-man'!$BF$4),OR('4-man'!Y$23="D",LEFT('4-man'!Y$23,3)="ST&gt;",OR(AND('4-man'!Y$22="ST&gt;2",Y125&gt;=100),AND('4-man'!Y$24="ST&gt;2",Y141&gt;=100),AND('4-man'!Y$25="ST&gt;2",Y149&gt;=100))))),'4-man'!Y$21,0)</f>
        <v/>
      </c>
      <c r="Z140">
        <f>IF(OR('4-man'!Z$23="P",'4-man'!Z$23="R",AND('4-man'!Z$21&lt;=IF('4-man'!$BF$4="",999,'4-man'!$BF$4),OR('4-man'!Z$23="D",LEFT('4-man'!Z$23,3)="ST&gt;",OR(AND('4-man'!Z$22="ST&gt;2",Z125&gt;=100),AND('4-man'!Z$24="ST&gt;2",Z141&gt;=100),AND('4-man'!Z$25="ST&gt;2",Z149&gt;=100))))),'4-man'!Z$21,0)</f>
        <v/>
      </c>
      <c r="AA140">
        <f>IF(OR('4-man'!AA$23="P",'4-man'!AA$23="R",AND('4-man'!AA$21&lt;=IF('4-man'!$BF$4="",999,'4-man'!$BF$4),OR('4-man'!AA$23="D",LEFT('4-man'!AA$23,3)="ST&gt;",OR(AND('4-man'!AA$22="ST&gt;2",AA125&gt;=100),AND('4-man'!AA$24="ST&gt;2",AA141&gt;=100),AND('4-man'!AA$25="ST&gt;2",AA149&gt;=100))))),'4-man'!AA$21,0)</f>
        <v/>
      </c>
      <c r="AB140">
        <f>IF(OR('4-man'!AB$23="P",'4-man'!AB$23="R",AND('4-man'!AB$21&lt;=IF('4-man'!$BF$4="",999,'4-man'!$BF$4),OR('4-man'!AB$23="D",LEFT('4-man'!AB$23,3)="ST&gt;",OR(AND('4-man'!AB$22="ST&gt;2",AB125&gt;=100),AND('4-man'!AB$24="ST&gt;2",AB141&gt;=100),AND('4-man'!AB$25="ST&gt;2",AB149&gt;=100))))),'4-man'!AB$21,0)</f>
        <v/>
      </c>
      <c r="AC140">
        <f>IF(OR('4-man'!AC$23="P",'4-man'!AC$23="R",AND('4-man'!AC$21&lt;=IF('4-man'!$BF$4="",999,'4-man'!$BF$4),OR('4-man'!AC$23="D",LEFT('4-man'!AC$23,3)="ST&gt;",OR(AND('4-man'!AC$22="ST&gt;2",AC125&gt;=100),AND('4-man'!AC$24="ST&gt;2",AC141&gt;=100),AND('4-man'!AC$25="ST&gt;2",AC149&gt;=100))))),'4-man'!AC$21,0)</f>
        <v/>
      </c>
      <c r="AD140">
        <f>IF(OR('4-man'!AD$23="P",'4-man'!AD$23="R",AND('4-man'!AD$21&lt;=IF('4-man'!$BF$4="",999,'4-man'!$BF$4),OR('4-man'!AD$23="D",LEFT('4-man'!AD$23,3)="ST&gt;",OR(AND('4-man'!AD$22="ST&gt;2",AD125&gt;=100),AND('4-man'!AD$24="ST&gt;2",AD141&gt;=100),AND('4-man'!AD$25="ST&gt;2",AD149&gt;=100))))),'4-man'!AD$21,0)</f>
        <v/>
      </c>
      <c r="AE140">
        <f>IF(OR('4-man'!AE$23="P",'4-man'!AE$23="R",AND('4-man'!AE$21&lt;=IF('4-man'!$BF$4="",999,'4-man'!$BF$4),OR('4-man'!AE$23="D",LEFT('4-man'!AE$23,3)="ST&gt;",OR(AND('4-man'!AE$22="ST&gt;2",AE125&gt;=100),AND('4-man'!AE$24="ST&gt;2",AE141&gt;=100),AND('4-man'!AE$25="ST&gt;2",AE149&gt;=100))))),'4-man'!AE$21,0)</f>
        <v/>
      </c>
      <c r="AF140">
        <f>IF(OR('4-man'!AF$23="P",'4-man'!AF$23="R",AND('4-man'!AF$21&lt;=IF('4-man'!$BF$4="",999,'4-man'!$BF$4),OR('4-man'!AF$23="D",LEFT('4-man'!AF$23,3)="ST&gt;",OR(AND('4-man'!AF$22="ST&gt;2",AF125&gt;=100),AND('4-man'!AF$24="ST&gt;2",AF141&gt;=100),AND('4-man'!AF$25="ST&gt;2",AF149&gt;=100))))),'4-man'!AF$21,0)</f>
        <v/>
      </c>
      <c r="AG140">
        <f>IF(OR('4-man'!AG$23="P",'4-man'!AG$23="R",AND('4-man'!AG$21&lt;=IF('4-man'!$BF$4="",999,'4-man'!$BF$4),OR('4-man'!AG$23="D",LEFT('4-man'!AG$23,3)="ST&gt;",OR(AND('4-man'!AG$22="ST&gt;2",AG125&gt;=100),AND('4-man'!AG$24="ST&gt;2",AG141&gt;=100),AND('4-man'!AG$25="ST&gt;2",AG149&gt;=100))))),'4-man'!AG$21,0)</f>
        <v/>
      </c>
      <c r="AH140">
        <f>IF(OR('4-man'!AH$23="P",'4-man'!AH$23="R",AND('4-man'!AH$21&lt;=IF('4-man'!$BF$4="",999,'4-man'!$BF$4),OR('4-man'!AH$23="D",LEFT('4-man'!AH$23,3)="ST&gt;",OR(AND('4-man'!AH$22="ST&gt;2",AH125&gt;=100),AND('4-man'!AH$24="ST&gt;2",AH141&gt;=100),AND('4-man'!AH$25="ST&gt;2",AH149&gt;=100))))),'4-man'!AH$21,0)</f>
        <v/>
      </c>
      <c r="AI140">
        <f>IF(OR('4-man'!AI$23="P",'4-man'!AI$23="R",AND('4-man'!AI$21&lt;=IF('4-man'!$BF$4="",999,'4-man'!$BF$4),OR('4-man'!AI$23="D",LEFT('4-man'!AI$23,3)="ST&gt;",OR(AND('4-man'!AI$22="ST&gt;2",AI125&gt;=100),AND('4-man'!AI$24="ST&gt;2",AI141&gt;=100),AND('4-man'!AI$25="ST&gt;2",AI149&gt;=100))))),'4-man'!AI$21,0)</f>
        <v/>
      </c>
      <c r="AJ140">
        <f>IF(OR('4-man'!AJ$23="P",'4-man'!AJ$23="R",AND('4-man'!AJ$21&lt;=IF('4-man'!$BF$4="",999,'4-man'!$BF$4),OR('4-man'!AJ$23="D",LEFT('4-man'!AJ$23,3)="ST&gt;",OR(AND('4-man'!AJ$22="ST&gt;2",AJ125&gt;=100),AND('4-man'!AJ$24="ST&gt;2",AJ141&gt;=100),AND('4-man'!AJ$25="ST&gt;2",AJ149&gt;=100))))),'4-man'!AJ$21,0)</f>
        <v/>
      </c>
      <c r="AK140">
        <f>IF(OR('4-man'!AK$23="P",'4-man'!AK$23="R",AND('4-man'!AK$21&lt;=IF('4-man'!$BF$4="",999,'4-man'!$BF$4),OR('4-man'!AK$23="D",LEFT('4-man'!AK$23,3)="ST&gt;",OR(AND('4-man'!AK$22="ST&gt;2",AK125&gt;=100),AND('4-man'!AK$24="ST&gt;2",AK141&gt;=100),AND('4-man'!AK$25="ST&gt;2",AK149&gt;=100))))),'4-man'!AK$21,0)</f>
        <v/>
      </c>
      <c r="AL140">
        <f>IF(OR('4-man'!AL$23="P",'4-man'!AL$23="R",AND('4-man'!AL$21&lt;=IF('4-man'!$BF$4="",999,'4-man'!$BF$4),OR('4-man'!AL$23="D",LEFT('4-man'!AL$23,3)="ST&gt;",OR(AND('4-man'!AL$22="ST&gt;2",AL125&gt;=100),AND('4-man'!AL$24="ST&gt;2",AL141&gt;=100),AND('4-man'!AL$25="ST&gt;2",AL149&gt;=100))))),'4-man'!AL$21,0)</f>
        <v/>
      </c>
      <c r="AM140">
        <f>IF(OR('4-man'!AM$23="P",'4-man'!AM$23="R",AND('4-man'!AM$21&lt;=IF('4-man'!$BF$4="",999,'4-man'!$BF$4),OR('4-man'!AM$23="D",LEFT('4-man'!AM$23,3)="ST&gt;",OR(AND('4-man'!AM$22="ST&gt;2",AM125&gt;=100),AND('4-man'!AM$24="ST&gt;2",AM141&gt;=100),AND('4-man'!AM$25="ST&gt;2",AM149&gt;=100))))),'4-man'!AM$21,0)</f>
        <v/>
      </c>
      <c r="AN140">
        <f>IF(OR('4-man'!AN$23="P",'4-man'!AN$23="R",AND('4-man'!AN$21&lt;=IF('4-man'!$BF$4="",999,'4-man'!$BF$4),OR('4-man'!AN$23="D",LEFT('4-man'!AN$23,3)="ST&gt;",OR(AND('4-man'!AN$22="ST&gt;2",AN125&gt;=100),AND('4-man'!AN$24="ST&gt;2",AN141&gt;=100),AND('4-man'!AN$25="ST&gt;2",AN149&gt;=100))))),'4-man'!AN$21,0)</f>
        <v/>
      </c>
      <c r="AO140">
        <f>IF(OR('4-man'!AO$23="P",'4-man'!AO$23="R",AND('4-man'!AO$21&lt;=IF('4-man'!$BF$4="",999,'4-man'!$BF$4),OR('4-man'!AO$23="D",LEFT('4-man'!AO$23,3)="ST&gt;",OR(AND('4-man'!AO$22="ST&gt;2",AO125&gt;=100),AND('4-man'!AO$24="ST&gt;2",AO141&gt;=100),AND('4-man'!AO$25="ST&gt;2",AO149&gt;=100))))),'4-man'!AO$21,0)</f>
        <v/>
      </c>
      <c r="AP140">
        <f>IF(OR('4-man'!AP$23="P",'4-man'!AP$23="R",AND('4-man'!AP$21&lt;=IF('4-man'!$BF$4="",999,'4-man'!$BF$4),OR('4-man'!AP$23="D",LEFT('4-man'!AP$23,3)="ST&gt;",OR(AND('4-man'!AP$22="ST&gt;2",AP125&gt;=100),AND('4-man'!AP$24="ST&gt;2",AP141&gt;=100),AND('4-man'!AP$25="ST&gt;2",AP149&gt;=100))))),'4-man'!AP$21,0)</f>
        <v/>
      </c>
      <c r="AQ140">
        <f>IF(OR('4-man'!AQ$23="P",'4-man'!AQ$23="R",AND('4-man'!AQ$21&lt;=IF('4-man'!$BF$4="",999,'4-man'!$BF$4),OR('4-man'!AQ$23="D",LEFT('4-man'!AQ$23,3)="ST&gt;",OR(AND('4-man'!AQ$22="ST&gt;2",AQ125&gt;=100),AND('4-man'!AQ$24="ST&gt;2",AQ141&gt;=100),AND('4-man'!AQ$25="ST&gt;2",AQ149&gt;=100))))),'4-man'!AQ$21,0)</f>
        <v/>
      </c>
      <c r="AR140">
        <f>IF(OR('4-man'!AR$23="P",'4-man'!AR$23="R",AND('4-man'!AR$21&lt;=IF('4-man'!$BF$4="",999,'4-man'!$BF$4),OR('4-man'!AR$23="D",LEFT('4-man'!AR$23,3)="ST&gt;",OR(AND('4-man'!AR$22="ST&gt;2",AR125&gt;=100),AND('4-man'!AR$24="ST&gt;2",AR141&gt;=100),AND('4-man'!AR$25="ST&gt;2",AR149&gt;=100))))),'4-man'!AR$21,0)</f>
        <v/>
      </c>
      <c r="AS140">
        <f>IF(OR('4-man'!AS$23="P",'4-man'!AS$23="R",AND('4-man'!AS$21&lt;=IF('4-man'!$BF$4="",999,'4-man'!$BF$4),OR('4-man'!AS$23="D",LEFT('4-man'!AS$23,3)="ST&gt;",OR(AND('4-man'!AS$22="ST&gt;2",AS125&gt;=100),AND('4-man'!AS$24="ST&gt;2",AS141&gt;=100),AND('4-man'!AS$25="ST&gt;2",AS149&gt;=100))))),'4-man'!AS$21,0)</f>
        <v/>
      </c>
      <c r="AT140">
        <f>IF(OR('4-man'!AT$23="P",'4-man'!AT$23="R",AND('4-man'!AT$21&lt;=IF('4-man'!$BF$4="",999,'4-man'!$BF$4),OR('4-man'!AT$23="D",LEFT('4-man'!AT$23,3)="ST&gt;",OR(AND('4-man'!AT$22="ST&gt;2",AT125&gt;=100),AND('4-man'!AT$24="ST&gt;2",AT141&gt;=100),AND('4-man'!AT$25="ST&gt;2",AT149&gt;=100))))),'4-man'!AT$21,0)</f>
        <v/>
      </c>
      <c r="AU140">
        <f>IF(OR('4-man'!AU$23="P",'4-man'!AU$23="R",AND('4-man'!AU$21&lt;=IF('4-man'!$BF$4="",999,'4-man'!$BF$4),OR('4-man'!AU$23="D",LEFT('4-man'!AU$23,3)="ST&gt;",OR(AND('4-man'!AU$22="ST&gt;2",AU125&gt;=100),AND('4-man'!AU$24="ST&gt;2",AU141&gt;=100),AND('4-man'!AU$25="ST&gt;2",AU149&gt;=100))))),'4-man'!AU$21,0)</f>
        <v/>
      </c>
      <c r="AV140">
        <f>IF(OR('4-man'!AV$23="P",'4-man'!AV$23="R",AND('4-man'!AV$21&lt;=IF('4-man'!$BF$4="",999,'4-man'!$BF$4),OR('4-man'!AV$23="D",LEFT('4-man'!AV$23,3)="ST&gt;",OR(AND('4-man'!AV$22="ST&gt;2",AV125&gt;=100),AND('4-man'!AV$24="ST&gt;2",AV141&gt;=100),AND('4-man'!AV$25="ST&gt;2",AV149&gt;=100))))),'4-man'!AV$21,0)</f>
        <v/>
      </c>
      <c r="AW140">
        <f>IF(OR('4-man'!AW$23="P",'4-man'!AW$23="R",AND('4-man'!AW$21&lt;=IF('4-man'!$BF$4="",999,'4-man'!$BF$4),OR('4-man'!AW$23="D",LEFT('4-man'!AW$23,3)="ST&gt;",OR(AND('4-man'!AW$22="ST&gt;2",AW125&gt;=100),AND('4-man'!AW$24="ST&gt;2",AW141&gt;=100),AND('4-man'!AW$25="ST&gt;2",AW149&gt;=100))))),'4-man'!AW$21,0)</f>
        <v/>
      </c>
      <c r="AX140">
        <f>IF(OR('4-man'!AX$23="P",'4-man'!AX$23="R",AND('4-man'!AX$21&lt;=IF('4-man'!$BF$4="",999,'4-man'!$BF$4),OR('4-man'!AX$23="D",LEFT('4-man'!AX$23,3)="ST&gt;",OR(AND('4-man'!AX$22="ST&gt;2",AX125&gt;=100),AND('4-man'!AX$24="ST&gt;2",AX141&gt;=100),AND('4-man'!AX$25="ST&gt;2",AX149&gt;=100))))),'4-man'!AX$21,0)</f>
        <v/>
      </c>
      <c r="AY140">
        <f>IF(OR('4-man'!AY$23="P",'4-man'!AY$23="R",AND('4-man'!AY$21&lt;=IF('4-man'!$BF$4="",999,'4-man'!$BF$4),OR('4-man'!AY$23="D",LEFT('4-man'!AY$23,3)="ST&gt;",OR(AND('4-man'!AY$22="ST&gt;2",AY125&gt;=100),AND('4-man'!AY$24="ST&gt;2",AY141&gt;=100),AND('4-man'!AY$25="ST&gt;2",AY149&gt;=100))))),'4-man'!AY$21,0)</f>
        <v/>
      </c>
      <c r="AZ140">
        <f>IF(OR('4-man'!AZ$23="P",'4-man'!AZ$23="R",AND('4-man'!AZ$21&lt;=IF('4-man'!$BF$4="",999,'4-man'!$BF$4),OR('4-man'!AZ$23="D",LEFT('4-man'!AZ$23,3)="ST&gt;",OR(AND('4-man'!AZ$22="ST&gt;2",AZ125&gt;=100),AND('4-man'!AZ$24="ST&gt;2",AZ141&gt;=100),AND('4-man'!AZ$25="ST&gt;2",AZ149&gt;=100))))),'4-man'!AZ$21,0)</f>
        <v/>
      </c>
      <c r="BA140">
        <f>IF(OR('4-man'!BA$23="P",'4-man'!BA$23="R",AND('4-man'!BA$21&lt;=IF('4-man'!$BF$4="",999,'4-man'!$BF$4),OR('4-man'!BA$23="D",LEFT('4-man'!BA$23,3)="ST&gt;",OR(AND('4-man'!BA$22="ST&gt;2",BA125&gt;=100),AND('4-man'!BA$24="ST&gt;2",BA141&gt;=100),AND('4-man'!BA$25="ST&gt;2",BA149&gt;=100))))),'4-man'!BA$21,0)</f>
        <v/>
      </c>
      <c r="BB140">
        <f>IF(OR('4-man'!BB$23="P",'4-man'!BB$23="R",AND('4-man'!BB$21&lt;=IF('4-man'!$BF$4="",999,'4-man'!$BF$4),OR('4-man'!BB$23="D",LEFT('4-man'!BB$23,3)="ST&gt;",OR(AND('4-man'!BB$22="ST&gt;2",BB125&gt;=100),AND('4-man'!BB$24="ST&gt;2",BB141&gt;=100),AND('4-man'!BB$25="ST&gt;2",BB149&gt;=100))))),'4-man'!BB$21,0)</f>
        <v/>
      </c>
      <c r="BC140">
        <f>IF(OR('4-man'!BC$23="P",'4-man'!BC$23="R",AND('4-man'!BC$21&lt;=IF('4-man'!$BF$4="",999,'4-man'!$BF$4),OR('4-man'!BC$23="D",LEFT('4-man'!BC$23,3)="ST&gt;",OR(AND('4-man'!BC$22="ST&gt;2",BC125&gt;=100),AND('4-man'!BC$24="ST&gt;2",BC141&gt;=100),AND('4-man'!BC$25="ST&gt;2",BC149&gt;=100))))),'4-man'!BC$21,0)</f>
        <v/>
      </c>
      <c r="BD140">
        <f>IF(OR('4-man'!BD$23="P",'4-man'!BD$23="R",AND('4-man'!BD$21&lt;=IF('4-man'!$BF$4="",999,'4-man'!$BF$4),OR('4-man'!BD$23="D",LEFT('4-man'!BD$23,3)="ST&gt;",OR(AND('4-man'!BD$22="ST&gt;2",BD125&gt;=100),AND('4-man'!BD$24="ST&gt;2",BD141&gt;=100),AND('4-man'!BD$25="ST&gt;2",BD149&gt;=100))))),'4-man'!BD$21,0)</f>
        <v/>
      </c>
      <c r="BE140">
        <f>IF(OR('4-man'!BE$23="P",'4-man'!BE$23="R",AND('4-man'!BE$21&lt;=IF('4-man'!$BF$4="",999,'4-man'!$BF$4),OR('4-man'!BE$23="D",LEFT('4-man'!BE$23,3)="ST&gt;",OR(AND('4-man'!BE$22="ST&gt;2",BE125&gt;=100),AND('4-man'!BE$24="ST&gt;2",BE141&gt;=100),AND('4-man'!BE$25="ST&gt;2",BE149&gt;=100))))),'4-man'!BE$21,0)</f>
        <v/>
      </c>
      <c r="BF140">
        <f>IF(OR('4-man'!BF$23="P",'4-man'!BF$23="R",AND('4-man'!BF$21&lt;=IF('4-man'!$BF$4="",999,'4-man'!$BF$4),OR('4-man'!BF$23="D",LEFT('4-man'!BF$23,3)="ST&gt;",OR(AND('4-man'!BF$22="ST&gt;2",BF125&gt;=100),AND('4-man'!BF$24="ST&gt;2",BF141&gt;=100),AND('4-man'!BF$25="ST&gt;2",BF149&gt;=100))))),'4-man'!BF$21,0)</f>
        <v/>
      </c>
      <c r="BG140">
        <f>IF(OR('4-man'!BG$23="P",'4-man'!BG$23="R",AND('4-man'!BG$21&lt;=IF('4-man'!$BF$4="",999,'4-man'!$BF$4),OR('4-man'!BG$23="D",LEFT('4-man'!BG$23,3)="ST&gt;",OR(AND('4-man'!BG$22="ST&gt;2",BG125&gt;=100),AND('4-man'!BG$24="ST&gt;2",BG141&gt;=100),AND('4-man'!BG$25="ST&gt;2",BG149&gt;=100))))),'4-man'!BG$21,0)</f>
        <v/>
      </c>
      <c r="BH140">
        <f>IF(OR('4-man'!BH$23="P",'4-man'!BH$23="R",AND('4-man'!BH$21&lt;=IF('4-man'!$BF$4="",999,'4-man'!$BF$4),OR('4-man'!BH$23="D",LEFT('4-man'!BH$23,3)="ST&gt;",OR(AND('4-man'!BH$22="ST&gt;2",BH125&gt;=100),AND('4-man'!BH$24="ST&gt;2",BH141&gt;=100),AND('4-man'!BH$25="ST&gt;2",BH149&gt;=100))))),'4-man'!BH$21,0)</f>
        <v/>
      </c>
      <c r="BI140">
        <f>IF(OR('4-man'!BI$23="P",'4-man'!BI$23="R",AND('4-man'!BI$21&lt;=IF('4-man'!$BF$4="",999,'4-man'!$BF$4),OR('4-man'!BI$23="D",LEFT('4-man'!BI$23,3)="ST&gt;",OR(AND('4-man'!BI$22="ST&gt;2",BI125&gt;=100),AND('4-man'!BI$24="ST&gt;2",BI141&gt;=100),AND('4-man'!BI$25="ST&gt;2",BI149&gt;=100))))),'4-man'!BI$21,0)</f>
        <v/>
      </c>
      <c r="BJ140">
        <f>IF(OR('4-man'!BJ$23="P",'4-man'!BJ$23="R",AND('4-man'!BJ$21&lt;=IF('4-man'!$BF$4="",999,'4-man'!$BF$4),OR('4-man'!BJ$23="D",LEFT('4-man'!BJ$23,3)="ST&gt;",OR(AND('4-man'!BJ$22="ST&gt;2",BJ125&gt;=100),AND('4-man'!BJ$24="ST&gt;2",BJ141&gt;=100),AND('4-man'!BJ$25="ST&gt;2",BJ149&gt;=100))))),'4-man'!BJ$21,0)</f>
        <v/>
      </c>
      <c r="BK140">
        <f>IF(OR('4-man'!BK$23="P",'4-man'!BK$23="R",AND('4-man'!BK$21&lt;=IF('4-man'!$BF$4="",999,'4-man'!$BF$4),OR('4-man'!BK$23="D",LEFT('4-man'!BK$23,3)="ST&gt;",OR(AND('4-man'!BK$22="ST&gt;2",BK125&gt;=100),AND('4-man'!BK$24="ST&gt;2",BK141&gt;=100),AND('4-man'!BK$25="ST&gt;2",BK149&gt;=100))))),'4-man'!BK$21,0)</f>
        <v/>
      </c>
      <c r="BL140">
        <f>IF(OR('4-man'!BL$23="P",'4-man'!BL$23="R",AND('4-man'!BL$21&lt;=IF('4-man'!$BF$4="",999,'4-man'!$BF$4),OR('4-man'!BL$23="D",LEFT('4-man'!BL$23,3)="ST&gt;",OR(AND('4-man'!BL$22="ST&gt;2",BL125&gt;=100),AND('4-man'!BL$24="ST&gt;2",BL141&gt;=100),AND('4-man'!BL$25="ST&gt;2",BL149&gt;=100))))),'4-man'!BL$21,0)</f>
        <v/>
      </c>
      <c r="BM140">
        <f>IF(OR('4-man'!BM$23="P",'4-man'!BM$23="R",AND('4-man'!BM$21&lt;=IF('4-man'!$BF$4="",999,'4-man'!$BF$4),OR('4-man'!BM$23="D",LEFT('4-man'!BM$23,3)="ST&gt;",OR(AND('4-man'!BM$22="ST&gt;2",BM125&gt;=100),AND('4-man'!BM$24="ST&gt;2",BM141&gt;=100),AND('4-man'!BM$25="ST&gt;2",BM149&gt;=100))))),'4-man'!BM$21,0)</f>
        <v/>
      </c>
      <c r="BN140">
        <f>IF(OR('4-man'!BN$23="P",'4-man'!BN$23="R",AND('4-man'!BN$21&lt;=IF('4-man'!$BF$4="",999,'4-man'!$BF$4),OR('4-man'!BN$23="D",LEFT('4-man'!BN$23,3)="ST&gt;",OR(AND('4-man'!BN$22="ST&gt;2",BN125&gt;=100),AND('4-man'!BN$24="ST&gt;2",BN141&gt;=100),AND('4-man'!BN$25="ST&gt;2",BN149&gt;=100))))),'4-man'!BN$21,0)</f>
        <v/>
      </c>
      <c r="BO140">
        <f>IF(OR('4-man'!BO$23="P",'4-man'!BO$23="R",AND('4-man'!BO$21&lt;=IF('4-man'!$BF$4="",999,'4-man'!$BF$4),OR('4-man'!BO$23="D",LEFT('4-man'!BO$23,3)="ST&gt;",OR(AND('4-man'!BO$22="ST&gt;2",BO125&gt;=100),AND('4-man'!BO$24="ST&gt;2",BO141&gt;=100),AND('4-man'!BO$25="ST&gt;2",BO149&gt;=100))))),'4-man'!BO$21,0)</f>
        <v/>
      </c>
      <c r="BP140">
        <f>IF(OR('4-man'!BP$23="P",'4-man'!BP$23="R",AND('4-man'!BP$21&lt;=IF('4-man'!$BF$4="",999,'4-man'!$BF$4),OR('4-man'!BP$23="D",LEFT('4-man'!BP$23,3)="ST&gt;",OR(AND('4-man'!BP$22="ST&gt;2",BP125&gt;=100),AND('4-man'!BP$24="ST&gt;2",BP141&gt;=100),AND('4-man'!BP$25="ST&gt;2",BP149&gt;=100))))),'4-man'!BP$21,0)</f>
        <v/>
      </c>
      <c r="BQ140">
        <f>IF(OR('4-man'!BQ$23="P",'4-man'!BQ$23="R",AND('4-man'!BQ$21&lt;=IF('4-man'!$BF$4="",999,'4-man'!$BF$4),OR('4-man'!BQ$23="D",LEFT('4-man'!BQ$23,3)="ST&gt;",OR(AND('4-man'!BQ$22="ST&gt;2",BQ125&gt;=100),AND('4-man'!BQ$24="ST&gt;2",BQ141&gt;=100),AND('4-man'!BQ$25="ST&gt;2",BQ149&gt;=100))))),'4-man'!BQ$21,0)</f>
        <v/>
      </c>
      <c r="BR140">
        <f>IF(OR('4-man'!BR$23="P",'4-man'!BR$23="R",AND('4-man'!BR$21&lt;=IF('4-man'!$BF$4="",999,'4-man'!$BF$4),OR('4-man'!BR$23="D",LEFT('4-man'!BR$23,3)="ST&gt;",OR(AND('4-man'!BR$22="ST&gt;2",BR125&gt;=100),AND('4-man'!BR$24="ST&gt;2",BR141&gt;=100),AND('4-man'!BR$25="ST&gt;2",BR149&gt;=100))))),'4-man'!BR$21,0)</f>
        <v/>
      </c>
      <c r="BS140">
        <f>IF(OR('4-man'!BS$23="P",'4-man'!BS$23="R",AND('4-man'!BS$21&lt;=IF('4-man'!$BF$4="",999,'4-man'!$BF$4),OR('4-man'!BS$23="D",LEFT('4-man'!BS$23,3)="ST&gt;",OR(AND('4-man'!BS$22="ST&gt;2",BS125&gt;=100),AND('4-man'!BS$24="ST&gt;2",BS141&gt;=100),AND('4-man'!BS$25="ST&gt;2",BS149&gt;=100))))),'4-man'!BS$21,0)</f>
        <v/>
      </c>
      <c r="BT140">
        <f>IF(OR('4-man'!BT$23="P",'4-man'!BT$23="R",AND('4-man'!BT$21&lt;=IF('4-man'!$BF$4="",999,'4-man'!$BF$4),OR('4-man'!BT$23="D",LEFT('4-man'!BT$23,3)="ST&gt;",OR(AND('4-man'!BT$22="ST&gt;2",BT125&gt;=100),AND('4-man'!BT$24="ST&gt;2",BT141&gt;=100),AND('4-man'!BT$25="ST&gt;2",BT149&gt;=100))))),'4-man'!BT$21,0)</f>
        <v/>
      </c>
      <c r="BU140">
        <f>IF(OR('4-man'!BU$23="P",'4-man'!BU$23="R",AND('4-man'!BU$21&lt;=IF('4-man'!$BF$4="",999,'4-man'!$BF$4),OR('4-man'!BU$23="D",LEFT('4-man'!BU$23,3)="ST&gt;",OR(AND('4-man'!BU$22="ST&gt;2",BU125&gt;=100),AND('4-man'!BU$24="ST&gt;2",BU141&gt;=100),AND('4-man'!BU$25="ST&gt;2",BU149&gt;=100))))),'4-man'!BU$21,0)</f>
        <v/>
      </c>
      <c r="BV140">
        <f>IF(OR('4-man'!BV$23="P",'4-man'!BV$23="R",AND('4-man'!BV$21&lt;=IF('4-man'!$BF$4="",999,'4-man'!$BF$4),OR('4-man'!BV$23="D",LEFT('4-man'!BV$23,3)="ST&gt;",OR(AND('4-man'!BV$22="ST&gt;2",BV125&gt;=100),AND('4-man'!BV$24="ST&gt;2",BV141&gt;=100),AND('4-man'!BV$25="ST&gt;2",BV149&gt;=100))))),'4-man'!BV$21,0)</f>
        <v/>
      </c>
      <c r="BW140">
        <f>IF(OR('4-man'!BW$23="P",'4-man'!BW$23="R",AND('4-man'!BW$21&lt;=IF('4-man'!$BF$4="",999,'4-man'!$BF$4),OR('4-man'!BW$23="D",LEFT('4-man'!BW$23,3)="ST&gt;",OR(AND('4-man'!BW$22="ST&gt;2",BW125&gt;=100),AND('4-man'!BW$24="ST&gt;2",BW141&gt;=100),AND('4-man'!BW$25="ST&gt;2",BW149&gt;=100))))),'4-man'!BW$21,0)</f>
        <v/>
      </c>
      <c r="BX140">
        <f>IF(OR('4-man'!BX$23="P",'4-man'!BX$23="R",AND('4-man'!BX$21&lt;=IF('4-man'!$BF$4="",999,'4-man'!$BF$4),OR('4-man'!BX$23="D",LEFT('4-man'!BX$23,3)="ST&gt;",OR(AND('4-man'!BX$22="ST&gt;2",BX125&gt;=100),AND('4-man'!BX$24="ST&gt;2",BX141&gt;=100),AND('4-man'!BX$25="ST&gt;2",BX149&gt;=100))))),'4-man'!BX$21,0)</f>
        <v/>
      </c>
      <c r="BY140">
        <f>IF(OR('4-man'!BY$23="P",'4-man'!BY$23="R",AND('4-man'!BY$21&lt;=IF('4-man'!$BF$4="",999,'4-man'!$BF$4),OR('4-man'!BY$23="D",LEFT('4-man'!BY$23,3)="ST&gt;",OR(AND('4-man'!BY$22="ST&gt;2",BY125&gt;=100),AND('4-man'!BY$24="ST&gt;2",BY141&gt;=100),AND('4-man'!BY$25="ST&gt;2",BY149&gt;=100))))),'4-man'!BY$21,0)</f>
        <v/>
      </c>
      <c r="BZ140">
        <f>IF(OR('4-man'!BZ$23="P",'4-man'!BZ$23="R",AND('4-man'!BZ$21&lt;=IF('4-man'!$BF$4="",999,'4-man'!$BF$4),OR('4-man'!BZ$23="D",LEFT('4-man'!BZ$23,3)="ST&gt;",OR(AND('4-man'!BZ$22="ST&gt;2",BZ125&gt;=100),AND('4-man'!BZ$24="ST&gt;2",BZ141&gt;=100),AND('4-man'!BZ$25="ST&gt;2",BZ149&gt;=100))))),'4-man'!BZ$21,0)</f>
        <v/>
      </c>
      <c r="CA140">
        <f>IF(OR('4-man'!CA$23="P",'4-man'!CA$23="R",AND('4-man'!CA$21&lt;=IF('4-man'!$BF$4="",999,'4-man'!$BF$4),OR('4-man'!CA$23="D",LEFT('4-man'!CA$23,3)="ST&gt;",OR(AND('4-man'!CA$22="ST&gt;2",CA125&gt;=100),AND('4-man'!CA$24="ST&gt;2",CA141&gt;=100),AND('4-man'!CA$25="ST&gt;2",CA149&gt;=100))))),'4-man'!CA$21,0)</f>
        <v/>
      </c>
      <c r="CB140">
        <f>IF(OR('4-man'!CB$23="P",'4-man'!CB$23="R",AND('4-man'!CB$21&lt;=IF('4-man'!$BF$4="",999,'4-man'!$BF$4),OR('4-man'!CB$23="D",LEFT('4-man'!CB$23,3)="ST&gt;",OR(AND('4-man'!CB$22="ST&gt;2",CB125&gt;=100),AND('4-man'!CB$24="ST&gt;2",CB141&gt;=100),AND('4-man'!CB$25="ST&gt;2",CB149&gt;=100))))),'4-man'!CB$21,0)</f>
        <v/>
      </c>
      <c r="CC140">
        <f>IF(OR('4-man'!CC$23="P",'4-man'!CC$23="R",AND('4-man'!CC$21&lt;=IF('4-man'!$BF$4="",999,'4-man'!$BF$4),OR('4-man'!CC$23="D",LEFT('4-man'!CC$23,3)="ST&gt;",OR(AND('4-man'!CC$22="ST&gt;2",CC125&gt;=100),AND('4-man'!CC$24="ST&gt;2",CC141&gt;=100),AND('4-man'!CC$25="ST&gt;2",CC149&gt;=100))))),'4-man'!CC$21,0)</f>
        <v/>
      </c>
      <c r="CD140">
        <f>IF(OR('4-man'!CD$23="P",'4-man'!CD$23="R",AND('4-man'!CD$21&lt;=IF('4-man'!$BF$4="",999,'4-man'!$BF$4),OR('4-man'!CD$23="D",LEFT('4-man'!CD$23,3)="ST&gt;",OR(AND('4-man'!CD$22="ST&gt;2",CD125&gt;=100),AND('4-man'!CD$24="ST&gt;2",CD141&gt;=100),AND('4-man'!CD$25="ST&gt;2",CD149&gt;=100))))),'4-man'!CD$21,0)</f>
        <v/>
      </c>
    </row>
    <row r="141">
      <c r="A141" t="inlineStr">
        <is>
          <t>P3 s1</t>
        </is>
      </c>
      <c r="C141">
        <f>MIN(100,B142+IF(AND(B142&lt;100,B143+1&gt;=IF(OR('4-man'!$F$6=TRUE,'4-man'!$F$6="TRUE",'4-man'!$F$6="Yes"),25,50)),10,0)+IF('4-man'!C$21=$Q$147,25,0))</f>
        <v/>
      </c>
      <c r="D141">
        <f>MIN(100,C142+IF(AND(C142&lt;100,C143+1&gt;=IF(OR('4-man'!$F$6=TRUE,'4-man'!$F$6="TRUE",'4-man'!$F$6="Yes"),25,50)),10,0)+IF('4-man'!D$21=$Q$147,25,0))</f>
        <v/>
      </c>
      <c r="E141">
        <f>MIN(100,D142+IF(AND(D142&lt;100,D143+1&gt;=IF(OR('4-man'!$F$6=TRUE,'4-man'!$F$6="TRUE",'4-man'!$F$6="Yes"),25,50)),10,0)+IF('4-man'!E$21=$Q$147,25,0))</f>
        <v/>
      </c>
      <c r="F141">
        <f>MIN(100,E142+IF(AND(E142&lt;100,E143+1&gt;=IF(OR('4-man'!$F$6=TRUE,'4-man'!$F$6="TRUE",'4-man'!$F$6="Yes"),25,50)),10,0)+IF('4-man'!F$21=$Q$147,25,0))</f>
        <v/>
      </c>
      <c r="G141">
        <f>MIN(100,F142+IF(AND(F142&lt;100,F143+1&gt;=IF(OR('4-man'!$F$6=TRUE,'4-man'!$F$6="TRUE",'4-man'!$F$6="Yes"),25,50)),10,0)+IF('4-man'!G$21=$Q$147,25,0))</f>
        <v/>
      </c>
      <c r="H141">
        <f>MIN(100,G142+IF(AND(G142&lt;100,G143+1&gt;=IF(OR('4-man'!$F$6=TRUE,'4-man'!$F$6="TRUE",'4-man'!$F$6="Yes"),25,50)),10,0)+IF('4-man'!H$21=$Q$147,25,0))</f>
        <v/>
      </c>
      <c r="I141">
        <f>MIN(100,H142+IF(AND(H142&lt;100,H143+1&gt;=IF(OR('4-man'!$F$6=TRUE,'4-man'!$F$6="TRUE",'4-man'!$F$6="Yes"),25,50)),10,0)+IF('4-man'!I$21=$Q$147,25,0))</f>
        <v/>
      </c>
      <c r="J141">
        <f>MIN(100,I142+IF(AND(I142&lt;100,I143+1&gt;=IF(OR('4-man'!$F$6=TRUE,'4-man'!$F$6="TRUE",'4-man'!$F$6="Yes"),25,50)),10,0)+IF('4-man'!J$21=$Q$147,25,0))</f>
        <v/>
      </c>
      <c r="K141">
        <f>MIN(100,J142+IF(AND(J142&lt;100,J143+1&gt;=IF(OR('4-man'!$F$6=TRUE,'4-man'!$F$6="TRUE",'4-man'!$F$6="Yes"),25,50)),10,0)+IF('4-man'!K$21=$Q$147,25,0))</f>
        <v/>
      </c>
      <c r="L141">
        <f>MIN(100,K142+IF(AND(K142&lt;100,K143+1&gt;=IF(OR('4-man'!$F$6=TRUE,'4-man'!$F$6="TRUE",'4-man'!$F$6="Yes"),25,50)),10,0)+IF('4-man'!L$21=$Q$147,25,0))</f>
        <v/>
      </c>
      <c r="M141">
        <f>MIN(100,L142+IF(AND(L142&lt;100,L143+1&gt;=IF(OR('4-man'!$F$6=TRUE,'4-man'!$F$6="TRUE",'4-man'!$F$6="Yes"),25,50)),10,0)+IF('4-man'!M$21=$Q$147,25,0))</f>
        <v/>
      </c>
      <c r="N141">
        <f>MIN(100,M142+IF(AND(M142&lt;100,M143+1&gt;=IF(OR('4-man'!$F$6=TRUE,'4-man'!$F$6="TRUE",'4-man'!$F$6="Yes"),25,50)),10,0)+IF('4-man'!N$21=$Q$147,25,0))</f>
        <v/>
      </c>
      <c r="O141">
        <f>MIN(100,N142+IF(AND(N142&lt;100,N143+1&gt;=IF(OR('4-man'!$F$6=TRUE,'4-man'!$F$6="TRUE",'4-man'!$F$6="Yes"),25,50)),10,0)+IF('4-man'!O$21=$Q$147,25,0))</f>
        <v/>
      </c>
      <c r="P141">
        <f>MIN(100,O142+IF(AND(O142&lt;100,O143+1&gt;=IF(OR('4-man'!$F$6=TRUE,'4-man'!$F$6="TRUE",'4-man'!$F$6="Yes"),25,50)),10,0)+IF('4-man'!P$21=$Q$147,25,0))</f>
        <v/>
      </c>
      <c r="Q141">
        <f>MIN(100,P142+IF(AND(P142&lt;100,P143+1&gt;=IF(OR('4-man'!$F$6=TRUE,'4-man'!$F$6="TRUE",'4-man'!$F$6="Yes"),25,50)),10,0)+IF('4-man'!Q$21=$Q$147,25,0))</f>
        <v/>
      </c>
      <c r="R141">
        <f>MIN(100,Q142+IF(AND(Q142&lt;100,Q143+1&gt;=IF(OR('4-man'!$F$6=TRUE,'4-man'!$F$6="TRUE",'4-man'!$F$6="Yes"),25,50)),10,0)+IF('4-man'!R$21=$Q$147,25,0))</f>
        <v/>
      </c>
      <c r="S141">
        <f>MIN(100,R142+IF(AND(R142&lt;100,R143+1&gt;=IF(OR('4-man'!$F$6=TRUE,'4-man'!$F$6="TRUE",'4-man'!$F$6="Yes"),25,50)),10,0)+IF('4-man'!S$21=$Q$147,25,0))</f>
        <v/>
      </c>
      <c r="T141">
        <f>MIN(100,S142+IF(AND(S142&lt;100,S143+1&gt;=IF(OR('4-man'!$F$6=TRUE,'4-man'!$F$6="TRUE",'4-man'!$F$6="Yes"),25,50)),10,0)+IF('4-man'!T$21=$Q$147,25,0))</f>
        <v/>
      </c>
      <c r="U141">
        <f>MIN(100,T142+IF(AND(T142&lt;100,T143+1&gt;=IF(OR('4-man'!$F$6=TRUE,'4-man'!$F$6="TRUE",'4-man'!$F$6="Yes"),25,50)),10,0)+IF('4-man'!U$21=$Q$147,25,0))</f>
        <v/>
      </c>
      <c r="V141">
        <f>MIN(100,U142+IF(AND(U142&lt;100,U143+1&gt;=IF(OR('4-man'!$F$6=TRUE,'4-man'!$F$6="TRUE",'4-man'!$F$6="Yes"),25,50)),10,0)+IF('4-man'!V$21=$Q$147,25,0))</f>
        <v/>
      </c>
      <c r="W141">
        <f>MIN(100,V142+IF(AND(V142&lt;100,V143+1&gt;=IF(OR('4-man'!$F$6=TRUE,'4-man'!$F$6="TRUE",'4-man'!$F$6="Yes"),25,50)),10,0)+IF('4-man'!W$21=$Q$147,25,0))</f>
        <v/>
      </c>
      <c r="X141">
        <f>MIN(100,W142+IF(AND(W142&lt;100,W143+1&gt;=IF(OR('4-man'!$F$6=TRUE,'4-man'!$F$6="TRUE",'4-man'!$F$6="Yes"),25,50)),10,0)+IF('4-man'!X$21=$Q$147,25,0))</f>
        <v/>
      </c>
      <c r="Y141">
        <f>MIN(100,X142+IF(AND(X142&lt;100,X143+1&gt;=IF(OR('4-man'!$F$6=TRUE,'4-man'!$F$6="TRUE",'4-man'!$F$6="Yes"),25,50)),10,0)+IF('4-man'!Y$21=$Q$147,25,0))</f>
        <v/>
      </c>
      <c r="Z141">
        <f>MIN(100,Y142+IF(AND(Y142&lt;100,Y143+1&gt;=IF(OR('4-man'!$F$6=TRUE,'4-man'!$F$6="TRUE",'4-man'!$F$6="Yes"),25,50)),10,0)+IF('4-man'!Z$21=$Q$147,25,0))</f>
        <v/>
      </c>
      <c r="AA141">
        <f>MIN(100,Z142+IF(AND(Z142&lt;100,Z143+1&gt;=IF(OR('4-man'!$F$6=TRUE,'4-man'!$F$6="TRUE",'4-man'!$F$6="Yes"),25,50)),10,0)+IF('4-man'!AA$21=$Q$147,25,0))</f>
        <v/>
      </c>
      <c r="AB141">
        <f>MIN(100,AA142+IF(AND(AA142&lt;100,AA143+1&gt;=IF(OR('4-man'!$F$6=TRUE,'4-man'!$F$6="TRUE",'4-man'!$F$6="Yes"),25,50)),10,0)+IF('4-man'!AB$21=$Q$147,25,0))</f>
        <v/>
      </c>
      <c r="AC141">
        <f>MIN(100,AB142+IF(AND(AB142&lt;100,AB143+1&gt;=IF(OR('4-man'!$F$6=TRUE,'4-man'!$F$6="TRUE",'4-man'!$F$6="Yes"),25,50)),10,0)+IF('4-man'!AC$21=$Q$147,25,0))</f>
        <v/>
      </c>
      <c r="AD141">
        <f>MIN(100,AC142+IF(AND(AC142&lt;100,AC143+1&gt;=IF(OR('4-man'!$F$6=TRUE,'4-man'!$F$6="TRUE",'4-man'!$F$6="Yes"),25,50)),10,0)+IF('4-man'!AD$21=$Q$147,25,0))</f>
        <v/>
      </c>
      <c r="AE141">
        <f>MIN(100,AD142+IF(AND(AD142&lt;100,AD143+1&gt;=IF(OR('4-man'!$F$6=TRUE,'4-man'!$F$6="TRUE",'4-man'!$F$6="Yes"),25,50)),10,0)+IF('4-man'!AE$21=$Q$147,25,0))</f>
        <v/>
      </c>
      <c r="AF141">
        <f>MIN(100,AE142+IF(AND(AE142&lt;100,AE143+1&gt;=IF(OR('4-man'!$F$6=TRUE,'4-man'!$F$6="TRUE",'4-man'!$F$6="Yes"),25,50)),10,0)+IF('4-man'!AF$21=$Q$147,25,0))</f>
        <v/>
      </c>
      <c r="AG141">
        <f>MIN(100,AF142+IF(AND(AF142&lt;100,AF143+1&gt;=IF(OR('4-man'!$F$6=TRUE,'4-man'!$F$6="TRUE",'4-man'!$F$6="Yes"),25,50)),10,0)+IF('4-man'!AG$21=$Q$147,25,0))</f>
        <v/>
      </c>
      <c r="AH141">
        <f>MIN(100,AG142+IF(AND(AG142&lt;100,AG143+1&gt;=IF(OR('4-man'!$F$6=TRUE,'4-man'!$F$6="TRUE",'4-man'!$F$6="Yes"),25,50)),10,0)+IF('4-man'!AH$21=$Q$147,25,0))</f>
        <v/>
      </c>
      <c r="AI141">
        <f>MIN(100,AH142+IF(AND(AH142&lt;100,AH143+1&gt;=IF(OR('4-man'!$F$6=TRUE,'4-man'!$F$6="TRUE",'4-man'!$F$6="Yes"),25,50)),10,0)+IF('4-man'!AI$21=$Q$147,25,0))</f>
        <v/>
      </c>
      <c r="AJ141">
        <f>MIN(100,AI142+IF(AND(AI142&lt;100,AI143+1&gt;=IF(OR('4-man'!$F$6=TRUE,'4-man'!$F$6="TRUE",'4-man'!$F$6="Yes"),25,50)),10,0)+IF('4-man'!AJ$21=$Q$147,25,0))</f>
        <v/>
      </c>
      <c r="AK141">
        <f>MIN(100,AJ142+IF(AND(AJ142&lt;100,AJ143+1&gt;=IF(OR('4-man'!$F$6=TRUE,'4-man'!$F$6="TRUE",'4-man'!$F$6="Yes"),25,50)),10,0)+IF('4-man'!AK$21=$Q$147,25,0))</f>
        <v/>
      </c>
      <c r="AL141">
        <f>MIN(100,AK142+IF(AND(AK142&lt;100,AK143+1&gt;=IF(OR('4-man'!$F$6=TRUE,'4-man'!$F$6="TRUE",'4-man'!$F$6="Yes"),25,50)),10,0)+IF('4-man'!AL$21=$Q$147,25,0))</f>
        <v/>
      </c>
      <c r="AM141">
        <f>MIN(100,AL142+IF(AND(AL142&lt;100,AL143+1&gt;=IF(OR('4-man'!$F$6=TRUE,'4-man'!$F$6="TRUE",'4-man'!$F$6="Yes"),25,50)),10,0)+IF('4-man'!AM$21=$Q$147,25,0))</f>
        <v/>
      </c>
      <c r="AN141">
        <f>MIN(100,AM142+IF(AND(AM142&lt;100,AM143+1&gt;=IF(OR('4-man'!$F$6=TRUE,'4-man'!$F$6="TRUE",'4-man'!$F$6="Yes"),25,50)),10,0)+IF('4-man'!AN$21=$Q$147,25,0))</f>
        <v/>
      </c>
      <c r="AO141">
        <f>MIN(100,AN142+IF(AND(AN142&lt;100,AN143+1&gt;=IF(OR('4-man'!$F$6=TRUE,'4-man'!$F$6="TRUE",'4-man'!$F$6="Yes"),25,50)),10,0)+IF('4-man'!AO$21=$Q$147,25,0))</f>
        <v/>
      </c>
      <c r="AP141">
        <f>MIN(100,AO142+IF(AND(AO142&lt;100,AO143+1&gt;=IF(OR('4-man'!$F$6=TRUE,'4-man'!$F$6="TRUE",'4-man'!$F$6="Yes"),25,50)),10,0)+IF('4-man'!AP$21=$Q$147,25,0))</f>
        <v/>
      </c>
      <c r="AQ141">
        <f>MIN(100,AP142+IF(AND(AP142&lt;100,AP143+1&gt;=IF(OR('4-man'!$F$6=TRUE,'4-man'!$F$6="TRUE",'4-man'!$F$6="Yes"),25,50)),10,0)+IF('4-man'!AQ$21=$Q$147,25,0))</f>
        <v/>
      </c>
      <c r="AR141">
        <f>MIN(100,AQ142+IF(AND(AQ142&lt;100,AQ143+1&gt;=IF(OR('4-man'!$F$6=TRUE,'4-man'!$F$6="TRUE",'4-man'!$F$6="Yes"),25,50)),10,0)+IF('4-man'!AR$21=$Q$147,25,0))</f>
        <v/>
      </c>
      <c r="AS141">
        <f>MIN(100,AR142+IF(AND(AR142&lt;100,AR143+1&gt;=IF(OR('4-man'!$F$6=TRUE,'4-man'!$F$6="TRUE",'4-man'!$F$6="Yes"),25,50)),10,0)+IF('4-man'!AS$21=$Q$147,25,0))</f>
        <v/>
      </c>
      <c r="AT141">
        <f>MIN(100,AS142+IF(AND(AS142&lt;100,AS143+1&gt;=IF(OR('4-man'!$F$6=TRUE,'4-man'!$F$6="TRUE",'4-man'!$F$6="Yes"),25,50)),10,0)+IF('4-man'!AT$21=$Q$147,25,0))</f>
        <v/>
      </c>
      <c r="AU141">
        <f>MIN(100,AT142+IF(AND(AT142&lt;100,AT143+1&gt;=IF(OR('4-man'!$F$6=TRUE,'4-man'!$F$6="TRUE",'4-man'!$F$6="Yes"),25,50)),10,0)+IF('4-man'!AU$21=$Q$147,25,0))</f>
        <v/>
      </c>
      <c r="AV141">
        <f>MIN(100,AU142+IF(AND(AU142&lt;100,AU143+1&gt;=IF(OR('4-man'!$F$6=TRUE,'4-man'!$F$6="TRUE",'4-man'!$F$6="Yes"),25,50)),10,0)+IF('4-man'!AV$21=$Q$147,25,0))</f>
        <v/>
      </c>
      <c r="AW141">
        <f>MIN(100,AV142+IF(AND(AV142&lt;100,AV143+1&gt;=IF(OR('4-man'!$F$6=TRUE,'4-man'!$F$6="TRUE",'4-man'!$F$6="Yes"),25,50)),10,0)+IF('4-man'!AW$21=$Q$147,25,0))</f>
        <v/>
      </c>
      <c r="AX141">
        <f>MIN(100,AW142+IF(AND(AW142&lt;100,AW143+1&gt;=IF(OR('4-man'!$F$6=TRUE,'4-man'!$F$6="TRUE",'4-man'!$F$6="Yes"),25,50)),10,0)+IF('4-man'!AX$21=$Q$147,25,0))</f>
        <v/>
      </c>
      <c r="AY141">
        <f>MIN(100,AX142+IF(AND(AX142&lt;100,AX143+1&gt;=IF(OR('4-man'!$F$6=TRUE,'4-man'!$F$6="TRUE",'4-man'!$F$6="Yes"),25,50)),10,0)+IF('4-man'!AY$21=$Q$147,25,0))</f>
        <v/>
      </c>
      <c r="AZ141">
        <f>MIN(100,AY142+IF(AND(AY142&lt;100,AY143+1&gt;=IF(OR('4-man'!$F$6=TRUE,'4-man'!$F$6="TRUE",'4-man'!$F$6="Yes"),25,50)),10,0)+IF('4-man'!AZ$21=$Q$147,25,0))</f>
        <v/>
      </c>
      <c r="BA141">
        <f>MIN(100,AZ142+IF(AND(AZ142&lt;100,AZ143+1&gt;=IF(OR('4-man'!$F$6=TRUE,'4-man'!$F$6="TRUE",'4-man'!$F$6="Yes"),25,50)),10,0)+IF('4-man'!BA$21=$Q$147,25,0))</f>
        <v/>
      </c>
      <c r="BB141">
        <f>MIN(100,BA142+IF(AND(BA142&lt;100,BA143+1&gt;=IF(OR('4-man'!$F$6=TRUE,'4-man'!$F$6="TRUE",'4-man'!$F$6="Yes"),25,50)),10,0)+IF('4-man'!BB$21=$Q$147,25,0))</f>
        <v/>
      </c>
      <c r="BC141">
        <f>MIN(100,BB142+IF(AND(BB142&lt;100,BB143+1&gt;=IF(OR('4-man'!$F$6=TRUE,'4-man'!$F$6="TRUE",'4-man'!$F$6="Yes"),25,50)),10,0)+IF('4-man'!BC$21=$Q$147,25,0))</f>
        <v/>
      </c>
      <c r="BD141">
        <f>MIN(100,BC142+IF(AND(BC142&lt;100,BC143+1&gt;=IF(OR('4-man'!$F$6=TRUE,'4-man'!$F$6="TRUE",'4-man'!$F$6="Yes"),25,50)),10,0)+IF('4-man'!BD$21=$Q$147,25,0))</f>
        <v/>
      </c>
      <c r="BE141">
        <f>MIN(100,BD142+IF(AND(BD142&lt;100,BD143+1&gt;=IF(OR('4-man'!$F$6=TRUE,'4-man'!$F$6="TRUE",'4-man'!$F$6="Yes"),25,50)),10,0)+IF('4-man'!BE$21=$Q$147,25,0))</f>
        <v/>
      </c>
      <c r="BF141">
        <f>MIN(100,BE142+IF(AND(BE142&lt;100,BE143+1&gt;=IF(OR('4-man'!$F$6=TRUE,'4-man'!$F$6="TRUE",'4-man'!$F$6="Yes"),25,50)),10,0)+IF('4-man'!BF$21=$Q$147,25,0))</f>
        <v/>
      </c>
      <c r="BG141">
        <f>MIN(100,BF142+IF(AND(BF142&lt;100,BF143+1&gt;=IF(OR('4-man'!$F$6=TRUE,'4-man'!$F$6="TRUE",'4-man'!$F$6="Yes"),25,50)),10,0)+IF('4-man'!BG$21=$Q$147,25,0))</f>
        <v/>
      </c>
      <c r="BH141">
        <f>MIN(100,BG142+IF(AND(BG142&lt;100,BG143+1&gt;=IF(OR('4-man'!$F$6=TRUE,'4-man'!$F$6="TRUE",'4-man'!$F$6="Yes"),25,50)),10,0)+IF('4-man'!BH$21=$Q$147,25,0))</f>
        <v/>
      </c>
      <c r="BI141">
        <f>MIN(100,BH142+IF(AND(BH142&lt;100,BH143+1&gt;=IF(OR('4-man'!$F$6=TRUE,'4-man'!$F$6="TRUE",'4-man'!$F$6="Yes"),25,50)),10,0)+IF('4-man'!BI$21=$Q$147,25,0))</f>
        <v/>
      </c>
      <c r="BJ141">
        <f>MIN(100,BI142+IF(AND(BI142&lt;100,BI143+1&gt;=IF(OR('4-man'!$F$6=TRUE,'4-man'!$F$6="TRUE",'4-man'!$F$6="Yes"),25,50)),10,0)+IF('4-man'!BJ$21=$Q$147,25,0))</f>
        <v/>
      </c>
      <c r="BK141">
        <f>MIN(100,BJ142+IF(AND(BJ142&lt;100,BJ143+1&gt;=IF(OR('4-man'!$F$6=TRUE,'4-man'!$F$6="TRUE",'4-man'!$F$6="Yes"),25,50)),10,0)+IF('4-man'!BK$21=$Q$147,25,0))</f>
        <v/>
      </c>
      <c r="BL141">
        <f>MIN(100,BK142+IF(AND(BK142&lt;100,BK143+1&gt;=IF(OR('4-man'!$F$6=TRUE,'4-man'!$F$6="TRUE",'4-man'!$F$6="Yes"),25,50)),10,0)+IF('4-man'!BL$21=$Q$147,25,0))</f>
        <v/>
      </c>
      <c r="BM141">
        <f>MIN(100,BL142+IF(AND(BL142&lt;100,BL143+1&gt;=IF(OR('4-man'!$F$6=TRUE,'4-man'!$F$6="TRUE",'4-man'!$F$6="Yes"),25,50)),10,0)+IF('4-man'!BM$21=$Q$147,25,0))</f>
        <v/>
      </c>
      <c r="BN141">
        <f>MIN(100,BM142+IF(AND(BM142&lt;100,BM143+1&gt;=IF(OR('4-man'!$F$6=TRUE,'4-man'!$F$6="TRUE",'4-man'!$F$6="Yes"),25,50)),10,0)+IF('4-man'!BN$21=$Q$147,25,0))</f>
        <v/>
      </c>
      <c r="BO141">
        <f>MIN(100,BN142+IF(AND(BN142&lt;100,BN143+1&gt;=IF(OR('4-man'!$F$6=TRUE,'4-man'!$F$6="TRUE",'4-man'!$F$6="Yes"),25,50)),10,0)+IF('4-man'!BO$21=$Q$147,25,0))</f>
        <v/>
      </c>
      <c r="BP141">
        <f>MIN(100,BO142+IF(AND(BO142&lt;100,BO143+1&gt;=IF(OR('4-man'!$F$6=TRUE,'4-man'!$F$6="TRUE",'4-man'!$F$6="Yes"),25,50)),10,0)+IF('4-man'!BP$21=$Q$147,25,0))</f>
        <v/>
      </c>
      <c r="BQ141">
        <f>MIN(100,BP142+IF(AND(BP142&lt;100,BP143+1&gt;=IF(OR('4-man'!$F$6=TRUE,'4-man'!$F$6="TRUE",'4-man'!$F$6="Yes"),25,50)),10,0)+IF('4-man'!BQ$21=$Q$147,25,0))</f>
        <v/>
      </c>
      <c r="BR141">
        <f>MIN(100,BQ142+IF(AND(BQ142&lt;100,BQ143+1&gt;=IF(OR('4-man'!$F$6=TRUE,'4-man'!$F$6="TRUE",'4-man'!$F$6="Yes"),25,50)),10,0)+IF('4-man'!BR$21=$Q$147,25,0))</f>
        <v/>
      </c>
      <c r="BS141">
        <f>MIN(100,BR142+IF(AND(BR142&lt;100,BR143+1&gt;=IF(OR('4-man'!$F$6=TRUE,'4-man'!$F$6="TRUE",'4-man'!$F$6="Yes"),25,50)),10,0)+IF('4-man'!BS$21=$Q$147,25,0))</f>
        <v/>
      </c>
      <c r="BT141">
        <f>MIN(100,BS142+IF(AND(BS142&lt;100,BS143+1&gt;=IF(OR('4-man'!$F$6=TRUE,'4-man'!$F$6="TRUE",'4-man'!$F$6="Yes"),25,50)),10,0)+IF('4-man'!BT$21=$Q$147,25,0))</f>
        <v/>
      </c>
      <c r="BU141">
        <f>MIN(100,BT142+IF(AND(BT142&lt;100,BT143+1&gt;=IF(OR('4-man'!$F$6=TRUE,'4-man'!$F$6="TRUE",'4-man'!$F$6="Yes"),25,50)),10,0)+IF('4-man'!BU$21=$Q$147,25,0))</f>
        <v/>
      </c>
      <c r="BV141">
        <f>MIN(100,BU142+IF(AND(BU142&lt;100,BU143+1&gt;=IF(OR('4-man'!$F$6=TRUE,'4-man'!$F$6="TRUE",'4-man'!$F$6="Yes"),25,50)),10,0)+IF('4-man'!BV$21=$Q$147,25,0))</f>
        <v/>
      </c>
      <c r="BW141">
        <f>MIN(100,BV142+IF(AND(BV142&lt;100,BV143+1&gt;=IF(OR('4-man'!$F$6=TRUE,'4-man'!$F$6="TRUE",'4-man'!$F$6="Yes"),25,50)),10,0)+IF('4-man'!BW$21=$Q$147,25,0))</f>
        <v/>
      </c>
      <c r="BX141">
        <f>MIN(100,BW142+IF(AND(BW142&lt;100,BW143+1&gt;=IF(OR('4-man'!$F$6=TRUE,'4-man'!$F$6="TRUE",'4-man'!$F$6="Yes"),25,50)),10,0)+IF('4-man'!BX$21=$Q$147,25,0))</f>
        <v/>
      </c>
      <c r="BY141">
        <f>MIN(100,BX142+IF(AND(BX142&lt;100,BX143+1&gt;=IF(OR('4-man'!$F$6=TRUE,'4-man'!$F$6="TRUE",'4-man'!$F$6="Yes"),25,50)),10,0)+IF('4-man'!BY$21=$Q$147,25,0))</f>
        <v/>
      </c>
      <c r="BZ141">
        <f>MIN(100,BY142+IF(AND(BY142&lt;100,BY143+1&gt;=IF(OR('4-man'!$F$6=TRUE,'4-man'!$F$6="TRUE",'4-man'!$F$6="Yes"),25,50)),10,0)+IF('4-man'!BZ$21=$Q$147,25,0))</f>
        <v/>
      </c>
      <c r="CA141">
        <f>MIN(100,BZ142+IF(AND(BZ142&lt;100,BZ143+1&gt;=IF(OR('4-man'!$F$6=TRUE,'4-man'!$F$6="TRUE",'4-man'!$F$6="Yes"),25,50)),10,0)+IF('4-man'!CA$21=$Q$147,25,0))</f>
        <v/>
      </c>
      <c r="CB141">
        <f>MIN(100,CA142+IF(AND(CA142&lt;100,CA143+1&gt;=IF(OR('4-man'!$F$6=TRUE,'4-man'!$F$6="TRUE",'4-man'!$F$6="Yes"),25,50)),10,0)+IF('4-man'!CB$21=$Q$147,25,0))</f>
        <v/>
      </c>
      <c r="CC141">
        <f>MIN(100,CB142+IF(AND(CB142&lt;100,CB143+1&gt;=IF(OR('4-man'!$F$6=TRUE,'4-man'!$F$6="TRUE",'4-man'!$F$6="Yes"),25,50)),10,0)+IF('4-man'!CC$21=$Q$147,25,0))</f>
        <v/>
      </c>
      <c r="CD141">
        <f>MIN(100,CC142+IF(AND(CC142&lt;100,CC143+1&gt;=IF(OR('4-man'!$F$6=TRUE,'4-man'!$F$6="TRUE",'4-man'!$F$6="Yes"),25,50)),10,0)+IF('4-man'!CD$21=$Q$147,25,0))</f>
        <v/>
      </c>
    </row>
    <row r="142">
      <c r="A142" t="inlineStr">
        <is>
          <t>P3 spec</t>
        </is>
      </c>
      <c r="B142">
        <f>IF('4-man'!$C$6="",100,'4-man'!$C$6)</f>
        <v/>
      </c>
      <c r="C142">
        <f>IF('4-man'!C$24="R",MIN(100,C141+10),IF('4-man'!C$24="P",MIN(100,C141+25),IF(AND('4-man'!C$24="D",C141&gt;=35,'4-man'!C$21&lt;=IF('4-man'!$BF$4="",999,'4-man'!$BF$4)),C141-35,IF(AND(LEFT('4-man'!C$24,3)="ST&gt;",C141&gt;=100,'4-man'!C$21&lt;=IF('4-man'!$BF$4="",999,'4-man'!$BF$4)),0,IF(AND(OR(AND('4-man'!C$22="ST&gt;3",C125&gt;=100),AND('4-man'!C$23="ST&gt;3",C133&gt;=100),AND('4-man'!C$25="ST&gt;3",C149&gt;=100)),'4-man'!C$21&lt;=IF('4-man'!$BF$4="",999,'4-man'!$BF$4)),100,C141)))))</f>
        <v/>
      </c>
      <c r="D142">
        <f>IF('4-man'!D$24="R",MIN(100,D141+10),IF('4-man'!D$24="P",MIN(100,D141+25),IF(AND('4-man'!D$24="D",D141&gt;=35,'4-man'!D$21&lt;=IF('4-man'!$BF$4="",999,'4-man'!$BF$4)),D141-35,IF(AND(LEFT('4-man'!D$24,3)="ST&gt;",D141&gt;=100,'4-man'!D$21&lt;=IF('4-man'!$BF$4="",999,'4-man'!$BF$4)),0,IF(AND(OR(AND('4-man'!D$22="ST&gt;3",D125&gt;=100),AND('4-man'!D$23="ST&gt;3",D133&gt;=100),AND('4-man'!D$25="ST&gt;3",D149&gt;=100)),'4-man'!D$21&lt;=IF('4-man'!$BF$4="",999,'4-man'!$BF$4)),100,D141)))))</f>
        <v/>
      </c>
      <c r="E142">
        <f>IF('4-man'!E$24="R",MIN(100,E141+10),IF('4-man'!E$24="P",MIN(100,E141+25),IF(AND('4-man'!E$24="D",E141&gt;=35,'4-man'!E$21&lt;=IF('4-man'!$BF$4="",999,'4-man'!$BF$4)),E141-35,IF(AND(LEFT('4-man'!E$24,3)="ST&gt;",E141&gt;=100,'4-man'!E$21&lt;=IF('4-man'!$BF$4="",999,'4-man'!$BF$4)),0,IF(AND(OR(AND('4-man'!E$22="ST&gt;3",E125&gt;=100),AND('4-man'!E$23="ST&gt;3",E133&gt;=100),AND('4-man'!E$25="ST&gt;3",E149&gt;=100)),'4-man'!E$21&lt;=IF('4-man'!$BF$4="",999,'4-man'!$BF$4)),100,E141)))))</f>
        <v/>
      </c>
      <c r="F142">
        <f>IF('4-man'!F$24="R",MIN(100,F141+10),IF('4-man'!F$24="P",MIN(100,F141+25),IF(AND('4-man'!F$24="D",F141&gt;=35,'4-man'!F$21&lt;=IF('4-man'!$BF$4="",999,'4-man'!$BF$4)),F141-35,IF(AND(LEFT('4-man'!F$24,3)="ST&gt;",F141&gt;=100,'4-man'!F$21&lt;=IF('4-man'!$BF$4="",999,'4-man'!$BF$4)),0,IF(AND(OR(AND('4-man'!F$22="ST&gt;3",F125&gt;=100),AND('4-man'!F$23="ST&gt;3",F133&gt;=100),AND('4-man'!F$25="ST&gt;3",F149&gt;=100)),'4-man'!F$21&lt;=IF('4-man'!$BF$4="",999,'4-man'!$BF$4)),100,F141)))))</f>
        <v/>
      </c>
      <c r="G142">
        <f>IF('4-man'!G$24="R",MIN(100,G141+10),IF('4-man'!G$24="P",MIN(100,G141+25),IF(AND('4-man'!G$24="D",G141&gt;=35,'4-man'!G$21&lt;=IF('4-man'!$BF$4="",999,'4-man'!$BF$4)),G141-35,IF(AND(LEFT('4-man'!G$24,3)="ST&gt;",G141&gt;=100,'4-man'!G$21&lt;=IF('4-man'!$BF$4="",999,'4-man'!$BF$4)),0,IF(AND(OR(AND('4-man'!G$22="ST&gt;3",G125&gt;=100),AND('4-man'!G$23="ST&gt;3",G133&gt;=100),AND('4-man'!G$25="ST&gt;3",G149&gt;=100)),'4-man'!G$21&lt;=IF('4-man'!$BF$4="",999,'4-man'!$BF$4)),100,G141)))))</f>
        <v/>
      </c>
      <c r="H142">
        <f>IF('4-man'!H$24="R",MIN(100,H141+10),IF('4-man'!H$24="P",MIN(100,H141+25),IF(AND('4-man'!H$24="D",H141&gt;=35,'4-man'!H$21&lt;=IF('4-man'!$BF$4="",999,'4-man'!$BF$4)),H141-35,IF(AND(LEFT('4-man'!H$24,3)="ST&gt;",H141&gt;=100,'4-man'!H$21&lt;=IF('4-man'!$BF$4="",999,'4-man'!$BF$4)),0,IF(AND(OR(AND('4-man'!H$22="ST&gt;3",H125&gt;=100),AND('4-man'!H$23="ST&gt;3",H133&gt;=100),AND('4-man'!H$25="ST&gt;3",H149&gt;=100)),'4-man'!H$21&lt;=IF('4-man'!$BF$4="",999,'4-man'!$BF$4)),100,H141)))))</f>
        <v/>
      </c>
      <c r="I142">
        <f>IF('4-man'!I$24="R",MIN(100,I141+10),IF('4-man'!I$24="P",MIN(100,I141+25),IF(AND('4-man'!I$24="D",I141&gt;=35,'4-man'!I$21&lt;=IF('4-man'!$BF$4="",999,'4-man'!$BF$4)),I141-35,IF(AND(LEFT('4-man'!I$24,3)="ST&gt;",I141&gt;=100,'4-man'!I$21&lt;=IF('4-man'!$BF$4="",999,'4-man'!$BF$4)),0,IF(AND(OR(AND('4-man'!I$22="ST&gt;3",I125&gt;=100),AND('4-man'!I$23="ST&gt;3",I133&gt;=100),AND('4-man'!I$25="ST&gt;3",I149&gt;=100)),'4-man'!I$21&lt;=IF('4-man'!$BF$4="",999,'4-man'!$BF$4)),100,I141)))))</f>
        <v/>
      </c>
      <c r="J142">
        <f>IF('4-man'!J$24="R",MIN(100,J141+10),IF('4-man'!J$24="P",MIN(100,J141+25),IF(AND('4-man'!J$24="D",J141&gt;=35,'4-man'!J$21&lt;=IF('4-man'!$BF$4="",999,'4-man'!$BF$4)),J141-35,IF(AND(LEFT('4-man'!J$24,3)="ST&gt;",J141&gt;=100,'4-man'!J$21&lt;=IF('4-man'!$BF$4="",999,'4-man'!$BF$4)),0,IF(AND(OR(AND('4-man'!J$22="ST&gt;3",J125&gt;=100),AND('4-man'!J$23="ST&gt;3",J133&gt;=100),AND('4-man'!J$25="ST&gt;3",J149&gt;=100)),'4-man'!J$21&lt;=IF('4-man'!$BF$4="",999,'4-man'!$BF$4)),100,J141)))))</f>
        <v/>
      </c>
      <c r="K142">
        <f>IF('4-man'!K$24="R",MIN(100,K141+10),IF('4-man'!K$24="P",MIN(100,K141+25),IF(AND('4-man'!K$24="D",K141&gt;=35,'4-man'!K$21&lt;=IF('4-man'!$BF$4="",999,'4-man'!$BF$4)),K141-35,IF(AND(LEFT('4-man'!K$24,3)="ST&gt;",K141&gt;=100,'4-man'!K$21&lt;=IF('4-man'!$BF$4="",999,'4-man'!$BF$4)),0,IF(AND(OR(AND('4-man'!K$22="ST&gt;3",K125&gt;=100),AND('4-man'!K$23="ST&gt;3",K133&gt;=100),AND('4-man'!K$25="ST&gt;3",K149&gt;=100)),'4-man'!K$21&lt;=IF('4-man'!$BF$4="",999,'4-man'!$BF$4)),100,K141)))))</f>
        <v/>
      </c>
      <c r="L142">
        <f>IF('4-man'!L$24="R",MIN(100,L141+10),IF('4-man'!L$24="P",MIN(100,L141+25),IF(AND('4-man'!L$24="D",L141&gt;=35,'4-man'!L$21&lt;=IF('4-man'!$BF$4="",999,'4-man'!$BF$4)),L141-35,IF(AND(LEFT('4-man'!L$24,3)="ST&gt;",L141&gt;=100,'4-man'!L$21&lt;=IF('4-man'!$BF$4="",999,'4-man'!$BF$4)),0,IF(AND(OR(AND('4-man'!L$22="ST&gt;3",L125&gt;=100),AND('4-man'!L$23="ST&gt;3",L133&gt;=100),AND('4-man'!L$25="ST&gt;3",L149&gt;=100)),'4-man'!L$21&lt;=IF('4-man'!$BF$4="",999,'4-man'!$BF$4)),100,L141)))))</f>
        <v/>
      </c>
      <c r="M142">
        <f>IF('4-man'!M$24="R",MIN(100,M141+10),IF('4-man'!M$24="P",MIN(100,M141+25),IF(AND('4-man'!M$24="D",M141&gt;=35,'4-man'!M$21&lt;=IF('4-man'!$BF$4="",999,'4-man'!$BF$4)),M141-35,IF(AND(LEFT('4-man'!M$24,3)="ST&gt;",M141&gt;=100,'4-man'!M$21&lt;=IF('4-man'!$BF$4="",999,'4-man'!$BF$4)),0,IF(AND(OR(AND('4-man'!M$22="ST&gt;3",M125&gt;=100),AND('4-man'!M$23="ST&gt;3",M133&gt;=100),AND('4-man'!M$25="ST&gt;3",M149&gt;=100)),'4-man'!M$21&lt;=IF('4-man'!$BF$4="",999,'4-man'!$BF$4)),100,M141)))))</f>
        <v/>
      </c>
      <c r="N142">
        <f>IF('4-man'!N$24="R",MIN(100,N141+10),IF('4-man'!N$24="P",MIN(100,N141+25),IF(AND('4-man'!N$24="D",N141&gt;=35,'4-man'!N$21&lt;=IF('4-man'!$BF$4="",999,'4-man'!$BF$4)),N141-35,IF(AND(LEFT('4-man'!N$24,3)="ST&gt;",N141&gt;=100,'4-man'!N$21&lt;=IF('4-man'!$BF$4="",999,'4-man'!$BF$4)),0,IF(AND(OR(AND('4-man'!N$22="ST&gt;3",N125&gt;=100),AND('4-man'!N$23="ST&gt;3",N133&gt;=100),AND('4-man'!N$25="ST&gt;3",N149&gt;=100)),'4-man'!N$21&lt;=IF('4-man'!$BF$4="",999,'4-man'!$BF$4)),100,N141)))))</f>
        <v/>
      </c>
      <c r="O142">
        <f>IF('4-man'!O$24="R",MIN(100,O141+10),IF('4-man'!O$24="P",MIN(100,O141+25),IF(AND('4-man'!O$24="D",O141&gt;=35,'4-man'!O$21&lt;=IF('4-man'!$BF$4="",999,'4-man'!$BF$4)),O141-35,IF(AND(LEFT('4-man'!O$24,3)="ST&gt;",O141&gt;=100,'4-man'!O$21&lt;=IF('4-man'!$BF$4="",999,'4-man'!$BF$4)),0,IF(AND(OR(AND('4-man'!O$22="ST&gt;3",O125&gt;=100),AND('4-man'!O$23="ST&gt;3",O133&gt;=100),AND('4-man'!O$25="ST&gt;3",O149&gt;=100)),'4-man'!O$21&lt;=IF('4-man'!$BF$4="",999,'4-man'!$BF$4)),100,O141)))))</f>
        <v/>
      </c>
      <c r="P142">
        <f>IF('4-man'!P$24="R",MIN(100,P141+10),IF('4-man'!P$24="P",MIN(100,P141+25),IF(AND('4-man'!P$24="D",P141&gt;=35,'4-man'!P$21&lt;=IF('4-man'!$BF$4="",999,'4-man'!$BF$4)),P141-35,IF(AND(LEFT('4-man'!P$24,3)="ST&gt;",P141&gt;=100,'4-man'!P$21&lt;=IF('4-man'!$BF$4="",999,'4-man'!$BF$4)),0,IF(AND(OR(AND('4-man'!P$22="ST&gt;3",P125&gt;=100),AND('4-man'!P$23="ST&gt;3",P133&gt;=100),AND('4-man'!P$25="ST&gt;3",P149&gt;=100)),'4-man'!P$21&lt;=IF('4-man'!$BF$4="",999,'4-man'!$BF$4)),100,P141)))))</f>
        <v/>
      </c>
      <c r="Q142">
        <f>IF('4-man'!Q$24="R",MIN(100,Q141+10),IF('4-man'!Q$24="P",MIN(100,Q141+25),IF(AND('4-man'!Q$24="D",Q141&gt;=35,'4-man'!Q$21&lt;=IF('4-man'!$BF$4="",999,'4-man'!$BF$4)),Q141-35,IF(AND(LEFT('4-man'!Q$24,3)="ST&gt;",Q141&gt;=100,'4-man'!Q$21&lt;=IF('4-man'!$BF$4="",999,'4-man'!$BF$4)),0,IF(AND(OR(AND('4-man'!Q$22="ST&gt;3",Q125&gt;=100),AND('4-man'!Q$23="ST&gt;3",Q133&gt;=100),AND('4-man'!Q$25="ST&gt;3",Q149&gt;=100)),'4-man'!Q$21&lt;=IF('4-man'!$BF$4="",999,'4-man'!$BF$4)),100,Q141)))))</f>
        <v/>
      </c>
      <c r="R142">
        <f>IF('4-man'!R$24="R",MIN(100,R141+10),IF('4-man'!R$24="P",MIN(100,R141+25),IF(AND('4-man'!R$24="D",R141&gt;=35,'4-man'!R$21&lt;=IF('4-man'!$BF$4="",999,'4-man'!$BF$4)),R141-35,IF(AND(LEFT('4-man'!R$24,3)="ST&gt;",R141&gt;=100,'4-man'!R$21&lt;=IF('4-man'!$BF$4="",999,'4-man'!$BF$4)),0,IF(AND(OR(AND('4-man'!R$22="ST&gt;3",R125&gt;=100),AND('4-man'!R$23="ST&gt;3",R133&gt;=100),AND('4-man'!R$25="ST&gt;3",R149&gt;=100)),'4-man'!R$21&lt;=IF('4-man'!$BF$4="",999,'4-man'!$BF$4)),100,R141)))))</f>
        <v/>
      </c>
      <c r="S142">
        <f>IF('4-man'!S$24="R",MIN(100,S141+10),IF('4-man'!S$24="P",MIN(100,S141+25),IF(AND('4-man'!S$24="D",S141&gt;=35,'4-man'!S$21&lt;=IF('4-man'!$BF$4="",999,'4-man'!$BF$4)),S141-35,IF(AND(LEFT('4-man'!S$24,3)="ST&gt;",S141&gt;=100,'4-man'!S$21&lt;=IF('4-man'!$BF$4="",999,'4-man'!$BF$4)),0,IF(AND(OR(AND('4-man'!S$22="ST&gt;3",S125&gt;=100),AND('4-man'!S$23="ST&gt;3",S133&gt;=100),AND('4-man'!S$25="ST&gt;3",S149&gt;=100)),'4-man'!S$21&lt;=IF('4-man'!$BF$4="",999,'4-man'!$BF$4)),100,S141)))))</f>
        <v/>
      </c>
      <c r="T142">
        <f>IF('4-man'!T$24="R",MIN(100,T141+10),IF('4-man'!T$24="P",MIN(100,T141+25),IF(AND('4-man'!T$24="D",T141&gt;=35,'4-man'!T$21&lt;=IF('4-man'!$BF$4="",999,'4-man'!$BF$4)),T141-35,IF(AND(LEFT('4-man'!T$24,3)="ST&gt;",T141&gt;=100,'4-man'!T$21&lt;=IF('4-man'!$BF$4="",999,'4-man'!$BF$4)),0,IF(AND(OR(AND('4-man'!T$22="ST&gt;3",T125&gt;=100),AND('4-man'!T$23="ST&gt;3",T133&gt;=100),AND('4-man'!T$25="ST&gt;3",T149&gt;=100)),'4-man'!T$21&lt;=IF('4-man'!$BF$4="",999,'4-man'!$BF$4)),100,T141)))))</f>
        <v/>
      </c>
      <c r="U142">
        <f>IF('4-man'!U$24="R",MIN(100,U141+10),IF('4-man'!U$24="P",MIN(100,U141+25),IF(AND('4-man'!U$24="D",U141&gt;=35,'4-man'!U$21&lt;=IF('4-man'!$BF$4="",999,'4-man'!$BF$4)),U141-35,IF(AND(LEFT('4-man'!U$24,3)="ST&gt;",U141&gt;=100,'4-man'!U$21&lt;=IF('4-man'!$BF$4="",999,'4-man'!$BF$4)),0,IF(AND(OR(AND('4-man'!U$22="ST&gt;3",U125&gt;=100),AND('4-man'!U$23="ST&gt;3",U133&gt;=100),AND('4-man'!U$25="ST&gt;3",U149&gt;=100)),'4-man'!U$21&lt;=IF('4-man'!$BF$4="",999,'4-man'!$BF$4)),100,U141)))))</f>
        <v/>
      </c>
      <c r="V142">
        <f>IF('4-man'!V$24="R",MIN(100,V141+10),IF('4-man'!V$24="P",MIN(100,V141+25),IF(AND('4-man'!V$24="D",V141&gt;=35,'4-man'!V$21&lt;=IF('4-man'!$BF$4="",999,'4-man'!$BF$4)),V141-35,IF(AND(LEFT('4-man'!V$24,3)="ST&gt;",V141&gt;=100,'4-man'!V$21&lt;=IF('4-man'!$BF$4="",999,'4-man'!$BF$4)),0,IF(AND(OR(AND('4-man'!V$22="ST&gt;3",V125&gt;=100),AND('4-man'!V$23="ST&gt;3",V133&gt;=100),AND('4-man'!V$25="ST&gt;3",V149&gt;=100)),'4-man'!V$21&lt;=IF('4-man'!$BF$4="",999,'4-man'!$BF$4)),100,V141)))))</f>
        <v/>
      </c>
      <c r="W142">
        <f>IF('4-man'!W$24="R",MIN(100,W141+10),IF('4-man'!W$24="P",MIN(100,W141+25),IF(AND('4-man'!W$24="D",W141&gt;=35,'4-man'!W$21&lt;=IF('4-man'!$BF$4="",999,'4-man'!$BF$4)),W141-35,IF(AND(LEFT('4-man'!W$24,3)="ST&gt;",W141&gt;=100,'4-man'!W$21&lt;=IF('4-man'!$BF$4="",999,'4-man'!$BF$4)),0,IF(AND(OR(AND('4-man'!W$22="ST&gt;3",W125&gt;=100),AND('4-man'!W$23="ST&gt;3",W133&gt;=100),AND('4-man'!W$25="ST&gt;3",W149&gt;=100)),'4-man'!W$21&lt;=IF('4-man'!$BF$4="",999,'4-man'!$BF$4)),100,W141)))))</f>
        <v/>
      </c>
      <c r="X142">
        <f>IF('4-man'!X$24="R",MIN(100,X141+10),IF('4-man'!X$24="P",MIN(100,X141+25),IF(AND('4-man'!X$24="D",X141&gt;=35,'4-man'!X$21&lt;=IF('4-man'!$BF$4="",999,'4-man'!$BF$4)),X141-35,IF(AND(LEFT('4-man'!X$24,3)="ST&gt;",X141&gt;=100,'4-man'!X$21&lt;=IF('4-man'!$BF$4="",999,'4-man'!$BF$4)),0,IF(AND(OR(AND('4-man'!X$22="ST&gt;3",X125&gt;=100),AND('4-man'!X$23="ST&gt;3",X133&gt;=100),AND('4-man'!X$25="ST&gt;3",X149&gt;=100)),'4-man'!X$21&lt;=IF('4-man'!$BF$4="",999,'4-man'!$BF$4)),100,X141)))))</f>
        <v/>
      </c>
      <c r="Y142">
        <f>IF('4-man'!Y$24="R",MIN(100,Y141+10),IF('4-man'!Y$24="P",MIN(100,Y141+25),IF(AND('4-man'!Y$24="D",Y141&gt;=35,'4-man'!Y$21&lt;=IF('4-man'!$BF$4="",999,'4-man'!$BF$4)),Y141-35,IF(AND(LEFT('4-man'!Y$24,3)="ST&gt;",Y141&gt;=100,'4-man'!Y$21&lt;=IF('4-man'!$BF$4="",999,'4-man'!$BF$4)),0,IF(AND(OR(AND('4-man'!Y$22="ST&gt;3",Y125&gt;=100),AND('4-man'!Y$23="ST&gt;3",Y133&gt;=100),AND('4-man'!Y$25="ST&gt;3",Y149&gt;=100)),'4-man'!Y$21&lt;=IF('4-man'!$BF$4="",999,'4-man'!$BF$4)),100,Y141)))))</f>
        <v/>
      </c>
      <c r="Z142">
        <f>IF('4-man'!Z$24="R",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4-man'!AA$24="R",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4-man'!AB$24="R",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4-man'!AC$24="R",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4-man'!AD$24="R",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4-man'!AE$24="R",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4-man'!AF$24="R",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4-man'!AG$24="R",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4-man'!AH$24="R",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4-man'!AI$24="R",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4-man'!AJ$24="R",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4-man'!AK$24="R",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4-man'!AL$24="R",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4-man'!AM$24="R",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4-man'!AN$24="R",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4-man'!AO$24="R",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4-man'!AP$24="R",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4-man'!AQ$24="R",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4-man'!AR$24="R",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4-man'!AS$24="R",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4-man'!AT$24="R",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4-man'!AU$24="R",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4-man'!AV$24="R",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4-man'!AW$24="R",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4-man'!AX$24="R",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4-man'!AY$24="R",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4-man'!AZ$24="R",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4-man'!BA$24="R",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4-man'!BB$24="R",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4-man'!BC$24="R",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4-man'!BD$24="R",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4-man'!BE$24="R",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4-man'!BF$24="R",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4-man'!BG$24="R",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4-man'!BH$24="R",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4-man'!BI$24="R",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4-man'!BJ$24="R",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4-man'!BK$24="R",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4-man'!BL$24="R",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4-man'!BM$24="R",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4-man'!BN$24="R",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4-man'!BO$24="R",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4-man'!BP$24="R",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4-man'!BQ$24="R",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4-man'!BR$24="R",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4-man'!BS$24="R",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4-man'!BT$24="R",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4-man'!BU$24="R",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4-man'!BV$24="R",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4-man'!BW$24="R",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4-man'!BX$24="R",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4-man'!BY$24="R",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4-man'!BZ$24="R",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4-man'!CA$24="R",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4-man'!CB$24="R",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4-man'!CC$24="R",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4-man'!CD$24="R",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IF('4-man'!C$24="R",0,IF(B142&gt;=100,0,IF(B143+1&gt;=IF(OR('4-man'!$F$6=TRUE,'4-man'!$F$6="TRUE",'4-man'!$F$6="Yes"),25,50),0,B143+1)))</f>
        <v/>
      </c>
      <c r="D143">
        <f>IF('4-man'!D$24="R",0,IF(C142&gt;=100,0,IF(C143+1&gt;=IF(OR('4-man'!$F$6=TRUE,'4-man'!$F$6="TRUE",'4-man'!$F$6="Yes"),25,50),0,C143+1)))</f>
        <v/>
      </c>
      <c r="E143">
        <f>IF('4-man'!E$24="R",0,IF(D142&gt;=100,0,IF(D143+1&gt;=IF(OR('4-man'!$F$6=TRUE,'4-man'!$F$6="TRUE",'4-man'!$F$6="Yes"),25,50),0,D143+1)))</f>
        <v/>
      </c>
      <c r="F143">
        <f>IF('4-man'!F$24="R",0,IF(E142&gt;=100,0,IF(E143+1&gt;=IF(OR('4-man'!$F$6=TRUE,'4-man'!$F$6="TRUE",'4-man'!$F$6="Yes"),25,50),0,E143+1)))</f>
        <v/>
      </c>
      <c r="G143">
        <f>IF('4-man'!G$24="R",0,IF(F142&gt;=100,0,IF(F143+1&gt;=IF(OR('4-man'!$F$6=TRUE,'4-man'!$F$6="TRUE",'4-man'!$F$6="Yes"),25,50),0,F143+1)))</f>
        <v/>
      </c>
      <c r="H143">
        <f>IF('4-man'!H$24="R",0,IF(G142&gt;=100,0,IF(G143+1&gt;=IF(OR('4-man'!$F$6=TRUE,'4-man'!$F$6="TRUE",'4-man'!$F$6="Yes"),25,50),0,G143+1)))</f>
        <v/>
      </c>
      <c r="I143">
        <f>IF('4-man'!I$24="R",0,IF(H142&gt;=100,0,IF(H143+1&gt;=IF(OR('4-man'!$F$6=TRUE,'4-man'!$F$6="TRUE",'4-man'!$F$6="Yes"),25,50),0,H143+1)))</f>
        <v/>
      </c>
      <c r="J143">
        <f>IF('4-man'!J$24="R",0,IF(I142&gt;=100,0,IF(I143+1&gt;=IF(OR('4-man'!$F$6=TRUE,'4-man'!$F$6="TRUE",'4-man'!$F$6="Yes"),25,50),0,I143+1)))</f>
        <v/>
      </c>
      <c r="K143">
        <f>IF('4-man'!K$24="R",0,IF(J142&gt;=100,0,IF(J143+1&gt;=IF(OR('4-man'!$F$6=TRUE,'4-man'!$F$6="TRUE",'4-man'!$F$6="Yes"),25,50),0,J143+1)))</f>
        <v/>
      </c>
      <c r="L143">
        <f>IF('4-man'!L$24="R",0,IF(K142&gt;=100,0,IF(K143+1&gt;=IF(OR('4-man'!$F$6=TRUE,'4-man'!$F$6="TRUE",'4-man'!$F$6="Yes"),25,50),0,K143+1)))</f>
        <v/>
      </c>
      <c r="M143">
        <f>IF('4-man'!M$24="R",0,IF(L142&gt;=100,0,IF(L143+1&gt;=IF(OR('4-man'!$F$6=TRUE,'4-man'!$F$6="TRUE",'4-man'!$F$6="Yes"),25,50),0,L143+1)))</f>
        <v/>
      </c>
      <c r="N143">
        <f>IF('4-man'!N$24="R",0,IF(M142&gt;=100,0,IF(M143+1&gt;=IF(OR('4-man'!$F$6=TRUE,'4-man'!$F$6="TRUE",'4-man'!$F$6="Yes"),25,50),0,M143+1)))</f>
        <v/>
      </c>
      <c r="O143">
        <f>IF('4-man'!O$24="R",0,IF(N142&gt;=100,0,IF(N143+1&gt;=IF(OR('4-man'!$F$6=TRUE,'4-man'!$F$6="TRUE",'4-man'!$F$6="Yes"),25,50),0,N143+1)))</f>
        <v/>
      </c>
      <c r="P143">
        <f>IF('4-man'!P$24="R",0,IF(O142&gt;=100,0,IF(O143+1&gt;=IF(OR('4-man'!$F$6=TRUE,'4-man'!$F$6="TRUE",'4-man'!$F$6="Yes"),25,50),0,O143+1)))</f>
        <v/>
      </c>
      <c r="Q143">
        <f>IF('4-man'!Q$24="R",0,IF(P142&gt;=100,0,IF(P143+1&gt;=IF(OR('4-man'!$F$6=TRUE,'4-man'!$F$6="TRUE",'4-man'!$F$6="Yes"),25,50),0,P143+1)))</f>
        <v/>
      </c>
      <c r="R143">
        <f>IF('4-man'!R$24="R",0,IF(Q142&gt;=100,0,IF(Q143+1&gt;=IF(OR('4-man'!$F$6=TRUE,'4-man'!$F$6="TRUE",'4-man'!$F$6="Yes"),25,50),0,Q143+1)))</f>
        <v/>
      </c>
      <c r="S143">
        <f>IF('4-man'!S$24="R",0,IF(R142&gt;=100,0,IF(R143+1&gt;=IF(OR('4-man'!$F$6=TRUE,'4-man'!$F$6="TRUE",'4-man'!$F$6="Yes"),25,50),0,R143+1)))</f>
        <v/>
      </c>
      <c r="T143">
        <f>IF('4-man'!T$24="R",0,IF(S142&gt;=100,0,IF(S143+1&gt;=IF(OR('4-man'!$F$6=TRUE,'4-man'!$F$6="TRUE",'4-man'!$F$6="Yes"),25,50),0,S143+1)))</f>
        <v/>
      </c>
      <c r="U143">
        <f>IF('4-man'!U$24="R",0,IF(T142&gt;=100,0,IF(T143+1&gt;=IF(OR('4-man'!$F$6=TRUE,'4-man'!$F$6="TRUE",'4-man'!$F$6="Yes"),25,50),0,T143+1)))</f>
        <v/>
      </c>
      <c r="V143">
        <f>IF('4-man'!V$24="R",0,IF(U142&gt;=100,0,IF(U143+1&gt;=IF(OR('4-man'!$F$6=TRUE,'4-man'!$F$6="TRUE",'4-man'!$F$6="Yes"),25,50),0,U143+1)))</f>
        <v/>
      </c>
      <c r="W143">
        <f>IF('4-man'!W$24="R",0,IF(V142&gt;=100,0,IF(V143+1&gt;=IF(OR('4-man'!$F$6=TRUE,'4-man'!$F$6="TRUE",'4-man'!$F$6="Yes"),25,50),0,V143+1)))</f>
        <v/>
      </c>
      <c r="X143">
        <f>IF('4-man'!X$24="R",0,IF(W142&gt;=100,0,IF(W143+1&gt;=IF(OR('4-man'!$F$6=TRUE,'4-man'!$F$6="TRUE",'4-man'!$F$6="Yes"),25,50),0,W143+1)))</f>
        <v/>
      </c>
      <c r="Y143">
        <f>IF('4-man'!Y$24="R",0,IF(X142&gt;=100,0,IF(X143+1&gt;=IF(OR('4-man'!$F$6=TRUE,'4-man'!$F$6="TRUE",'4-man'!$F$6="Yes"),25,50),0,X143+1)))</f>
        <v/>
      </c>
      <c r="Z143">
        <f>IF('4-man'!Z$24="R",0,IF(Y142&gt;=100,0,IF(Y143+1&gt;=IF(OR('4-man'!$F$6=TRUE,'4-man'!$F$6="TRUE",'4-man'!$F$6="Yes"),25,50),0,Y143+1)))</f>
        <v/>
      </c>
      <c r="AA143">
        <f>IF('4-man'!AA$24="R",0,IF(Z142&gt;=100,0,IF(Z143+1&gt;=IF(OR('4-man'!$F$6=TRUE,'4-man'!$F$6="TRUE",'4-man'!$F$6="Yes"),25,50),0,Z143+1)))</f>
        <v/>
      </c>
      <c r="AB143">
        <f>IF('4-man'!AB$24="R",0,IF(AA142&gt;=100,0,IF(AA143+1&gt;=IF(OR('4-man'!$F$6=TRUE,'4-man'!$F$6="TRUE",'4-man'!$F$6="Yes"),25,50),0,AA143+1)))</f>
        <v/>
      </c>
      <c r="AC143">
        <f>IF('4-man'!AC$24="R",0,IF(AB142&gt;=100,0,IF(AB143+1&gt;=IF(OR('4-man'!$F$6=TRUE,'4-man'!$F$6="TRUE",'4-man'!$F$6="Yes"),25,50),0,AB143+1)))</f>
        <v/>
      </c>
      <c r="AD143">
        <f>IF('4-man'!AD$24="R",0,IF(AC142&gt;=100,0,IF(AC143+1&gt;=IF(OR('4-man'!$F$6=TRUE,'4-man'!$F$6="TRUE",'4-man'!$F$6="Yes"),25,50),0,AC143+1)))</f>
        <v/>
      </c>
      <c r="AE143">
        <f>IF('4-man'!AE$24="R",0,IF(AD142&gt;=100,0,IF(AD143+1&gt;=IF(OR('4-man'!$F$6=TRUE,'4-man'!$F$6="TRUE",'4-man'!$F$6="Yes"),25,50),0,AD143+1)))</f>
        <v/>
      </c>
      <c r="AF143">
        <f>IF('4-man'!AF$24="R",0,IF(AE142&gt;=100,0,IF(AE143+1&gt;=IF(OR('4-man'!$F$6=TRUE,'4-man'!$F$6="TRUE",'4-man'!$F$6="Yes"),25,50),0,AE143+1)))</f>
        <v/>
      </c>
      <c r="AG143">
        <f>IF('4-man'!AG$24="R",0,IF(AF142&gt;=100,0,IF(AF143+1&gt;=IF(OR('4-man'!$F$6=TRUE,'4-man'!$F$6="TRUE",'4-man'!$F$6="Yes"),25,50),0,AF143+1)))</f>
        <v/>
      </c>
      <c r="AH143">
        <f>IF('4-man'!AH$24="R",0,IF(AG142&gt;=100,0,IF(AG143+1&gt;=IF(OR('4-man'!$F$6=TRUE,'4-man'!$F$6="TRUE",'4-man'!$F$6="Yes"),25,50),0,AG143+1)))</f>
        <v/>
      </c>
      <c r="AI143">
        <f>IF('4-man'!AI$24="R",0,IF(AH142&gt;=100,0,IF(AH143+1&gt;=IF(OR('4-man'!$F$6=TRUE,'4-man'!$F$6="TRUE",'4-man'!$F$6="Yes"),25,50),0,AH143+1)))</f>
        <v/>
      </c>
      <c r="AJ143">
        <f>IF('4-man'!AJ$24="R",0,IF(AI142&gt;=100,0,IF(AI143+1&gt;=IF(OR('4-man'!$F$6=TRUE,'4-man'!$F$6="TRUE",'4-man'!$F$6="Yes"),25,50),0,AI143+1)))</f>
        <v/>
      </c>
      <c r="AK143">
        <f>IF('4-man'!AK$24="R",0,IF(AJ142&gt;=100,0,IF(AJ143+1&gt;=IF(OR('4-man'!$F$6=TRUE,'4-man'!$F$6="TRUE",'4-man'!$F$6="Yes"),25,50),0,AJ143+1)))</f>
        <v/>
      </c>
      <c r="AL143">
        <f>IF('4-man'!AL$24="R",0,IF(AK142&gt;=100,0,IF(AK143+1&gt;=IF(OR('4-man'!$F$6=TRUE,'4-man'!$F$6="TRUE",'4-man'!$F$6="Yes"),25,50),0,AK143+1)))</f>
        <v/>
      </c>
      <c r="AM143">
        <f>IF('4-man'!AM$24="R",0,IF(AL142&gt;=100,0,IF(AL143+1&gt;=IF(OR('4-man'!$F$6=TRUE,'4-man'!$F$6="TRUE",'4-man'!$F$6="Yes"),25,50),0,AL143+1)))</f>
        <v/>
      </c>
      <c r="AN143">
        <f>IF('4-man'!AN$24="R",0,IF(AM142&gt;=100,0,IF(AM143+1&gt;=IF(OR('4-man'!$F$6=TRUE,'4-man'!$F$6="TRUE",'4-man'!$F$6="Yes"),25,50),0,AM143+1)))</f>
        <v/>
      </c>
      <c r="AO143">
        <f>IF('4-man'!AO$24="R",0,IF(AN142&gt;=100,0,IF(AN143+1&gt;=IF(OR('4-man'!$F$6=TRUE,'4-man'!$F$6="TRUE",'4-man'!$F$6="Yes"),25,50),0,AN143+1)))</f>
        <v/>
      </c>
      <c r="AP143">
        <f>IF('4-man'!AP$24="R",0,IF(AO142&gt;=100,0,IF(AO143+1&gt;=IF(OR('4-man'!$F$6=TRUE,'4-man'!$F$6="TRUE",'4-man'!$F$6="Yes"),25,50),0,AO143+1)))</f>
        <v/>
      </c>
      <c r="AQ143">
        <f>IF('4-man'!AQ$24="R",0,IF(AP142&gt;=100,0,IF(AP143+1&gt;=IF(OR('4-man'!$F$6=TRUE,'4-man'!$F$6="TRUE",'4-man'!$F$6="Yes"),25,50),0,AP143+1)))</f>
        <v/>
      </c>
      <c r="AR143">
        <f>IF('4-man'!AR$24="R",0,IF(AQ142&gt;=100,0,IF(AQ143+1&gt;=IF(OR('4-man'!$F$6=TRUE,'4-man'!$F$6="TRUE",'4-man'!$F$6="Yes"),25,50),0,AQ143+1)))</f>
        <v/>
      </c>
      <c r="AS143">
        <f>IF('4-man'!AS$24="R",0,IF(AR142&gt;=100,0,IF(AR143+1&gt;=IF(OR('4-man'!$F$6=TRUE,'4-man'!$F$6="TRUE",'4-man'!$F$6="Yes"),25,50),0,AR143+1)))</f>
        <v/>
      </c>
      <c r="AT143">
        <f>IF('4-man'!AT$24="R",0,IF(AS142&gt;=100,0,IF(AS143+1&gt;=IF(OR('4-man'!$F$6=TRUE,'4-man'!$F$6="TRUE",'4-man'!$F$6="Yes"),25,50),0,AS143+1)))</f>
        <v/>
      </c>
      <c r="AU143">
        <f>IF('4-man'!AU$24="R",0,IF(AT142&gt;=100,0,IF(AT143+1&gt;=IF(OR('4-man'!$F$6=TRUE,'4-man'!$F$6="TRUE",'4-man'!$F$6="Yes"),25,50),0,AT143+1)))</f>
        <v/>
      </c>
      <c r="AV143">
        <f>IF('4-man'!AV$24="R",0,IF(AU142&gt;=100,0,IF(AU143+1&gt;=IF(OR('4-man'!$F$6=TRUE,'4-man'!$F$6="TRUE",'4-man'!$F$6="Yes"),25,50),0,AU143+1)))</f>
        <v/>
      </c>
      <c r="AW143">
        <f>IF('4-man'!AW$24="R",0,IF(AV142&gt;=100,0,IF(AV143+1&gt;=IF(OR('4-man'!$F$6=TRUE,'4-man'!$F$6="TRUE",'4-man'!$F$6="Yes"),25,50),0,AV143+1)))</f>
        <v/>
      </c>
      <c r="AX143">
        <f>IF('4-man'!AX$24="R",0,IF(AW142&gt;=100,0,IF(AW143+1&gt;=IF(OR('4-man'!$F$6=TRUE,'4-man'!$F$6="TRUE",'4-man'!$F$6="Yes"),25,50),0,AW143+1)))</f>
        <v/>
      </c>
      <c r="AY143">
        <f>IF('4-man'!AY$24="R",0,IF(AX142&gt;=100,0,IF(AX143+1&gt;=IF(OR('4-man'!$F$6=TRUE,'4-man'!$F$6="TRUE",'4-man'!$F$6="Yes"),25,50),0,AX143+1)))</f>
        <v/>
      </c>
      <c r="AZ143">
        <f>IF('4-man'!AZ$24="R",0,IF(AY142&gt;=100,0,IF(AY143+1&gt;=IF(OR('4-man'!$F$6=TRUE,'4-man'!$F$6="TRUE",'4-man'!$F$6="Yes"),25,50),0,AY143+1)))</f>
        <v/>
      </c>
      <c r="BA143">
        <f>IF('4-man'!BA$24="R",0,IF(AZ142&gt;=100,0,IF(AZ143+1&gt;=IF(OR('4-man'!$F$6=TRUE,'4-man'!$F$6="TRUE",'4-man'!$F$6="Yes"),25,50),0,AZ143+1)))</f>
        <v/>
      </c>
      <c r="BB143">
        <f>IF('4-man'!BB$24="R",0,IF(BA142&gt;=100,0,IF(BA143+1&gt;=IF(OR('4-man'!$F$6=TRUE,'4-man'!$F$6="TRUE",'4-man'!$F$6="Yes"),25,50),0,BA143+1)))</f>
        <v/>
      </c>
      <c r="BC143">
        <f>IF('4-man'!BC$24="R",0,IF(BB142&gt;=100,0,IF(BB143+1&gt;=IF(OR('4-man'!$F$6=TRUE,'4-man'!$F$6="TRUE",'4-man'!$F$6="Yes"),25,50),0,BB143+1)))</f>
        <v/>
      </c>
      <c r="BD143">
        <f>IF('4-man'!BD$24="R",0,IF(BC142&gt;=100,0,IF(BC143+1&gt;=IF(OR('4-man'!$F$6=TRUE,'4-man'!$F$6="TRUE",'4-man'!$F$6="Yes"),25,50),0,BC143+1)))</f>
        <v/>
      </c>
      <c r="BE143">
        <f>IF('4-man'!BE$24="R",0,IF(BD142&gt;=100,0,IF(BD143+1&gt;=IF(OR('4-man'!$F$6=TRUE,'4-man'!$F$6="TRUE",'4-man'!$F$6="Yes"),25,50),0,BD143+1)))</f>
        <v/>
      </c>
      <c r="BF143">
        <f>IF('4-man'!BF$24="R",0,IF(BE142&gt;=100,0,IF(BE143+1&gt;=IF(OR('4-man'!$F$6=TRUE,'4-man'!$F$6="TRUE",'4-man'!$F$6="Yes"),25,50),0,BE143+1)))</f>
        <v/>
      </c>
      <c r="BG143">
        <f>IF('4-man'!BG$24="R",0,IF(BF142&gt;=100,0,IF(BF143+1&gt;=IF(OR('4-man'!$F$6=TRUE,'4-man'!$F$6="TRUE",'4-man'!$F$6="Yes"),25,50),0,BF143+1)))</f>
        <v/>
      </c>
      <c r="BH143">
        <f>IF('4-man'!BH$24="R",0,IF(BG142&gt;=100,0,IF(BG143+1&gt;=IF(OR('4-man'!$F$6=TRUE,'4-man'!$F$6="TRUE",'4-man'!$F$6="Yes"),25,50),0,BG143+1)))</f>
        <v/>
      </c>
      <c r="BI143">
        <f>IF('4-man'!BI$24="R",0,IF(BH142&gt;=100,0,IF(BH143+1&gt;=IF(OR('4-man'!$F$6=TRUE,'4-man'!$F$6="TRUE",'4-man'!$F$6="Yes"),25,50),0,BH143+1)))</f>
        <v/>
      </c>
      <c r="BJ143">
        <f>IF('4-man'!BJ$24="R",0,IF(BI142&gt;=100,0,IF(BI143+1&gt;=IF(OR('4-man'!$F$6=TRUE,'4-man'!$F$6="TRUE",'4-man'!$F$6="Yes"),25,50),0,BI143+1)))</f>
        <v/>
      </c>
      <c r="BK143">
        <f>IF('4-man'!BK$24="R",0,IF(BJ142&gt;=100,0,IF(BJ143+1&gt;=IF(OR('4-man'!$F$6=TRUE,'4-man'!$F$6="TRUE",'4-man'!$F$6="Yes"),25,50),0,BJ143+1)))</f>
        <v/>
      </c>
      <c r="BL143">
        <f>IF('4-man'!BL$24="R",0,IF(BK142&gt;=100,0,IF(BK143+1&gt;=IF(OR('4-man'!$F$6=TRUE,'4-man'!$F$6="TRUE",'4-man'!$F$6="Yes"),25,50),0,BK143+1)))</f>
        <v/>
      </c>
      <c r="BM143">
        <f>IF('4-man'!BM$24="R",0,IF(BL142&gt;=100,0,IF(BL143+1&gt;=IF(OR('4-man'!$F$6=TRUE,'4-man'!$F$6="TRUE",'4-man'!$F$6="Yes"),25,50),0,BL143+1)))</f>
        <v/>
      </c>
      <c r="BN143">
        <f>IF('4-man'!BN$24="R",0,IF(BM142&gt;=100,0,IF(BM143+1&gt;=IF(OR('4-man'!$F$6=TRUE,'4-man'!$F$6="TRUE",'4-man'!$F$6="Yes"),25,50),0,BM143+1)))</f>
        <v/>
      </c>
      <c r="BO143">
        <f>IF('4-man'!BO$24="R",0,IF(BN142&gt;=100,0,IF(BN143+1&gt;=IF(OR('4-man'!$F$6=TRUE,'4-man'!$F$6="TRUE",'4-man'!$F$6="Yes"),25,50),0,BN143+1)))</f>
        <v/>
      </c>
      <c r="BP143">
        <f>IF('4-man'!BP$24="R",0,IF(BO142&gt;=100,0,IF(BO143+1&gt;=IF(OR('4-man'!$F$6=TRUE,'4-man'!$F$6="TRUE",'4-man'!$F$6="Yes"),25,50),0,BO143+1)))</f>
        <v/>
      </c>
      <c r="BQ143">
        <f>IF('4-man'!BQ$24="R",0,IF(BP142&gt;=100,0,IF(BP143+1&gt;=IF(OR('4-man'!$F$6=TRUE,'4-man'!$F$6="TRUE",'4-man'!$F$6="Yes"),25,50),0,BP143+1)))</f>
        <v/>
      </c>
      <c r="BR143">
        <f>IF('4-man'!BR$24="R",0,IF(BQ142&gt;=100,0,IF(BQ143+1&gt;=IF(OR('4-man'!$F$6=TRUE,'4-man'!$F$6="TRUE",'4-man'!$F$6="Yes"),25,50),0,BQ143+1)))</f>
        <v/>
      </c>
      <c r="BS143">
        <f>IF('4-man'!BS$24="R",0,IF(BR142&gt;=100,0,IF(BR143+1&gt;=IF(OR('4-man'!$F$6=TRUE,'4-man'!$F$6="TRUE",'4-man'!$F$6="Yes"),25,50),0,BR143+1)))</f>
        <v/>
      </c>
      <c r="BT143">
        <f>IF('4-man'!BT$24="R",0,IF(BS142&gt;=100,0,IF(BS143+1&gt;=IF(OR('4-man'!$F$6=TRUE,'4-man'!$F$6="TRUE",'4-man'!$F$6="Yes"),25,50),0,BS143+1)))</f>
        <v/>
      </c>
      <c r="BU143">
        <f>IF('4-man'!BU$24="R",0,IF(BT142&gt;=100,0,IF(BT143+1&gt;=IF(OR('4-man'!$F$6=TRUE,'4-man'!$F$6="TRUE",'4-man'!$F$6="Yes"),25,50),0,BT143+1)))</f>
        <v/>
      </c>
      <c r="BV143">
        <f>IF('4-man'!BV$24="R",0,IF(BU142&gt;=100,0,IF(BU143+1&gt;=IF(OR('4-man'!$F$6=TRUE,'4-man'!$F$6="TRUE",'4-man'!$F$6="Yes"),25,50),0,BU143+1)))</f>
        <v/>
      </c>
      <c r="BW143">
        <f>IF('4-man'!BW$24="R",0,IF(BV142&gt;=100,0,IF(BV143+1&gt;=IF(OR('4-man'!$F$6=TRUE,'4-man'!$F$6="TRUE",'4-man'!$F$6="Yes"),25,50),0,BV143+1)))</f>
        <v/>
      </c>
      <c r="BX143">
        <f>IF('4-man'!BX$24="R",0,IF(BW142&gt;=100,0,IF(BW143+1&gt;=IF(OR('4-man'!$F$6=TRUE,'4-man'!$F$6="TRUE",'4-man'!$F$6="Yes"),25,50),0,BW143+1)))</f>
        <v/>
      </c>
      <c r="BY143">
        <f>IF('4-man'!BY$24="R",0,IF(BX142&gt;=100,0,IF(BX143+1&gt;=IF(OR('4-man'!$F$6=TRUE,'4-man'!$F$6="TRUE",'4-man'!$F$6="Yes"),25,50),0,BX143+1)))</f>
        <v/>
      </c>
      <c r="BZ143">
        <f>IF('4-man'!BZ$24="R",0,IF(BY142&gt;=100,0,IF(BY143+1&gt;=IF(OR('4-man'!$F$6=TRUE,'4-man'!$F$6="TRUE",'4-man'!$F$6="Yes"),25,50),0,BY143+1)))</f>
        <v/>
      </c>
      <c r="CA143">
        <f>IF('4-man'!CA$24="R",0,IF(BZ142&gt;=100,0,IF(BZ143+1&gt;=IF(OR('4-man'!$F$6=TRUE,'4-man'!$F$6="TRUE",'4-man'!$F$6="Yes"),25,50),0,BZ143+1)))</f>
        <v/>
      </c>
      <c r="CB143">
        <f>IF('4-man'!CB$24="R",0,IF(CA142&gt;=100,0,IF(CA143+1&gt;=IF(OR('4-man'!$F$6=TRUE,'4-man'!$F$6="TRUE",'4-man'!$F$6="Yes"),25,50),0,CA143+1)))</f>
        <v/>
      </c>
      <c r="CC143">
        <f>IF('4-man'!CC$24="R",0,IF(CB142&gt;=100,0,IF(CB143+1&gt;=IF(OR('4-man'!$F$6=TRUE,'4-man'!$F$6="TRUE",'4-man'!$F$6="Yes"),25,50),0,CB143+1)))</f>
        <v/>
      </c>
      <c r="CD143">
        <f>IF('4-man'!CD$24="R",0,IF(CC142&gt;=100,0,IF(CC143+1&gt;=IF(OR('4-man'!$F$6=TRUE,'4-man'!$F$6="TRUE",'4-man'!$F$6="Yes"),25,50),0,CC143+1)))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row>
    <row r="148">
      <c r="A148" t="inlineStr">
        <is>
          <t>P3 act</t>
        </is>
      </c>
      <c r="C148">
        <f>IF(OR('4-man'!C$24="P",'4-man'!C$24="R",AND('4-man'!C$21&lt;=IF('4-man'!$BF$4="",999,'4-man'!$BF$4),OR('4-man'!C$24="D",LEFT('4-man'!C$24,3)="ST&gt;",OR(AND('4-man'!C$22="ST&gt;3",C125&gt;=100),AND('4-man'!C$23="ST&gt;3",C133&gt;=100),AND('4-man'!C$25="ST&gt;3",C149&gt;=100))))),'4-man'!C$21,0)</f>
        <v/>
      </c>
      <c r="D148">
        <f>IF(OR('4-man'!D$24="P",'4-man'!D$24="R",AND('4-man'!D$21&lt;=IF('4-man'!$BF$4="",999,'4-man'!$BF$4),OR('4-man'!D$24="D",LEFT('4-man'!D$24,3)="ST&gt;",OR(AND('4-man'!D$22="ST&gt;3",D125&gt;=100),AND('4-man'!D$23="ST&gt;3",D133&gt;=100),AND('4-man'!D$25="ST&gt;3",D149&gt;=100))))),'4-man'!D$21,0)</f>
        <v/>
      </c>
      <c r="E148">
        <f>IF(OR('4-man'!E$24="P",'4-man'!E$24="R",AND('4-man'!E$21&lt;=IF('4-man'!$BF$4="",999,'4-man'!$BF$4),OR('4-man'!E$24="D",LEFT('4-man'!E$24,3)="ST&gt;",OR(AND('4-man'!E$22="ST&gt;3",E125&gt;=100),AND('4-man'!E$23="ST&gt;3",E133&gt;=100),AND('4-man'!E$25="ST&gt;3",E149&gt;=100))))),'4-man'!E$21,0)</f>
        <v/>
      </c>
      <c r="F148">
        <f>IF(OR('4-man'!F$24="P",'4-man'!F$24="R",AND('4-man'!F$21&lt;=IF('4-man'!$BF$4="",999,'4-man'!$BF$4),OR('4-man'!F$24="D",LEFT('4-man'!F$24,3)="ST&gt;",OR(AND('4-man'!F$22="ST&gt;3",F125&gt;=100),AND('4-man'!F$23="ST&gt;3",F133&gt;=100),AND('4-man'!F$25="ST&gt;3",F149&gt;=100))))),'4-man'!F$21,0)</f>
        <v/>
      </c>
      <c r="G148">
        <f>IF(OR('4-man'!G$24="P",'4-man'!G$24="R",AND('4-man'!G$21&lt;=IF('4-man'!$BF$4="",999,'4-man'!$BF$4),OR('4-man'!G$24="D",LEFT('4-man'!G$24,3)="ST&gt;",OR(AND('4-man'!G$22="ST&gt;3",G125&gt;=100),AND('4-man'!G$23="ST&gt;3",G133&gt;=100),AND('4-man'!G$25="ST&gt;3",G149&gt;=100))))),'4-man'!G$21,0)</f>
        <v/>
      </c>
      <c r="H148">
        <f>IF(OR('4-man'!H$24="P",'4-man'!H$24="R",AND('4-man'!H$21&lt;=IF('4-man'!$BF$4="",999,'4-man'!$BF$4),OR('4-man'!H$24="D",LEFT('4-man'!H$24,3)="ST&gt;",OR(AND('4-man'!H$22="ST&gt;3",H125&gt;=100),AND('4-man'!H$23="ST&gt;3",H133&gt;=100),AND('4-man'!H$25="ST&gt;3",H149&gt;=100))))),'4-man'!H$21,0)</f>
        <v/>
      </c>
      <c r="I148">
        <f>IF(OR('4-man'!I$24="P",'4-man'!I$24="R",AND('4-man'!I$21&lt;=IF('4-man'!$BF$4="",999,'4-man'!$BF$4),OR('4-man'!I$24="D",LEFT('4-man'!I$24,3)="ST&gt;",OR(AND('4-man'!I$22="ST&gt;3",I125&gt;=100),AND('4-man'!I$23="ST&gt;3",I133&gt;=100),AND('4-man'!I$25="ST&gt;3",I149&gt;=100))))),'4-man'!I$21,0)</f>
        <v/>
      </c>
      <c r="J148">
        <f>IF(OR('4-man'!J$24="P",'4-man'!J$24="R",AND('4-man'!J$21&lt;=IF('4-man'!$BF$4="",999,'4-man'!$BF$4),OR('4-man'!J$24="D",LEFT('4-man'!J$24,3)="ST&gt;",OR(AND('4-man'!J$22="ST&gt;3",J125&gt;=100),AND('4-man'!J$23="ST&gt;3",J133&gt;=100),AND('4-man'!J$25="ST&gt;3",J149&gt;=100))))),'4-man'!J$21,0)</f>
        <v/>
      </c>
      <c r="K148">
        <f>IF(OR('4-man'!K$24="P",'4-man'!K$24="R",AND('4-man'!K$21&lt;=IF('4-man'!$BF$4="",999,'4-man'!$BF$4),OR('4-man'!K$24="D",LEFT('4-man'!K$24,3)="ST&gt;",OR(AND('4-man'!K$22="ST&gt;3",K125&gt;=100),AND('4-man'!K$23="ST&gt;3",K133&gt;=100),AND('4-man'!K$25="ST&gt;3",K149&gt;=100))))),'4-man'!K$21,0)</f>
        <v/>
      </c>
      <c r="L148">
        <f>IF(OR('4-man'!L$24="P",'4-man'!L$24="R",AND('4-man'!L$21&lt;=IF('4-man'!$BF$4="",999,'4-man'!$BF$4),OR('4-man'!L$24="D",LEFT('4-man'!L$24,3)="ST&gt;",OR(AND('4-man'!L$22="ST&gt;3",L125&gt;=100),AND('4-man'!L$23="ST&gt;3",L133&gt;=100),AND('4-man'!L$25="ST&gt;3",L149&gt;=100))))),'4-man'!L$21,0)</f>
        <v/>
      </c>
      <c r="M148">
        <f>IF(OR('4-man'!M$24="P",'4-man'!M$24="R",AND('4-man'!M$21&lt;=IF('4-man'!$BF$4="",999,'4-man'!$BF$4),OR('4-man'!M$24="D",LEFT('4-man'!M$24,3)="ST&gt;",OR(AND('4-man'!M$22="ST&gt;3",M125&gt;=100),AND('4-man'!M$23="ST&gt;3",M133&gt;=100),AND('4-man'!M$25="ST&gt;3",M149&gt;=100))))),'4-man'!M$21,0)</f>
        <v/>
      </c>
      <c r="N148">
        <f>IF(OR('4-man'!N$24="P",'4-man'!N$24="R",AND('4-man'!N$21&lt;=IF('4-man'!$BF$4="",999,'4-man'!$BF$4),OR('4-man'!N$24="D",LEFT('4-man'!N$24,3)="ST&gt;",OR(AND('4-man'!N$22="ST&gt;3",N125&gt;=100),AND('4-man'!N$23="ST&gt;3",N133&gt;=100),AND('4-man'!N$25="ST&gt;3",N149&gt;=100))))),'4-man'!N$21,0)</f>
        <v/>
      </c>
      <c r="O148">
        <f>IF(OR('4-man'!O$24="P",'4-man'!O$24="R",AND('4-man'!O$21&lt;=IF('4-man'!$BF$4="",999,'4-man'!$BF$4),OR('4-man'!O$24="D",LEFT('4-man'!O$24,3)="ST&gt;",OR(AND('4-man'!O$22="ST&gt;3",O125&gt;=100),AND('4-man'!O$23="ST&gt;3",O133&gt;=100),AND('4-man'!O$25="ST&gt;3",O149&gt;=100))))),'4-man'!O$21,0)</f>
        <v/>
      </c>
      <c r="P148">
        <f>IF(OR('4-man'!P$24="P",'4-man'!P$24="R",AND('4-man'!P$21&lt;=IF('4-man'!$BF$4="",999,'4-man'!$BF$4),OR('4-man'!P$24="D",LEFT('4-man'!P$24,3)="ST&gt;",OR(AND('4-man'!P$22="ST&gt;3",P125&gt;=100),AND('4-man'!P$23="ST&gt;3",P133&gt;=100),AND('4-man'!P$25="ST&gt;3",P149&gt;=100))))),'4-man'!P$21,0)</f>
        <v/>
      </c>
      <c r="Q148">
        <f>IF(OR('4-man'!Q$24="P",'4-man'!Q$24="R",AND('4-man'!Q$21&lt;=IF('4-man'!$BF$4="",999,'4-man'!$BF$4),OR('4-man'!Q$24="D",LEFT('4-man'!Q$24,3)="ST&gt;",OR(AND('4-man'!Q$22="ST&gt;3",Q125&gt;=100),AND('4-man'!Q$23="ST&gt;3",Q133&gt;=100),AND('4-man'!Q$25="ST&gt;3",Q149&gt;=100))))),'4-man'!Q$21,0)</f>
        <v/>
      </c>
      <c r="R148">
        <f>IF(OR('4-man'!R$24="P",'4-man'!R$24="R",AND('4-man'!R$21&lt;=IF('4-man'!$BF$4="",999,'4-man'!$BF$4),OR('4-man'!R$24="D",LEFT('4-man'!R$24,3)="ST&gt;",OR(AND('4-man'!R$22="ST&gt;3",R125&gt;=100),AND('4-man'!R$23="ST&gt;3",R133&gt;=100),AND('4-man'!R$25="ST&gt;3",R149&gt;=100))))),'4-man'!R$21,0)</f>
        <v/>
      </c>
      <c r="S148">
        <f>IF(OR('4-man'!S$24="P",'4-man'!S$24="R",AND('4-man'!S$21&lt;=IF('4-man'!$BF$4="",999,'4-man'!$BF$4),OR('4-man'!S$24="D",LEFT('4-man'!S$24,3)="ST&gt;",OR(AND('4-man'!S$22="ST&gt;3",S125&gt;=100),AND('4-man'!S$23="ST&gt;3",S133&gt;=100),AND('4-man'!S$25="ST&gt;3",S149&gt;=100))))),'4-man'!S$21,0)</f>
        <v/>
      </c>
      <c r="T148">
        <f>IF(OR('4-man'!T$24="P",'4-man'!T$24="R",AND('4-man'!T$21&lt;=IF('4-man'!$BF$4="",999,'4-man'!$BF$4),OR('4-man'!T$24="D",LEFT('4-man'!T$24,3)="ST&gt;",OR(AND('4-man'!T$22="ST&gt;3",T125&gt;=100),AND('4-man'!T$23="ST&gt;3",T133&gt;=100),AND('4-man'!T$25="ST&gt;3",T149&gt;=100))))),'4-man'!T$21,0)</f>
        <v/>
      </c>
      <c r="U148">
        <f>IF(OR('4-man'!U$24="P",'4-man'!U$24="R",AND('4-man'!U$21&lt;=IF('4-man'!$BF$4="",999,'4-man'!$BF$4),OR('4-man'!U$24="D",LEFT('4-man'!U$24,3)="ST&gt;",OR(AND('4-man'!U$22="ST&gt;3",U125&gt;=100),AND('4-man'!U$23="ST&gt;3",U133&gt;=100),AND('4-man'!U$25="ST&gt;3",U149&gt;=100))))),'4-man'!U$21,0)</f>
        <v/>
      </c>
      <c r="V148">
        <f>IF(OR('4-man'!V$24="P",'4-man'!V$24="R",AND('4-man'!V$21&lt;=IF('4-man'!$BF$4="",999,'4-man'!$BF$4),OR('4-man'!V$24="D",LEFT('4-man'!V$24,3)="ST&gt;",OR(AND('4-man'!V$22="ST&gt;3",V125&gt;=100),AND('4-man'!V$23="ST&gt;3",V133&gt;=100),AND('4-man'!V$25="ST&gt;3",V149&gt;=100))))),'4-man'!V$21,0)</f>
        <v/>
      </c>
      <c r="W148">
        <f>IF(OR('4-man'!W$24="P",'4-man'!W$24="R",AND('4-man'!W$21&lt;=IF('4-man'!$BF$4="",999,'4-man'!$BF$4),OR('4-man'!W$24="D",LEFT('4-man'!W$24,3)="ST&gt;",OR(AND('4-man'!W$22="ST&gt;3",W125&gt;=100),AND('4-man'!W$23="ST&gt;3",W133&gt;=100),AND('4-man'!W$25="ST&gt;3",W149&gt;=100))))),'4-man'!W$21,0)</f>
        <v/>
      </c>
      <c r="X148">
        <f>IF(OR('4-man'!X$24="P",'4-man'!X$24="R",AND('4-man'!X$21&lt;=IF('4-man'!$BF$4="",999,'4-man'!$BF$4),OR('4-man'!X$24="D",LEFT('4-man'!X$24,3)="ST&gt;",OR(AND('4-man'!X$22="ST&gt;3",X125&gt;=100),AND('4-man'!X$23="ST&gt;3",X133&gt;=100),AND('4-man'!X$25="ST&gt;3",X149&gt;=100))))),'4-man'!X$21,0)</f>
        <v/>
      </c>
      <c r="Y148">
        <f>IF(OR('4-man'!Y$24="P",'4-man'!Y$24="R",AND('4-man'!Y$21&lt;=IF('4-man'!$BF$4="",999,'4-man'!$BF$4),OR('4-man'!Y$24="D",LEFT('4-man'!Y$24,3)="ST&gt;",OR(AND('4-man'!Y$22="ST&gt;3",Y125&gt;=100),AND('4-man'!Y$23="ST&gt;3",Y133&gt;=100),AND('4-man'!Y$25="ST&gt;3",Y149&gt;=100))))),'4-man'!Y$21,0)</f>
        <v/>
      </c>
      <c r="Z148">
        <f>IF(OR('4-man'!Z$24="P",'4-man'!Z$24="R",AND('4-man'!Z$21&lt;=IF('4-man'!$BF$4="",999,'4-man'!$BF$4),OR('4-man'!Z$24="D",LEFT('4-man'!Z$24,3)="ST&gt;",OR(AND('4-man'!Z$22="ST&gt;3",Z125&gt;=100),AND('4-man'!Z$23="ST&gt;3",Z133&gt;=100),AND('4-man'!Z$25="ST&gt;3",Z149&gt;=100))))),'4-man'!Z$21,0)</f>
        <v/>
      </c>
      <c r="AA148">
        <f>IF(OR('4-man'!AA$24="P",'4-man'!AA$24="R",AND('4-man'!AA$21&lt;=IF('4-man'!$BF$4="",999,'4-man'!$BF$4),OR('4-man'!AA$24="D",LEFT('4-man'!AA$24,3)="ST&gt;",OR(AND('4-man'!AA$22="ST&gt;3",AA125&gt;=100),AND('4-man'!AA$23="ST&gt;3",AA133&gt;=100),AND('4-man'!AA$25="ST&gt;3",AA149&gt;=100))))),'4-man'!AA$21,0)</f>
        <v/>
      </c>
      <c r="AB148">
        <f>IF(OR('4-man'!AB$24="P",'4-man'!AB$24="R",AND('4-man'!AB$21&lt;=IF('4-man'!$BF$4="",999,'4-man'!$BF$4),OR('4-man'!AB$24="D",LEFT('4-man'!AB$24,3)="ST&gt;",OR(AND('4-man'!AB$22="ST&gt;3",AB125&gt;=100),AND('4-man'!AB$23="ST&gt;3",AB133&gt;=100),AND('4-man'!AB$25="ST&gt;3",AB149&gt;=100))))),'4-man'!AB$21,0)</f>
        <v/>
      </c>
      <c r="AC148">
        <f>IF(OR('4-man'!AC$24="P",'4-man'!AC$24="R",AND('4-man'!AC$21&lt;=IF('4-man'!$BF$4="",999,'4-man'!$BF$4),OR('4-man'!AC$24="D",LEFT('4-man'!AC$24,3)="ST&gt;",OR(AND('4-man'!AC$22="ST&gt;3",AC125&gt;=100),AND('4-man'!AC$23="ST&gt;3",AC133&gt;=100),AND('4-man'!AC$25="ST&gt;3",AC149&gt;=100))))),'4-man'!AC$21,0)</f>
        <v/>
      </c>
      <c r="AD148">
        <f>IF(OR('4-man'!AD$24="P",'4-man'!AD$24="R",AND('4-man'!AD$21&lt;=IF('4-man'!$BF$4="",999,'4-man'!$BF$4),OR('4-man'!AD$24="D",LEFT('4-man'!AD$24,3)="ST&gt;",OR(AND('4-man'!AD$22="ST&gt;3",AD125&gt;=100),AND('4-man'!AD$23="ST&gt;3",AD133&gt;=100),AND('4-man'!AD$25="ST&gt;3",AD149&gt;=100))))),'4-man'!AD$21,0)</f>
        <v/>
      </c>
      <c r="AE148">
        <f>IF(OR('4-man'!AE$24="P",'4-man'!AE$24="R",AND('4-man'!AE$21&lt;=IF('4-man'!$BF$4="",999,'4-man'!$BF$4),OR('4-man'!AE$24="D",LEFT('4-man'!AE$24,3)="ST&gt;",OR(AND('4-man'!AE$22="ST&gt;3",AE125&gt;=100),AND('4-man'!AE$23="ST&gt;3",AE133&gt;=100),AND('4-man'!AE$25="ST&gt;3",AE149&gt;=100))))),'4-man'!AE$21,0)</f>
        <v/>
      </c>
      <c r="AF148">
        <f>IF(OR('4-man'!AF$24="P",'4-man'!AF$24="R",AND('4-man'!AF$21&lt;=IF('4-man'!$BF$4="",999,'4-man'!$BF$4),OR('4-man'!AF$24="D",LEFT('4-man'!AF$24,3)="ST&gt;",OR(AND('4-man'!AF$22="ST&gt;3",AF125&gt;=100),AND('4-man'!AF$23="ST&gt;3",AF133&gt;=100),AND('4-man'!AF$25="ST&gt;3",AF149&gt;=100))))),'4-man'!AF$21,0)</f>
        <v/>
      </c>
      <c r="AG148">
        <f>IF(OR('4-man'!AG$24="P",'4-man'!AG$24="R",AND('4-man'!AG$21&lt;=IF('4-man'!$BF$4="",999,'4-man'!$BF$4),OR('4-man'!AG$24="D",LEFT('4-man'!AG$24,3)="ST&gt;",OR(AND('4-man'!AG$22="ST&gt;3",AG125&gt;=100),AND('4-man'!AG$23="ST&gt;3",AG133&gt;=100),AND('4-man'!AG$25="ST&gt;3",AG149&gt;=100))))),'4-man'!AG$21,0)</f>
        <v/>
      </c>
      <c r="AH148">
        <f>IF(OR('4-man'!AH$24="P",'4-man'!AH$24="R",AND('4-man'!AH$21&lt;=IF('4-man'!$BF$4="",999,'4-man'!$BF$4),OR('4-man'!AH$24="D",LEFT('4-man'!AH$24,3)="ST&gt;",OR(AND('4-man'!AH$22="ST&gt;3",AH125&gt;=100),AND('4-man'!AH$23="ST&gt;3",AH133&gt;=100),AND('4-man'!AH$25="ST&gt;3",AH149&gt;=100))))),'4-man'!AH$21,0)</f>
        <v/>
      </c>
      <c r="AI148">
        <f>IF(OR('4-man'!AI$24="P",'4-man'!AI$24="R",AND('4-man'!AI$21&lt;=IF('4-man'!$BF$4="",999,'4-man'!$BF$4),OR('4-man'!AI$24="D",LEFT('4-man'!AI$24,3)="ST&gt;",OR(AND('4-man'!AI$22="ST&gt;3",AI125&gt;=100),AND('4-man'!AI$23="ST&gt;3",AI133&gt;=100),AND('4-man'!AI$25="ST&gt;3",AI149&gt;=100))))),'4-man'!AI$21,0)</f>
        <v/>
      </c>
      <c r="AJ148">
        <f>IF(OR('4-man'!AJ$24="P",'4-man'!AJ$24="R",AND('4-man'!AJ$21&lt;=IF('4-man'!$BF$4="",999,'4-man'!$BF$4),OR('4-man'!AJ$24="D",LEFT('4-man'!AJ$24,3)="ST&gt;",OR(AND('4-man'!AJ$22="ST&gt;3",AJ125&gt;=100),AND('4-man'!AJ$23="ST&gt;3",AJ133&gt;=100),AND('4-man'!AJ$25="ST&gt;3",AJ149&gt;=100))))),'4-man'!AJ$21,0)</f>
        <v/>
      </c>
      <c r="AK148">
        <f>IF(OR('4-man'!AK$24="P",'4-man'!AK$24="R",AND('4-man'!AK$21&lt;=IF('4-man'!$BF$4="",999,'4-man'!$BF$4),OR('4-man'!AK$24="D",LEFT('4-man'!AK$24,3)="ST&gt;",OR(AND('4-man'!AK$22="ST&gt;3",AK125&gt;=100),AND('4-man'!AK$23="ST&gt;3",AK133&gt;=100),AND('4-man'!AK$25="ST&gt;3",AK149&gt;=100))))),'4-man'!AK$21,0)</f>
        <v/>
      </c>
      <c r="AL148">
        <f>IF(OR('4-man'!AL$24="P",'4-man'!AL$24="R",AND('4-man'!AL$21&lt;=IF('4-man'!$BF$4="",999,'4-man'!$BF$4),OR('4-man'!AL$24="D",LEFT('4-man'!AL$24,3)="ST&gt;",OR(AND('4-man'!AL$22="ST&gt;3",AL125&gt;=100),AND('4-man'!AL$23="ST&gt;3",AL133&gt;=100),AND('4-man'!AL$25="ST&gt;3",AL149&gt;=100))))),'4-man'!AL$21,0)</f>
        <v/>
      </c>
      <c r="AM148">
        <f>IF(OR('4-man'!AM$24="P",'4-man'!AM$24="R",AND('4-man'!AM$21&lt;=IF('4-man'!$BF$4="",999,'4-man'!$BF$4),OR('4-man'!AM$24="D",LEFT('4-man'!AM$24,3)="ST&gt;",OR(AND('4-man'!AM$22="ST&gt;3",AM125&gt;=100),AND('4-man'!AM$23="ST&gt;3",AM133&gt;=100),AND('4-man'!AM$25="ST&gt;3",AM149&gt;=100))))),'4-man'!AM$21,0)</f>
        <v/>
      </c>
      <c r="AN148">
        <f>IF(OR('4-man'!AN$24="P",'4-man'!AN$24="R",AND('4-man'!AN$21&lt;=IF('4-man'!$BF$4="",999,'4-man'!$BF$4),OR('4-man'!AN$24="D",LEFT('4-man'!AN$24,3)="ST&gt;",OR(AND('4-man'!AN$22="ST&gt;3",AN125&gt;=100),AND('4-man'!AN$23="ST&gt;3",AN133&gt;=100),AND('4-man'!AN$25="ST&gt;3",AN149&gt;=100))))),'4-man'!AN$21,0)</f>
        <v/>
      </c>
      <c r="AO148">
        <f>IF(OR('4-man'!AO$24="P",'4-man'!AO$24="R",AND('4-man'!AO$21&lt;=IF('4-man'!$BF$4="",999,'4-man'!$BF$4),OR('4-man'!AO$24="D",LEFT('4-man'!AO$24,3)="ST&gt;",OR(AND('4-man'!AO$22="ST&gt;3",AO125&gt;=100),AND('4-man'!AO$23="ST&gt;3",AO133&gt;=100),AND('4-man'!AO$25="ST&gt;3",AO149&gt;=100))))),'4-man'!AO$21,0)</f>
        <v/>
      </c>
      <c r="AP148">
        <f>IF(OR('4-man'!AP$24="P",'4-man'!AP$24="R",AND('4-man'!AP$21&lt;=IF('4-man'!$BF$4="",999,'4-man'!$BF$4),OR('4-man'!AP$24="D",LEFT('4-man'!AP$24,3)="ST&gt;",OR(AND('4-man'!AP$22="ST&gt;3",AP125&gt;=100),AND('4-man'!AP$23="ST&gt;3",AP133&gt;=100),AND('4-man'!AP$25="ST&gt;3",AP149&gt;=100))))),'4-man'!AP$21,0)</f>
        <v/>
      </c>
      <c r="AQ148">
        <f>IF(OR('4-man'!AQ$24="P",'4-man'!AQ$24="R",AND('4-man'!AQ$21&lt;=IF('4-man'!$BF$4="",999,'4-man'!$BF$4),OR('4-man'!AQ$24="D",LEFT('4-man'!AQ$24,3)="ST&gt;",OR(AND('4-man'!AQ$22="ST&gt;3",AQ125&gt;=100),AND('4-man'!AQ$23="ST&gt;3",AQ133&gt;=100),AND('4-man'!AQ$25="ST&gt;3",AQ149&gt;=100))))),'4-man'!AQ$21,0)</f>
        <v/>
      </c>
      <c r="AR148">
        <f>IF(OR('4-man'!AR$24="P",'4-man'!AR$24="R",AND('4-man'!AR$21&lt;=IF('4-man'!$BF$4="",999,'4-man'!$BF$4),OR('4-man'!AR$24="D",LEFT('4-man'!AR$24,3)="ST&gt;",OR(AND('4-man'!AR$22="ST&gt;3",AR125&gt;=100),AND('4-man'!AR$23="ST&gt;3",AR133&gt;=100),AND('4-man'!AR$25="ST&gt;3",AR149&gt;=100))))),'4-man'!AR$21,0)</f>
        <v/>
      </c>
      <c r="AS148">
        <f>IF(OR('4-man'!AS$24="P",'4-man'!AS$24="R",AND('4-man'!AS$21&lt;=IF('4-man'!$BF$4="",999,'4-man'!$BF$4),OR('4-man'!AS$24="D",LEFT('4-man'!AS$24,3)="ST&gt;",OR(AND('4-man'!AS$22="ST&gt;3",AS125&gt;=100),AND('4-man'!AS$23="ST&gt;3",AS133&gt;=100),AND('4-man'!AS$25="ST&gt;3",AS149&gt;=100))))),'4-man'!AS$21,0)</f>
        <v/>
      </c>
      <c r="AT148">
        <f>IF(OR('4-man'!AT$24="P",'4-man'!AT$24="R",AND('4-man'!AT$21&lt;=IF('4-man'!$BF$4="",999,'4-man'!$BF$4),OR('4-man'!AT$24="D",LEFT('4-man'!AT$24,3)="ST&gt;",OR(AND('4-man'!AT$22="ST&gt;3",AT125&gt;=100),AND('4-man'!AT$23="ST&gt;3",AT133&gt;=100),AND('4-man'!AT$25="ST&gt;3",AT149&gt;=100))))),'4-man'!AT$21,0)</f>
        <v/>
      </c>
      <c r="AU148">
        <f>IF(OR('4-man'!AU$24="P",'4-man'!AU$24="R",AND('4-man'!AU$21&lt;=IF('4-man'!$BF$4="",999,'4-man'!$BF$4),OR('4-man'!AU$24="D",LEFT('4-man'!AU$24,3)="ST&gt;",OR(AND('4-man'!AU$22="ST&gt;3",AU125&gt;=100),AND('4-man'!AU$23="ST&gt;3",AU133&gt;=100),AND('4-man'!AU$25="ST&gt;3",AU149&gt;=100))))),'4-man'!AU$21,0)</f>
        <v/>
      </c>
      <c r="AV148">
        <f>IF(OR('4-man'!AV$24="P",'4-man'!AV$24="R",AND('4-man'!AV$21&lt;=IF('4-man'!$BF$4="",999,'4-man'!$BF$4),OR('4-man'!AV$24="D",LEFT('4-man'!AV$24,3)="ST&gt;",OR(AND('4-man'!AV$22="ST&gt;3",AV125&gt;=100),AND('4-man'!AV$23="ST&gt;3",AV133&gt;=100),AND('4-man'!AV$25="ST&gt;3",AV149&gt;=100))))),'4-man'!AV$21,0)</f>
        <v/>
      </c>
      <c r="AW148">
        <f>IF(OR('4-man'!AW$24="P",'4-man'!AW$24="R",AND('4-man'!AW$21&lt;=IF('4-man'!$BF$4="",999,'4-man'!$BF$4),OR('4-man'!AW$24="D",LEFT('4-man'!AW$24,3)="ST&gt;",OR(AND('4-man'!AW$22="ST&gt;3",AW125&gt;=100),AND('4-man'!AW$23="ST&gt;3",AW133&gt;=100),AND('4-man'!AW$25="ST&gt;3",AW149&gt;=100))))),'4-man'!AW$21,0)</f>
        <v/>
      </c>
      <c r="AX148">
        <f>IF(OR('4-man'!AX$24="P",'4-man'!AX$24="R",AND('4-man'!AX$21&lt;=IF('4-man'!$BF$4="",999,'4-man'!$BF$4),OR('4-man'!AX$24="D",LEFT('4-man'!AX$24,3)="ST&gt;",OR(AND('4-man'!AX$22="ST&gt;3",AX125&gt;=100),AND('4-man'!AX$23="ST&gt;3",AX133&gt;=100),AND('4-man'!AX$25="ST&gt;3",AX149&gt;=100))))),'4-man'!AX$21,0)</f>
        <v/>
      </c>
      <c r="AY148">
        <f>IF(OR('4-man'!AY$24="P",'4-man'!AY$24="R",AND('4-man'!AY$21&lt;=IF('4-man'!$BF$4="",999,'4-man'!$BF$4),OR('4-man'!AY$24="D",LEFT('4-man'!AY$24,3)="ST&gt;",OR(AND('4-man'!AY$22="ST&gt;3",AY125&gt;=100),AND('4-man'!AY$23="ST&gt;3",AY133&gt;=100),AND('4-man'!AY$25="ST&gt;3",AY149&gt;=100))))),'4-man'!AY$21,0)</f>
        <v/>
      </c>
      <c r="AZ148">
        <f>IF(OR('4-man'!AZ$24="P",'4-man'!AZ$24="R",AND('4-man'!AZ$21&lt;=IF('4-man'!$BF$4="",999,'4-man'!$BF$4),OR('4-man'!AZ$24="D",LEFT('4-man'!AZ$24,3)="ST&gt;",OR(AND('4-man'!AZ$22="ST&gt;3",AZ125&gt;=100),AND('4-man'!AZ$23="ST&gt;3",AZ133&gt;=100),AND('4-man'!AZ$25="ST&gt;3",AZ149&gt;=100))))),'4-man'!AZ$21,0)</f>
        <v/>
      </c>
      <c r="BA148">
        <f>IF(OR('4-man'!BA$24="P",'4-man'!BA$24="R",AND('4-man'!BA$21&lt;=IF('4-man'!$BF$4="",999,'4-man'!$BF$4),OR('4-man'!BA$24="D",LEFT('4-man'!BA$24,3)="ST&gt;",OR(AND('4-man'!BA$22="ST&gt;3",BA125&gt;=100),AND('4-man'!BA$23="ST&gt;3",BA133&gt;=100),AND('4-man'!BA$25="ST&gt;3",BA149&gt;=100))))),'4-man'!BA$21,0)</f>
        <v/>
      </c>
      <c r="BB148">
        <f>IF(OR('4-man'!BB$24="P",'4-man'!BB$24="R",AND('4-man'!BB$21&lt;=IF('4-man'!$BF$4="",999,'4-man'!$BF$4),OR('4-man'!BB$24="D",LEFT('4-man'!BB$24,3)="ST&gt;",OR(AND('4-man'!BB$22="ST&gt;3",BB125&gt;=100),AND('4-man'!BB$23="ST&gt;3",BB133&gt;=100),AND('4-man'!BB$25="ST&gt;3",BB149&gt;=100))))),'4-man'!BB$21,0)</f>
        <v/>
      </c>
      <c r="BC148">
        <f>IF(OR('4-man'!BC$24="P",'4-man'!BC$24="R",AND('4-man'!BC$21&lt;=IF('4-man'!$BF$4="",999,'4-man'!$BF$4),OR('4-man'!BC$24="D",LEFT('4-man'!BC$24,3)="ST&gt;",OR(AND('4-man'!BC$22="ST&gt;3",BC125&gt;=100),AND('4-man'!BC$23="ST&gt;3",BC133&gt;=100),AND('4-man'!BC$25="ST&gt;3",BC149&gt;=100))))),'4-man'!BC$21,0)</f>
        <v/>
      </c>
      <c r="BD148">
        <f>IF(OR('4-man'!BD$24="P",'4-man'!BD$24="R",AND('4-man'!BD$21&lt;=IF('4-man'!$BF$4="",999,'4-man'!$BF$4),OR('4-man'!BD$24="D",LEFT('4-man'!BD$24,3)="ST&gt;",OR(AND('4-man'!BD$22="ST&gt;3",BD125&gt;=100),AND('4-man'!BD$23="ST&gt;3",BD133&gt;=100),AND('4-man'!BD$25="ST&gt;3",BD149&gt;=100))))),'4-man'!BD$21,0)</f>
        <v/>
      </c>
      <c r="BE148">
        <f>IF(OR('4-man'!BE$24="P",'4-man'!BE$24="R",AND('4-man'!BE$21&lt;=IF('4-man'!$BF$4="",999,'4-man'!$BF$4),OR('4-man'!BE$24="D",LEFT('4-man'!BE$24,3)="ST&gt;",OR(AND('4-man'!BE$22="ST&gt;3",BE125&gt;=100),AND('4-man'!BE$23="ST&gt;3",BE133&gt;=100),AND('4-man'!BE$25="ST&gt;3",BE149&gt;=100))))),'4-man'!BE$21,0)</f>
        <v/>
      </c>
      <c r="BF148">
        <f>IF(OR('4-man'!BF$24="P",'4-man'!BF$24="R",AND('4-man'!BF$21&lt;=IF('4-man'!$BF$4="",999,'4-man'!$BF$4),OR('4-man'!BF$24="D",LEFT('4-man'!BF$24,3)="ST&gt;",OR(AND('4-man'!BF$22="ST&gt;3",BF125&gt;=100),AND('4-man'!BF$23="ST&gt;3",BF133&gt;=100),AND('4-man'!BF$25="ST&gt;3",BF149&gt;=100))))),'4-man'!BF$21,0)</f>
        <v/>
      </c>
      <c r="BG148">
        <f>IF(OR('4-man'!BG$24="P",'4-man'!BG$24="R",AND('4-man'!BG$21&lt;=IF('4-man'!$BF$4="",999,'4-man'!$BF$4),OR('4-man'!BG$24="D",LEFT('4-man'!BG$24,3)="ST&gt;",OR(AND('4-man'!BG$22="ST&gt;3",BG125&gt;=100),AND('4-man'!BG$23="ST&gt;3",BG133&gt;=100),AND('4-man'!BG$25="ST&gt;3",BG149&gt;=100))))),'4-man'!BG$21,0)</f>
        <v/>
      </c>
      <c r="BH148">
        <f>IF(OR('4-man'!BH$24="P",'4-man'!BH$24="R",AND('4-man'!BH$21&lt;=IF('4-man'!$BF$4="",999,'4-man'!$BF$4),OR('4-man'!BH$24="D",LEFT('4-man'!BH$24,3)="ST&gt;",OR(AND('4-man'!BH$22="ST&gt;3",BH125&gt;=100),AND('4-man'!BH$23="ST&gt;3",BH133&gt;=100),AND('4-man'!BH$25="ST&gt;3",BH149&gt;=100))))),'4-man'!BH$21,0)</f>
        <v/>
      </c>
      <c r="BI148">
        <f>IF(OR('4-man'!BI$24="P",'4-man'!BI$24="R",AND('4-man'!BI$21&lt;=IF('4-man'!$BF$4="",999,'4-man'!$BF$4),OR('4-man'!BI$24="D",LEFT('4-man'!BI$24,3)="ST&gt;",OR(AND('4-man'!BI$22="ST&gt;3",BI125&gt;=100),AND('4-man'!BI$23="ST&gt;3",BI133&gt;=100),AND('4-man'!BI$25="ST&gt;3",BI149&gt;=100))))),'4-man'!BI$21,0)</f>
        <v/>
      </c>
      <c r="BJ148">
        <f>IF(OR('4-man'!BJ$24="P",'4-man'!BJ$24="R",AND('4-man'!BJ$21&lt;=IF('4-man'!$BF$4="",999,'4-man'!$BF$4),OR('4-man'!BJ$24="D",LEFT('4-man'!BJ$24,3)="ST&gt;",OR(AND('4-man'!BJ$22="ST&gt;3",BJ125&gt;=100),AND('4-man'!BJ$23="ST&gt;3",BJ133&gt;=100),AND('4-man'!BJ$25="ST&gt;3",BJ149&gt;=100))))),'4-man'!BJ$21,0)</f>
        <v/>
      </c>
      <c r="BK148">
        <f>IF(OR('4-man'!BK$24="P",'4-man'!BK$24="R",AND('4-man'!BK$21&lt;=IF('4-man'!$BF$4="",999,'4-man'!$BF$4),OR('4-man'!BK$24="D",LEFT('4-man'!BK$24,3)="ST&gt;",OR(AND('4-man'!BK$22="ST&gt;3",BK125&gt;=100),AND('4-man'!BK$23="ST&gt;3",BK133&gt;=100),AND('4-man'!BK$25="ST&gt;3",BK149&gt;=100))))),'4-man'!BK$21,0)</f>
        <v/>
      </c>
      <c r="BL148">
        <f>IF(OR('4-man'!BL$24="P",'4-man'!BL$24="R",AND('4-man'!BL$21&lt;=IF('4-man'!$BF$4="",999,'4-man'!$BF$4),OR('4-man'!BL$24="D",LEFT('4-man'!BL$24,3)="ST&gt;",OR(AND('4-man'!BL$22="ST&gt;3",BL125&gt;=100),AND('4-man'!BL$23="ST&gt;3",BL133&gt;=100),AND('4-man'!BL$25="ST&gt;3",BL149&gt;=100))))),'4-man'!BL$21,0)</f>
        <v/>
      </c>
      <c r="BM148">
        <f>IF(OR('4-man'!BM$24="P",'4-man'!BM$24="R",AND('4-man'!BM$21&lt;=IF('4-man'!$BF$4="",999,'4-man'!$BF$4),OR('4-man'!BM$24="D",LEFT('4-man'!BM$24,3)="ST&gt;",OR(AND('4-man'!BM$22="ST&gt;3",BM125&gt;=100),AND('4-man'!BM$23="ST&gt;3",BM133&gt;=100),AND('4-man'!BM$25="ST&gt;3",BM149&gt;=100))))),'4-man'!BM$21,0)</f>
        <v/>
      </c>
      <c r="BN148">
        <f>IF(OR('4-man'!BN$24="P",'4-man'!BN$24="R",AND('4-man'!BN$21&lt;=IF('4-man'!$BF$4="",999,'4-man'!$BF$4),OR('4-man'!BN$24="D",LEFT('4-man'!BN$24,3)="ST&gt;",OR(AND('4-man'!BN$22="ST&gt;3",BN125&gt;=100),AND('4-man'!BN$23="ST&gt;3",BN133&gt;=100),AND('4-man'!BN$25="ST&gt;3",BN149&gt;=100))))),'4-man'!BN$21,0)</f>
        <v/>
      </c>
      <c r="BO148">
        <f>IF(OR('4-man'!BO$24="P",'4-man'!BO$24="R",AND('4-man'!BO$21&lt;=IF('4-man'!$BF$4="",999,'4-man'!$BF$4),OR('4-man'!BO$24="D",LEFT('4-man'!BO$24,3)="ST&gt;",OR(AND('4-man'!BO$22="ST&gt;3",BO125&gt;=100),AND('4-man'!BO$23="ST&gt;3",BO133&gt;=100),AND('4-man'!BO$25="ST&gt;3",BO149&gt;=100))))),'4-man'!BO$21,0)</f>
        <v/>
      </c>
      <c r="BP148">
        <f>IF(OR('4-man'!BP$24="P",'4-man'!BP$24="R",AND('4-man'!BP$21&lt;=IF('4-man'!$BF$4="",999,'4-man'!$BF$4),OR('4-man'!BP$24="D",LEFT('4-man'!BP$24,3)="ST&gt;",OR(AND('4-man'!BP$22="ST&gt;3",BP125&gt;=100),AND('4-man'!BP$23="ST&gt;3",BP133&gt;=100),AND('4-man'!BP$25="ST&gt;3",BP149&gt;=100))))),'4-man'!BP$21,0)</f>
        <v/>
      </c>
      <c r="BQ148">
        <f>IF(OR('4-man'!BQ$24="P",'4-man'!BQ$24="R",AND('4-man'!BQ$21&lt;=IF('4-man'!$BF$4="",999,'4-man'!$BF$4),OR('4-man'!BQ$24="D",LEFT('4-man'!BQ$24,3)="ST&gt;",OR(AND('4-man'!BQ$22="ST&gt;3",BQ125&gt;=100),AND('4-man'!BQ$23="ST&gt;3",BQ133&gt;=100),AND('4-man'!BQ$25="ST&gt;3",BQ149&gt;=100))))),'4-man'!BQ$21,0)</f>
        <v/>
      </c>
      <c r="BR148">
        <f>IF(OR('4-man'!BR$24="P",'4-man'!BR$24="R",AND('4-man'!BR$21&lt;=IF('4-man'!$BF$4="",999,'4-man'!$BF$4),OR('4-man'!BR$24="D",LEFT('4-man'!BR$24,3)="ST&gt;",OR(AND('4-man'!BR$22="ST&gt;3",BR125&gt;=100),AND('4-man'!BR$23="ST&gt;3",BR133&gt;=100),AND('4-man'!BR$25="ST&gt;3",BR149&gt;=100))))),'4-man'!BR$21,0)</f>
        <v/>
      </c>
      <c r="BS148">
        <f>IF(OR('4-man'!BS$24="P",'4-man'!BS$24="R",AND('4-man'!BS$21&lt;=IF('4-man'!$BF$4="",999,'4-man'!$BF$4),OR('4-man'!BS$24="D",LEFT('4-man'!BS$24,3)="ST&gt;",OR(AND('4-man'!BS$22="ST&gt;3",BS125&gt;=100),AND('4-man'!BS$23="ST&gt;3",BS133&gt;=100),AND('4-man'!BS$25="ST&gt;3",BS149&gt;=100))))),'4-man'!BS$21,0)</f>
        <v/>
      </c>
      <c r="BT148">
        <f>IF(OR('4-man'!BT$24="P",'4-man'!BT$24="R",AND('4-man'!BT$21&lt;=IF('4-man'!$BF$4="",999,'4-man'!$BF$4),OR('4-man'!BT$24="D",LEFT('4-man'!BT$24,3)="ST&gt;",OR(AND('4-man'!BT$22="ST&gt;3",BT125&gt;=100),AND('4-man'!BT$23="ST&gt;3",BT133&gt;=100),AND('4-man'!BT$25="ST&gt;3",BT149&gt;=100))))),'4-man'!BT$21,0)</f>
        <v/>
      </c>
      <c r="BU148">
        <f>IF(OR('4-man'!BU$24="P",'4-man'!BU$24="R",AND('4-man'!BU$21&lt;=IF('4-man'!$BF$4="",999,'4-man'!$BF$4),OR('4-man'!BU$24="D",LEFT('4-man'!BU$24,3)="ST&gt;",OR(AND('4-man'!BU$22="ST&gt;3",BU125&gt;=100),AND('4-man'!BU$23="ST&gt;3",BU133&gt;=100),AND('4-man'!BU$25="ST&gt;3",BU149&gt;=100))))),'4-man'!BU$21,0)</f>
        <v/>
      </c>
      <c r="BV148">
        <f>IF(OR('4-man'!BV$24="P",'4-man'!BV$24="R",AND('4-man'!BV$21&lt;=IF('4-man'!$BF$4="",999,'4-man'!$BF$4),OR('4-man'!BV$24="D",LEFT('4-man'!BV$24,3)="ST&gt;",OR(AND('4-man'!BV$22="ST&gt;3",BV125&gt;=100),AND('4-man'!BV$23="ST&gt;3",BV133&gt;=100),AND('4-man'!BV$25="ST&gt;3",BV149&gt;=100))))),'4-man'!BV$21,0)</f>
        <v/>
      </c>
      <c r="BW148">
        <f>IF(OR('4-man'!BW$24="P",'4-man'!BW$24="R",AND('4-man'!BW$21&lt;=IF('4-man'!$BF$4="",999,'4-man'!$BF$4),OR('4-man'!BW$24="D",LEFT('4-man'!BW$24,3)="ST&gt;",OR(AND('4-man'!BW$22="ST&gt;3",BW125&gt;=100),AND('4-man'!BW$23="ST&gt;3",BW133&gt;=100),AND('4-man'!BW$25="ST&gt;3",BW149&gt;=100))))),'4-man'!BW$21,0)</f>
        <v/>
      </c>
      <c r="BX148">
        <f>IF(OR('4-man'!BX$24="P",'4-man'!BX$24="R",AND('4-man'!BX$21&lt;=IF('4-man'!$BF$4="",999,'4-man'!$BF$4),OR('4-man'!BX$24="D",LEFT('4-man'!BX$24,3)="ST&gt;",OR(AND('4-man'!BX$22="ST&gt;3",BX125&gt;=100),AND('4-man'!BX$23="ST&gt;3",BX133&gt;=100),AND('4-man'!BX$25="ST&gt;3",BX149&gt;=100))))),'4-man'!BX$21,0)</f>
        <v/>
      </c>
      <c r="BY148">
        <f>IF(OR('4-man'!BY$24="P",'4-man'!BY$24="R",AND('4-man'!BY$21&lt;=IF('4-man'!$BF$4="",999,'4-man'!$BF$4),OR('4-man'!BY$24="D",LEFT('4-man'!BY$24,3)="ST&gt;",OR(AND('4-man'!BY$22="ST&gt;3",BY125&gt;=100),AND('4-man'!BY$23="ST&gt;3",BY133&gt;=100),AND('4-man'!BY$25="ST&gt;3",BY149&gt;=100))))),'4-man'!BY$21,0)</f>
        <v/>
      </c>
      <c r="BZ148">
        <f>IF(OR('4-man'!BZ$24="P",'4-man'!BZ$24="R",AND('4-man'!BZ$21&lt;=IF('4-man'!$BF$4="",999,'4-man'!$BF$4),OR('4-man'!BZ$24="D",LEFT('4-man'!BZ$24,3)="ST&gt;",OR(AND('4-man'!BZ$22="ST&gt;3",BZ125&gt;=100),AND('4-man'!BZ$23="ST&gt;3",BZ133&gt;=100),AND('4-man'!BZ$25="ST&gt;3",BZ149&gt;=100))))),'4-man'!BZ$21,0)</f>
        <v/>
      </c>
      <c r="CA148">
        <f>IF(OR('4-man'!CA$24="P",'4-man'!CA$24="R",AND('4-man'!CA$21&lt;=IF('4-man'!$BF$4="",999,'4-man'!$BF$4),OR('4-man'!CA$24="D",LEFT('4-man'!CA$24,3)="ST&gt;",OR(AND('4-man'!CA$22="ST&gt;3",CA125&gt;=100),AND('4-man'!CA$23="ST&gt;3",CA133&gt;=100),AND('4-man'!CA$25="ST&gt;3",CA149&gt;=100))))),'4-man'!CA$21,0)</f>
        <v/>
      </c>
      <c r="CB148">
        <f>IF(OR('4-man'!CB$24="P",'4-man'!CB$24="R",AND('4-man'!CB$21&lt;=IF('4-man'!$BF$4="",999,'4-man'!$BF$4),OR('4-man'!CB$24="D",LEFT('4-man'!CB$24,3)="ST&gt;",OR(AND('4-man'!CB$22="ST&gt;3",CB125&gt;=100),AND('4-man'!CB$23="ST&gt;3",CB133&gt;=100),AND('4-man'!CB$25="ST&gt;3",CB149&gt;=100))))),'4-man'!CB$21,0)</f>
        <v/>
      </c>
      <c r="CC148">
        <f>IF(OR('4-man'!CC$24="P",'4-man'!CC$24="R",AND('4-man'!CC$21&lt;=IF('4-man'!$BF$4="",999,'4-man'!$BF$4),OR('4-man'!CC$24="D",LEFT('4-man'!CC$24,3)="ST&gt;",OR(AND('4-man'!CC$22="ST&gt;3",CC125&gt;=100),AND('4-man'!CC$23="ST&gt;3",CC133&gt;=100),AND('4-man'!CC$25="ST&gt;3",CC149&gt;=100))))),'4-man'!CC$21,0)</f>
        <v/>
      </c>
      <c r="CD148">
        <f>IF(OR('4-man'!CD$24="P",'4-man'!CD$24="R",AND('4-man'!CD$21&lt;=IF('4-man'!$BF$4="",999,'4-man'!$BF$4),OR('4-man'!CD$24="D",LEFT('4-man'!CD$24,3)="ST&gt;",OR(AND('4-man'!CD$22="ST&gt;3",CD125&gt;=100),AND('4-man'!CD$23="ST&gt;3",CD133&gt;=100),AND('4-man'!CD$25="ST&gt;3",CD149&gt;=100))))),'4-man'!CD$21,0)</f>
        <v/>
      </c>
    </row>
    <row r="149">
      <c r="A149" t="inlineStr">
        <is>
          <t>P4 s1</t>
        </is>
      </c>
      <c r="C149">
        <f>MIN(100,B150+IF(AND(B150&lt;100,B151+1&gt;=IF(OR('4-man'!$F$7=TRUE,'4-man'!$F$7="TRUE",'4-man'!$F$7="Yes"),25,50)),10,0)+IF('4-man'!C$21=$Q$155,25,0))</f>
        <v/>
      </c>
      <c r="D149">
        <f>MIN(100,C150+IF(AND(C150&lt;100,C151+1&gt;=IF(OR('4-man'!$F$7=TRUE,'4-man'!$F$7="TRUE",'4-man'!$F$7="Yes"),25,50)),10,0)+IF('4-man'!D$21=$Q$155,25,0))</f>
        <v/>
      </c>
      <c r="E149">
        <f>MIN(100,D150+IF(AND(D150&lt;100,D151+1&gt;=IF(OR('4-man'!$F$7=TRUE,'4-man'!$F$7="TRUE",'4-man'!$F$7="Yes"),25,50)),10,0)+IF('4-man'!E$21=$Q$155,25,0))</f>
        <v/>
      </c>
      <c r="F149">
        <f>MIN(100,E150+IF(AND(E150&lt;100,E151+1&gt;=IF(OR('4-man'!$F$7=TRUE,'4-man'!$F$7="TRUE",'4-man'!$F$7="Yes"),25,50)),10,0)+IF('4-man'!F$21=$Q$155,25,0))</f>
        <v/>
      </c>
      <c r="G149">
        <f>MIN(100,F150+IF(AND(F150&lt;100,F151+1&gt;=IF(OR('4-man'!$F$7=TRUE,'4-man'!$F$7="TRUE",'4-man'!$F$7="Yes"),25,50)),10,0)+IF('4-man'!G$21=$Q$155,25,0))</f>
        <v/>
      </c>
      <c r="H149">
        <f>MIN(100,G150+IF(AND(G150&lt;100,G151+1&gt;=IF(OR('4-man'!$F$7=TRUE,'4-man'!$F$7="TRUE",'4-man'!$F$7="Yes"),25,50)),10,0)+IF('4-man'!H$21=$Q$155,25,0))</f>
        <v/>
      </c>
      <c r="I149">
        <f>MIN(100,H150+IF(AND(H150&lt;100,H151+1&gt;=IF(OR('4-man'!$F$7=TRUE,'4-man'!$F$7="TRUE",'4-man'!$F$7="Yes"),25,50)),10,0)+IF('4-man'!I$21=$Q$155,25,0))</f>
        <v/>
      </c>
      <c r="J149">
        <f>MIN(100,I150+IF(AND(I150&lt;100,I151+1&gt;=IF(OR('4-man'!$F$7=TRUE,'4-man'!$F$7="TRUE",'4-man'!$F$7="Yes"),25,50)),10,0)+IF('4-man'!J$21=$Q$155,25,0))</f>
        <v/>
      </c>
      <c r="K149">
        <f>MIN(100,J150+IF(AND(J150&lt;100,J151+1&gt;=IF(OR('4-man'!$F$7=TRUE,'4-man'!$F$7="TRUE",'4-man'!$F$7="Yes"),25,50)),10,0)+IF('4-man'!K$21=$Q$155,25,0))</f>
        <v/>
      </c>
      <c r="L149">
        <f>MIN(100,K150+IF(AND(K150&lt;100,K151+1&gt;=IF(OR('4-man'!$F$7=TRUE,'4-man'!$F$7="TRUE",'4-man'!$F$7="Yes"),25,50)),10,0)+IF('4-man'!L$21=$Q$155,25,0))</f>
        <v/>
      </c>
      <c r="M149">
        <f>MIN(100,L150+IF(AND(L150&lt;100,L151+1&gt;=IF(OR('4-man'!$F$7=TRUE,'4-man'!$F$7="TRUE",'4-man'!$F$7="Yes"),25,50)),10,0)+IF('4-man'!M$21=$Q$155,25,0))</f>
        <v/>
      </c>
      <c r="N149">
        <f>MIN(100,M150+IF(AND(M150&lt;100,M151+1&gt;=IF(OR('4-man'!$F$7=TRUE,'4-man'!$F$7="TRUE",'4-man'!$F$7="Yes"),25,50)),10,0)+IF('4-man'!N$21=$Q$155,25,0))</f>
        <v/>
      </c>
      <c r="O149">
        <f>MIN(100,N150+IF(AND(N150&lt;100,N151+1&gt;=IF(OR('4-man'!$F$7=TRUE,'4-man'!$F$7="TRUE",'4-man'!$F$7="Yes"),25,50)),10,0)+IF('4-man'!O$21=$Q$155,25,0))</f>
        <v/>
      </c>
      <c r="P149">
        <f>MIN(100,O150+IF(AND(O150&lt;100,O151+1&gt;=IF(OR('4-man'!$F$7=TRUE,'4-man'!$F$7="TRUE",'4-man'!$F$7="Yes"),25,50)),10,0)+IF('4-man'!P$21=$Q$155,25,0))</f>
        <v/>
      </c>
      <c r="Q149">
        <f>MIN(100,P150+IF(AND(P150&lt;100,P151+1&gt;=IF(OR('4-man'!$F$7=TRUE,'4-man'!$F$7="TRUE",'4-man'!$F$7="Yes"),25,50)),10,0)+IF('4-man'!Q$21=$Q$155,25,0))</f>
        <v/>
      </c>
      <c r="R149">
        <f>MIN(100,Q150+IF(AND(Q150&lt;100,Q151+1&gt;=IF(OR('4-man'!$F$7=TRUE,'4-man'!$F$7="TRUE",'4-man'!$F$7="Yes"),25,50)),10,0)+IF('4-man'!R$21=$Q$155,25,0))</f>
        <v/>
      </c>
      <c r="S149">
        <f>MIN(100,R150+IF(AND(R150&lt;100,R151+1&gt;=IF(OR('4-man'!$F$7=TRUE,'4-man'!$F$7="TRUE",'4-man'!$F$7="Yes"),25,50)),10,0)+IF('4-man'!S$21=$Q$155,25,0))</f>
        <v/>
      </c>
      <c r="T149">
        <f>MIN(100,S150+IF(AND(S150&lt;100,S151+1&gt;=IF(OR('4-man'!$F$7=TRUE,'4-man'!$F$7="TRUE",'4-man'!$F$7="Yes"),25,50)),10,0)+IF('4-man'!T$21=$Q$155,25,0))</f>
        <v/>
      </c>
      <c r="U149">
        <f>MIN(100,T150+IF(AND(T150&lt;100,T151+1&gt;=IF(OR('4-man'!$F$7=TRUE,'4-man'!$F$7="TRUE",'4-man'!$F$7="Yes"),25,50)),10,0)+IF('4-man'!U$21=$Q$155,25,0))</f>
        <v/>
      </c>
      <c r="V149">
        <f>MIN(100,U150+IF(AND(U150&lt;100,U151+1&gt;=IF(OR('4-man'!$F$7=TRUE,'4-man'!$F$7="TRUE",'4-man'!$F$7="Yes"),25,50)),10,0)+IF('4-man'!V$21=$Q$155,25,0))</f>
        <v/>
      </c>
      <c r="W149">
        <f>MIN(100,V150+IF(AND(V150&lt;100,V151+1&gt;=IF(OR('4-man'!$F$7=TRUE,'4-man'!$F$7="TRUE",'4-man'!$F$7="Yes"),25,50)),10,0)+IF('4-man'!W$21=$Q$155,25,0))</f>
        <v/>
      </c>
      <c r="X149">
        <f>MIN(100,W150+IF(AND(W150&lt;100,W151+1&gt;=IF(OR('4-man'!$F$7=TRUE,'4-man'!$F$7="TRUE",'4-man'!$F$7="Yes"),25,50)),10,0)+IF('4-man'!X$21=$Q$155,25,0))</f>
        <v/>
      </c>
      <c r="Y149">
        <f>MIN(100,X150+IF(AND(X150&lt;100,X151+1&gt;=IF(OR('4-man'!$F$7=TRUE,'4-man'!$F$7="TRUE",'4-man'!$F$7="Yes"),25,50)),10,0)+IF('4-man'!Y$21=$Q$155,25,0))</f>
        <v/>
      </c>
      <c r="Z149">
        <f>MIN(100,Y150+IF(AND(Y150&lt;100,Y151+1&gt;=IF(OR('4-man'!$F$7=TRUE,'4-man'!$F$7="TRUE",'4-man'!$F$7="Yes"),25,50)),10,0)+IF('4-man'!Z$21=$Q$155,25,0))</f>
        <v/>
      </c>
      <c r="AA149">
        <f>MIN(100,Z150+IF(AND(Z150&lt;100,Z151+1&gt;=IF(OR('4-man'!$F$7=TRUE,'4-man'!$F$7="TRUE",'4-man'!$F$7="Yes"),25,50)),10,0)+IF('4-man'!AA$21=$Q$155,25,0))</f>
        <v/>
      </c>
      <c r="AB149">
        <f>MIN(100,AA150+IF(AND(AA150&lt;100,AA151+1&gt;=IF(OR('4-man'!$F$7=TRUE,'4-man'!$F$7="TRUE",'4-man'!$F$7="Yes"),25,50)),10,0)+IF('4-man'!AB$21=$Q$155,25,0))</f>
        <v/>
      </c>
      <c r="AC149">
        <f>MIN(100,AB150+IF(AND(AB150&lt;100,AB151+1&gt;=IF(OR('4-man'!$F$7=TRUE,'4-man'!$F$7="TRUE",'4-man'!$F$7="Yes"),25,50)),10,0)+IF('4-man'!AC$21=$Q$155,25,0))</f>
        <v/>
      </c>
      <c r="AD149">
        <f>MIN(100,AC150+IF(AND(AC150&lt;100,AC151+1&gt;=IF(OR('4-man'!$F$7=TRUE,'4-man'!$F$7="TRUE",'4-man'!$F$7="Yes"),25,50)),10,0)+IF('4-man'!AD$21=$Q$155,25,0))</f>
        <v/>
      </c>
      <c r="AE149">
        <f>MIN(100,AD150+IF(AND(AD150&lt;100,AD151+1&gt;=IF(OR('4-man'!$F$7=TRUE,'4-man'!$F$7="TRUE",'4-man'!$F$7="Yes"),25,50)),10,0)+IF('4-man'!AE$21=$Q$155,25,0))</f>
        <v/>
      </c>
      <c r="AF149">
        <f>MIN(100,AE150+IF(AND(AE150&lt;100,AE151+1&gt;=IF(OR('4-man'!$F$7=TRUE,'4-man'!$F$7="TRUE",'4-man'!$F$7="Yes"),25,50)),10,0)+IF('4-man'!AF$21=$Q$155,25,0))</f>
        <v/>
      </c>
      <c r="AG149">
        <f>MIN(100,AF150+IF(AND(AF150&lt;100,AF151+1&gt;=IF(OR('4-man'!$F$7=TRUE,'4-man'!$F$7="TRUE",'4-man'!$F$7="Yes"),25,50)),10,0)+IF('4-man'!AG$21=$Q$155,25,0))</f>
        <v/>
      </c>
      <c r="AH149">
        <f>MIN(100,AG150+IF(AND(AG150&lt;100,AG151+1&gt;=IF(OR('4-man'!$F$7=TRUE,'4-man'!$F$7="TRUE",'4-man'!$F$7="Yes"),25,50)),10,0)+IF('4-man'!AH$21=$Q$155,25,0))</f>
        <v/>
      </c>
      <c r="AI149">
        <f>MIN(100,AH150+IF(AND(AH150&lt;100,AH151+1&gt;=IF(OR('4-man'!$F$7=TRUE,'4-man'!$F$7="TRUE",'4-man'!$F$7="Yes"),25,50)),10,0)+IF('4-man'!AI$21=$Q$155,25,0))</f>
        <v/>
      </c>
      <c r="AJ149">
        <f>MIN(100,AI150+IF(AND(AI150&lt;100,AI151+1&gt;=IF(OR('4-man'!$F$7=TRUE,'4-man'!$F$7="TRUE",'4-man'!$F$7="Yes"),25,50)),10,0)+IF('4-man'!AJ$21=$Q$155,25,0))</f>
        <v/>
      </c>
      <c r="AK149">
        <f>MIN(100,AJ150+IF(AND(AJ150&lt;100,AJ151+1&gt;=IF(OR('4-man'!$F$7=TRUE,'4-man'!$F$7="TRUE",'4-man'!$F$7="Yes"),25,50)),10,0)+IF('4-man'!AK$21=$Q$155,25,0))</f>
        <v/>
      </c>
      <c r="AL149">
        <f>MIN(100,AK150+IF(AND(AK150&lt;100,AK151+1&gt;=IF(OR('4-man'!$F$7=TRUE,'4-man'!$F$7="TRUE",'4-man'!$F$7="Yes"),25,50)),10,0)+IF('4-man'!AL$21=$Q$155,25,0))</f>
        <v/>
      </c>
      <c r="AM149">
        <f>MIN(100,AL150+IF(AND(AL150&lt;100,AL151+1&gt;=IF(OR('4-man'!$F$7=TRUE,'4-man'!$F$7="TRUE",'4-man'!$F$7="Yes"),25,50)),10,0)+IF('4-man'!AM$21=$Q$155,25,0))</f>
        <v/>
      </c>
      <c r="AN149">
        <f>MIN(100,AM150+IF(AND(AM150&lt;100,AM151+1&gt;=IF(OR('4-man'!$F$7=TRUE,'4-man'!$F$7="TRUE",'4-man'!$F$7="Yes"),25,50)),10,0)+IF('4-man'!AN$21=$Q$155,25,0))</f>
        <v/>
      </c>
      <c r="AO149">
        <f>MIN(100,AN150+IF(AND(AN150&lt;100,AN151+1&gt;=IF(OR('4-man'!$F$7=TRUE,'4-man'!$F$7="TRUE",'4-man'!$F$7="Yes"),25,50)),10,0)+IF('4-man'!AO$21=$Q$155,25,0))</f>
        <v/>
      </c>
      <c r="AP149">
        <f>MIN(100,AO150+IF(AND(AO150&lt;100,AO151+1&gt;=IF(OR('4-man'!$F$7=TRUE,'4-man'!$F$7="TRUE",'4-man'!$F$7="Yes"),25,50)),10,0)+IF('4-man'!AP$21=$Q$155,25,0))</f>
        <v/>
      </c>
      <c r="AQ149">
        <f>MIN(100,AP150+IF(AND(AP150&lt;100,AP151+1&gt;=IF(OR('4-man'!$F$7=TRUE,'4-man'!$F$7="TRUE",'4-man'!$F$7="Yes"),25,50)),10,0)+IF('4-man'!AQ$21=$Q$155,25,0))</f>
        <v/>
      </c>
      <c r="AR149">
        <f>MIN(100,AQ150+IF(AND(AQ150&lt;100,AQ151+1&gt;=IF(OR('4-man'!$F$7=TRUE,'4-man'!$F$7="TRUE",'4-man'!$F$7="Yes"),25,50)),10,0)+IF('4-man'!AR$21=$Q$155,25,0))</f>
        <v/>
      </c>
      <c r="AS149">
        <f>MIN(100,AR150+IF(AND(AR150&lt;100,AR151+1&gt;=IF(OR('4-man'!$F$7=TRUE,'4-man'!$F$7="TRUE",'4-man'!$F$7="Yes"),25,50)),10,0)+IF('4-man'!AS$21=$Q$155,25,0))</f>
        <v/>
      </c>
      <c r="AT149">
        <f>MIN(100,AS150+IF(AND(AS150&lt;100,AS151+1&gt;=IF(OR('4-man'!$F$7=TRUE,'4-man'!$F$7="TRUE",'4-man'!$F$7="Yes"),25,50)),10,0)+IF('4-man'!AT$21=$Q$155,25,0))</f>
        <v/>
      </c>
      <c r="AU149">
        <f>MIN(100,AT150+IF(AND(AT150&lt;100,AT151+1&gt;=IF(OR('4-man'!$F$7=TRUE,'4-man'!$F$7="TRUE",'4-man'!$F$7="Yes"),25,50)),10,0)+IF('4-man'!AU$21=$Q$155,25,0))</f>
        <v/>
      </c>
      <c r="AV149">
        <f>MIN(100,AU150+IF(AND(AU150&lt;100,AU151+1&gt;=IF(OR('4-man'!$F$7=TRUE,'4-man'!$F$7="TRUE",'4-man'!$F$7="Yes"),25,50)),10,0)+IF('4-man'!AV$21=$Q$155,25,0))</f>
        <v/>
      </c>
      <c r="AW149">
        <f>MIN(100,AV150+IF(AND(AV150&lt;100,AV151+1&gt;=IF(OR('4-man'!$F$7=TRUE,'4-man'!$F$7="TRUE",'4-man'!$F$7="Yes"),25,50)),10,0)+IF('4-man'!AW$21=$Q$155,25,0))</f>
        <v/>
      </c>
      <c r="AX149">
        <f>MIN(100,AW150+IF(AND(AW150&lt;100,AW151+1&gt;=IF(OR('4-man'!$F$7=TRUE,'4-man'!$F$7="TRUE",'4-man'!$F$7="Yes"),25,50)),10,0)+IF('4-man'!AX$21=$Q$155,25,0))</f>
        <v/>
      </c>
      <c r="AY149">
        <f>MIN(100,AX150+IF(AND(AX150&lt;100,AX151+1&gt;=IF(OR('4-man'!$F$7=TRUE,'4-man'!$F$7="TRUE",'4-man'!$F$7="Yes"),25,50)),10,0)+IF('4-man'!AY$21=$Q$155,25,0))</f>
        <v/>
      </c>
      <c r="AZ149">
        <f>MIN(100,AY150+IF(AND(AY150&lt;100,AY151+1&gt;=IF(OR('4-man'!$F$7=TRUE,'4-man'!$F$7="TRUE",'4-man'!$F$7="Yes"),25,50)),10,0)+IF('4-man'!AZ$21=$Q$155,25,0))</f>
        <v/>
      </c>
      <c r="BA149">
        <f>MIN(100,AZ150+IF(AND(AZ150&lt;100,AZ151+1&gt;=IF(OR('4-man'!$F$7=TRUE,'4-man'!$F$7="TRUE",'4-man'!$F$7="Yes"),25,50)),10,0)+IF('4-man'!BA$21=$Q$155,25,0))</f>
        <v/>
      </c>
      <c r="BB149">
        <f>MIN(100,BA150+IF(AND(BA150&lt;100,BA151+1&gt;=IF(OR('4-man'!$F$7=TRUE,'4-man'!$F$7="TRUE",'4-man'!$F$7="Yes"),25,50)),10,0)+IF('4-man'!BB$21=$Q$155,25,0))</f>
        <v/>
      </c>
      <c r="BC149">
        <f>MIN(100,BB150+IF(AND(BB150&lt;100,BB151+1&gt;=IF(OR('4-man'!$F$7=TRUE,'4-man'!$F$7="TRUE",'4-man'!$F$7="Yes"),25,50)),10,0)+IF('4-man'!BC$21=$Q$155,25,0))</f>
        <v/>
      </c>
      <c r="BD149">
        <f>MIN(100,BC150+IF(AND(BC150&lt;100,BC151+1&gt;=IF(OR('4-man'!$F$7=TRUE,'4-man'!$F$7="TRUE",'4-man'!$F$7="Yes"),25,50)),10,0)+IF('4-man'!BD$21=$Q$155,25,0))</f>
        <v/>
      </c>
      <c r="BE149">
        <f>MIN(100,BD150+IF(AND(BD150&lt;100,BD151+1&gt;=IF(OR('4-man'!$F$7=TRUE,'4-man'!$F$7="TRUE",'4-man'!$F$7="Yes"),25,50)),10,0)+IF('4-man'!BE$21=$Q$155,25,0))</f>
        <v/>
      </c>
      <c r="BF149">
        <f>MIN(100,BE150+IF(AND(BE150&lt;100,BE151+1&gt;=IF(OR('4-man'!$F$7=TRUE,'4-man'!$F$7="TRUE",'4-man'!$F$7="Yes"),25,50)),10,0)+IF('4-man'!BF$21=$Q$155,25,0))</f>
        <v/>
      </c>
      <c r="BG149">
        <f>MIN(100,BF150+IF(AND(BF150&lt;100,BF151+1&gt;=IF(OR('4-man'!$F$7=TRUE,'4-man'!$F$7="TRUE",'4-man'!$F$7="Yes"),25,50)),10,0)+IF('4-man'!BG$21=$Q$155,25,0))</f>
        <v/>
      </c>
      <c r="BH149">
        <f>MIN(100,BG150+IF(AND(BG150&lt;100,BG151+1&gt;=IF(OR('4-man'!$F$7=TRUE,'4-man'!$F$7="TRUE",'4-man'!$F$7="Yes"),25,50)),10,0)+IF('4-man'!BH$21=$Q$155,25,0))</f>
        <v/>
      </c>
      <c r="BI149">
        <f>MIN(100,BH150+IF(AND(BH150&lt;100,BH151+1&gt;=IF(OR('4-man'!$F$7=TRUE,'4-man'!$F$7="TRUE",'4-man'!$F$7="Yes"),25,50)),10,0)+IF('4-man'!BI$21=$Q$155,25,0))</f>
        <v/>
      </c>
      <c r="BJ149">
        <f>MIN(100,BI150+IF(AND(BI150&lt;100,BI151+1&gt;=IF(OR('4-man'!$F$7=TRUE,'4-man'!$F$7="TRUE",'4-man'!$F$7="Yes"),25,50)),10,0)+IF('4-man'!BJ$21=$Q$155,25,0))</f>
        <v/>
      </c>
      <c r="BK149">
        <f>MIN(100,BJ150+IF(AND(BJ150&lt;100,BJ151+1&gt;=IF(OR('4-man'!$F$7=TRUE,'4-man'!$F$7="TRUE",'4-man'!$F$7="Yes"),25,50)),10,0)+IF('4-man'!BK$21=$Q$155,25,0))</f>
        <v/>
      </c>
      <c r="BL149">
        <f>MIN(100,BK150+IF(AND(BK150&lt;100,BK151+1&gt;=IF(OR('4-man'!$F$7=TRUE,'4-man'!$F$7="TRUE",'4-man'!$F$7="Yes"),25,50)),10,0)+IF('4-man'!BL$21=$Q$155,25,0))</f>
        <v/>
      </c>
      <c r="BM149">
        <f>MIN(100,BL150+IF(AND(BL150&lt;100,BL151+1&gt;=IF(OR('4-man'!$F$7=TRUE,'4-man'!$F$7="TRUE",'4-man'!$F$7="Yes"),25,50)),10,0)+IF('4-man'!BM$21=$Q$155,25,0))</f>
        <v/>
      </c>
      <c r="BN149">
        <f>MIN(100,BM150+IF(AND(BM150&lt;100,BM151+1&gt;=IF(OR('4-man'!$F$7=TRUE,'4-man'!$F$7="TRUE",'4-man'!$F$7="Yes"),25,50)),10,0)+IF('4-man'!BN$21=$Q$155,25,0))</f>
        <v/>
      </c>
      <c r="BO149">
        <f>MIN(100,BN150+IF(AND(BN150&lt;100,BN151+1&gt;=IF(OR('4-man'!$F$7=TRUE,'4-man'!$F$7="TRUE",'4-man'!$F$7="Yes"),25,50)),10,0)+IF('4-man'!BO$21=$Q$155,25,0))</f>
        <v/>
      </c>
      <c r="BP149">
        <f>MIN(100,BO150+IF(AND(BO150&lt;100,BO151+1&gt;=IF(OR('4-man'!$F$7=TRUE,'4-man'!$F$7="TRUE",'4-man'!$F$7="Yes"),25,50)),10,0)+IF('4-man'!BP$21=$Q$155,25,0))</f>
        <v/>
      </c>
      <c r="BQ149">
        <f>MIN(100,BP150+IF(AND(BP150&lt;100,BP151+1&gt;=IF(OR('4-man'!$F$7=TRUE,'4-man'!$F$7="TRUE",'4-man'!$F$7="Yes"),25,50)),10,0)+IF('4-man'!BQ$21=$Q$155,25,0))</f>
        <v/>
      </c>
      <c r="BR149">
        <f>MIN(100,BQ150+IF(AND(BQ150&lt;100,BQ151+1&gt;=IF(OR('4-man'!$F$7=TRUE,'4-man'!$F$7="TRUE",'4-man'!$F$7="Yes"),25,50)),10,0)+IF('4-man'!BR$21=$Q$155,25,0))</f>
        <v/>
      </c>
      <c r="BS149">
        <f>MIN(100,BR150+IF(AND(BR150&lt;100,BR151+1&gt;=IF(OR('4-man'!$F$7=TRUE,'4-man'!$F$7="TRUE",'4-man'!$F$7="Yes"),25,50)),10,0)+IF('4-man'!BS$21=$Q$155,25,0))</f>
        <v/>
      </c>
      <c r="BT149">
        <f>MIN(100,BS150+IF(AND(BS150&lt;100,BS151+1&gt;=IF(OR('4-man'!$F$7=TRUE,'4-man'!$F$7="TRUE",'4-man'!$F$7="Yes"),25,50)),10,0)+IF('4-man'!BT$21=$Q$155,25,0))</f>
        <v/>
      </c>
      <c r="BU149">
        <f>MIN(100,BT150+IF(AND(BT150&lt;100,BT151+1&gt;=IF(OR('4-man'!$F$7=TRUE,'4-man'!$F$7="TRUE",'4-man'!$F$7="Yes"),25,50)),10,0)+IF('4-man'!BU$21=$Q$155,25,0))</f>
        <v/>
      </c>
      <c r="BV149">
        <f>MIN(100,BU150+IF(AND(BU150&lt;100,BU151+1&gt;=IF(OR('4-man'!$F$7=TRUE,'4-man'!$F$7="TRUE",'4-man'!$F$7="Yes"),25,50)),10,0)+IF('4-man'!BV$21=$Q$155,25,0))</f>
        <v/>
      </c>
      <c r="BW149">
        <f>MIN(100,BV150+IF(AND(BV150&lt;100,BV151+1&gt;=IF(OR('4-man'!$F$7=TRUE,'4-man'!$F$7="TRUE",'4-man'!$F$7="Yes"),25,50)),10,0)+IF('4-man'!BW$21=$Q$155,25,0))</f>
        <v/>
      </c>
      <c r="BX149">
        <f>MIN(100,BW150+IF(AND(BW150&lt;100,BW151+1&gt;=IF(OR('4-man'!$F$7=TRUE,'4-man'!$F$7="TRUE",'4-man'!$F$7="Yes"),25,50)),10,0)+IF('4-man'!BX$21=$Q$155,25,0))</f>
        <v/>
      </c>
      <c r="BY149">
        <f>MIN(100,BX150+IF(AND(BX150&lt;100,BX151+1&gt;=IF(OR('4-man'!$F$7=TRUE,'4-man'!$F$7="TRUE",'4-man'!$F$7="Yes"),25,50)),10,0)+IF('4-man'!BY$21=$Q$155,25,0))</f>
        <v/>
      </c>
      <c r="BZ149">
        <f>MIN(100,BY150+IF(AND(BY150&lt;100,BY151+1&gt;=IF(OR('4-man'!$F$7=TRUE,'4-man'!$F$7="TRUE",'4-man'!$F$7="Yes"),25,50)),10,0)+IF('4-man'!BZ$21=$Q$155,25,0))</f>
        <v/>
      </c>
      <c r="CA149">
        <f>MIN(100,BZ150+IF(AND(BZ150&lt;100,BZ151+1&gt;=IF(OR('4-man'!$F$7=TRUE,'4-man'!$F$7="TRUE",'4-man'!$F$7="Yes"),25,50)),10,0)+IF('4-man'!CA$21=$Q$155,25,0))</f>
        <v/>
      </c>
      <c r="CB149">
        <f>MIN(100,CA150+IF(AND(CA150&lt;100,CA151+1&gt;=IF(OR('4-man'!$F$7=TRUE,'4-man'!$F$7="TRUE",'4-man'!$F$7="Yes"),25,50)),10,0)+IF('4-man'!CB$21=$Q$155,25,0))</f>
        <v/>
      </c>
      <c r="CC149">
        <f>MIN(100,CB150+IF(AND(CB150&lt;100,CB151+1&gt;=IF(OR('4-man'!$F$7=TRUE,'4-man'!$F$7="TRUE",'4-man'!$F$7="Yes"),25,50)),10,0)+IF('4-man'!CC$21=$Q$155,25,0))</f>
        <v/>
      </c>
      <c r="CD149">
        <f>MIN(100,CC150+IF(AND(CC150&lt;100,CC151+1&gt;=IF(OR('4-man'!$F$7=TRUE,'4-man'!$F$7="TRUE",'4-man'!$F$7="Yes"),25,50)),10,0)+IF('4-man'!CD$21=$Q$155,25,0))</f>
        <v/>
      </c>
    </row>
    <row r="150">
      <c r="A150" t="inlineStr">
        <is>
          <t>P4 spec</t>
        </is>
      </c>
      <c r="B150">
        <f>IF('4-man'!$C$7="",100,'4-man'!$C$7)</f>
        <v/>
      </c>
      <c r="C150">
        <f>IF('4-man'!C$25="R",MIN(100,C149+10),IF('4-man'!C$25="P",MIN(100,C149+25),IF(AND('4-man'!C$25="D",C149&gt;=35,'4-man'!C$21&lt;=IF('4-man'!$BF$4="",999,'4-man'!$BF$4)),C149-35,IF(AND(LEFT('4-man'!C$25,3)="ST&gt;",C149&gt;=100,'4-man'!C$21&lt;=IF('4-man'!$BF$4="",999,'4-man'!$BF$4)),0,IF(AND(OR(AND('4-man'!C$22="ST&gt;4",C125&gt;=100),AND('4-man'!C$23="ST&gt;4",C133&gt;=100),AND('4-man'!C$24="ST&gt;4",C141&gt;=100)),'4-man'!C$21&lt;=IF('4-man'!$BF$4="",999,'4-man'!$BF$4)),100,C149)))))</f>
        <v/>
      </c>
      <c r="D150">
        <f>IF('4-man'!D$25="R",MIN(100,D149+10),IF('4-man'!D$25="P",MIN(100,D149+25),IF(AND('4-man'!D$25="D",D149&gt;=35,'4-man'!D$21&lt;=IF('4-man'!$BF$4="",999,'4-man'!$BF$4)),D149-35,IF(AND(LEFT('4-man'!D$25,3)="ST&gt;",D149&gt;=100,'4-man'!D$21&lt;=IF('4-man'!$BF$4="",999,'4-man'!$BF$4)),0,IF(AND(OR(AND('4-man'!D$22="ST&gt;4",D125&gt;=100),AND('4-man'!D$23="ST&gt;4",D133&gt;=100),AND('4-man'!D$24="ST&gt;4",D141&gt;=100)),'4-man'!D$21&lt;=IF('4-man'!$BF$4="",999,'4-man'!$BF$4)),100,D149)))))</f>
        <v/>
      </c>
      <c r="E150">
        <f>IF('4-man'!E$25="R",MIN(100,E149+10),IF('4-man'!E$25="P",MIN(100,E149+25),IF(AND('4-man'!E$25="D",E149&gt;=35,'4-man'!E$21&lt;=IF('4-man'!$BF$4="",999,'4-man'!$BF$4)),E149-35,IF(AND(LEFT('4-man'!E$25,3)="ST&gt;",E149&gt;=100,'4-man'!E$21&lt;=IF('4-man'!$BF$4="",999,'4-man'!$BF$4)),0,IF(AND(OR(AND('4-man'!E$22="ST&gt;4",E125&gt;=100),AND('4-man'!E$23="ST&gt;4",E133&gt;=100),AND('4-man'!E$24="ST&gt;4",E141&gt;=100)),'4-man'!E$21&lt;=IF('4-man'!$BF$4="",999,'4-man'!$BF$4)),100,E149)))))</f>
        <v/>
      </c>
      <c r="F150">
        <f>IF('4-man'!F$25="R",MIN(100,F149+10),IF('4-man'!F$25="P",MIN(100,F149+25),IF(AND('4-man'!F$25="D",F149&gt;=35,'4-man'!F$21&lt;=IF('4-man'!$BF$4="",999,'4-man'!$BF$4)),F149-35,IF(AND(LEFT('4-man'!F$25,3)="ST&gt;",F149&gt;=100,'4-man'!F$21&lt;=IF('4-man'!$BF$4="",999,'4-man'!$BF$4)),0,IF(AND(OR(AND('4-man'!F$22="ST&gt;4",F125&gt;=100),AND('4-man'!F$23="ST&gt;4",F133&gt;=100),AND('4-man'!F$24="ST&gt;4",F141&gt;=100)),'4-man'!F$21&lt;=IF('4-man'!$BF$4="",999,'4-man'!$BF$4)),100,F149)))))</f>
        <v/>
      </c>
      <c r="G150">
        <f>IF('4-man'!G$25="R",MIN(100,G149+10),IF('4-man'!G$25="P",MIN(100,G149+25),IF(AND('4-man'!G$25="D",G149&gt;=35,'4-man'!G$21&lt;=IF('4-man'!$BF$4="",999,'4-man'!$BF$4)),G149-35,IF(AND(LEFT('4-man'!G$25,3)="ST&gt;",G149&gt;=100,'4-man'!G$21&lt;=IF('4-man'!$BF$4="",999,'4-man'!$BF$4)),0,IF(AND(OR(AND('4-man'!G$22="ST&gt;4",G125&gt;=100),AND('4-man'!G$23="ST&gt;4",G133&gt;=100),AND('4-man'!G$24="ST&gt;4",G141&gt;=100)),'4-man'!G$21&lt;=IF('4-man'!$BF$4="",999,'4-man'!$BF$4)),100,G149)))))</f>
        <v/>
      </c>
      <c r="H150">
        <f>IF('4-man'!H$25="R",MIN(100,H149+10),IF('4-man'!H$25="P",MIN(100,H149+25),IF(AND('4-man'!H$25="D",H149&gt;=35,'4-man'!H$21&lt;=IF('4-man'!$BF$4="",999,'4-man'!$BF$4)),H149-35,IF(AND(LEFT('4-man'!H$25,3)="ST&gt;",H149&gt;=100,'4-man'!H$21&lt;=IF('4-man'!$BF$4="",999,'4-man'!$BF$4)),0,IF(AND(OR(AND('4-man'!H$22="ST&gt;4",H125&gt;=100),AND('4-man'!H$23="ST&gt;4",H133&gt;=100),AND('4-man'!H$24="ST&gt;4",H141&gt;=100)),'4-man'!H$21&lt;=IF('4-man'!$BF$4="",999,'4-man'!$BF$4)),100,H149)))))</f>
        <v/>
      </c>
      <c r="I150">
        <f>IF('4-man'!I$25="R",MIN(100,I149+10),IF('4-man'!I$25="P",MIN(100,I149+25),IF(AND('4-man'!I$25="D",I149&gt;=35,'4-man'!I$21&lt;=IF('4-man'!$BF$4="",999,'4-man'!$BF$4)),I149-35,IF(AND(LEFT('4-man'!I$25,3)="ST&gt;",I149&gt;=100,'4-man'!I$21&lt;=IF('4-man'!$BF$4="",999,'4-man'!$BF$4)),0,IF(AND(OR(AND('4-man'!I$22="ST&gt;4",I125&gt;=100),AND('4-man'!I$23="ST&gt;4",I133&gt;=100),AND('4-man'!I$24="ST&gt;4",I141&gt;=100)),'4-man'!I$21&lt;=IF('4-man'!$BF$4="",999,'4-man'!$BF$4)),100,I149)))))</f>
        <v/>
      </c>
      <c r="J150">
        <f>IF('4-man'!J$25="R",MIN(100,J149+10),IF('4-man'!J$25="P",MIN(100,J149+25),IF(AND('4-man'!J$25="D",J149&gt;=35,'4-man'!J$21&lt;=IF('4-man'!$BF$4="",999,'4-man'!$BF$4)),J149-35,IF(AND(LEFT('4-man'!J$25,3)="ST&gt;",J149&gt;=100,'4-man'!J$21&lt;=IF('4-man'!$BF$4="",999,'4-man'!$BF$4)),0,IF(AND(OR(AND('4-man'!J$22="ST&gt;4",J125&gt;=100),AND('4-man'!J$23="ST&gt;4",J133&gt;=100),AND('4-man'!J$24="ST&gt;4",J141&gt;=100)),'4-man'!J$21&lt;=IF('4-man'!$BF$4="",999,'4-man'!$BF$4)),100,J149)))))</f>
        <v/>
      </c>
      <c r="K150">
        <f>IF('4-man'!K$25="R",MIN(100,K149+10),IF('4-man'!K$25="P",MIN(100,K149+25),IF(AND('4-man'!K$25="D",K149&gt;=35,'4-man'!K$21&lt;=IF('4-man'!$BF$4="",999,'4-man'!$BF$4)),K149-35,IF(AND(LEFT('4-man'!K$25,3)="ST&gt;",K149&gt;=100,'4-man'!K$21&lt;=IF('4-man'!$BF$4="",999,'4-man'!$BF$4)),0,IF(AND(OR(AND('4-man'!K$22="ST&gt;4",K125&gt;=100),AND('4-man'!K$23="ST&gt;4",K133&gt;=100),AND('4-man'!K$24="ST&gt;4",K141&gt;=100)),'4-man'!K$21&lt;=IF('4-man'!$BF$4="",999,'4-man'!$BF$4)),100,K149)))))</f>
        <v/>
      </c>
      <c r="L150">
        <f>IF('4-man'!L$25="R",MIN(100,L149+10),IF('4-man'!L$25="P",MIN(100,L149+25),IF(AND('4-man'!L$25="D",L149&gt;=35,'4-man'!L$21&lt;=IF('4-man'!$BF$4="",999,'4-man'!$BF$4)),L149-35,IF(AND(LEFT('4-man'!L$25,3)="ST&gt;",L149&gt;=100,'4-man'!L$21&lt;=IF('4-man'!$BF$4="",999,'4-man'!$BF$4)),0,IF(AND(OR(AND('4-man'!L$22="ST&gt;4",L125&gt;=100),AND('4-man'!L$23="ST&gt;4",L133&gt;=100),AND('4-man'!L$24="ST&gt;4",L141&gt;=100)),'4-man'!L$21&lt;=IF('4-man'!$BF$4="",999,'4-man'!$BF$4)),100,L149)))))</f>
        <v/>
      </c>
      <c r="M150">
        <f>IF('4-man'!M$25="R",MIN(100,M149+10),IF('4-man'!M$25="P",MIN(100,M149+25),IF(AND('4-man'!M$25="D",M149&gt;=35,'4-man'!M$21&lt;=IF('4-man'!$BF$4="",999,'4-man'!$BF$4)),M149-35,IF(AND(LEFT('4-man'!M$25,3)="ST&gt;",M149&gt;=100,'4-man'!M$21&lt;=IF('4-man'!$BF$4="",999,'4-man'!$BF$4)),0,IF(AND(OR(AND('4-man'!M$22="ST&gt;4",M125&gt;=100),AND('4-man'!M$23="ST&gt;4",M133&gt;=100),AND('4-man'!M$24="ST&gt;4",M141&gt;=100)),'4-man'!M$21&lt;=IF('4-man'!$BF$4="",999,'4-man'!$BF$4)),100,M149)))))</f>
        <v/>
      </c>
      <c r="N150">
        <f>IF('4-man'!N$25="R",MIN(100,N149+10),IF('4-man'!N$25="P",MIN(100,N149+25),IF(AND('4-man'!N$25="D",N149&gt;=35,'4-man'!N$21&lt;=IF('4-man'!$BF$4="",999,'4-man'!$BF$4)),N149-35,IF(AND(LEFT('4-man'!N$25,3)="ST&gt;",N149&gt;=100,'4-man'!N$21&lt;=IF('4-man'!$BF$4="",999,'4-man'!$BF$4)),0,IF(AND(OR(AND('4-man'!N$22="ST&gt;4",N125&gt;=100),AND('4-man'!N$23="ST&gt;4",N133&gt;=100),AND('4-man'!N$24="ST&gt;4",N141&gt;=100)),'4-man'!N$21&lt;=IF('4-man'!$BF$4="",999,'4-man'!$BF$4)),100,N149)))))</f>
        <v/>
      </c>
      <c r="O150">
        <f>IF('4-man'!O$25="R",MIN(100,O149+10),IF('4-man'!O$25="P",MIN(100,O149+25),IF(AND('4-man'!O$25="D",O149&gt;=35,'4-man'!O$21&lt;=IF('4-man'!$BF$4="",999,'4-man'!$BF$4)),O149-35,IF(AND(LEFT('4-man'!O$25,3)="ST&gt;",O149&gt;=100,'4-man'!O$21&lt;=IF('4-man'!$BF$4="",999,'4-man'!$BF$4)),0,IF(AND(OR(AND('4-man'!O$22="ST&gt;4",O125&gt;=100),AND('4-man'!O$23="ST&gt;4",O133&gt;=100),AND('4-man'!O$24="ST&gt;4",O141&gt;=100)),'4-man'!O$21&lt;=IF('4-man'!$BF$4="",999,'4-man'!$BF$4)),100,O149)))))</f>
        <v/>
      </c>
      <c r="P150">
        <f>IF('4-man'!P$25="R",MIN(100,P149+10),IF('4-man'!P$25="P",MIN(100,P149+25),IF(AND('4-man'!P$25="D",P149&gt;=35,'4-man'!P$21&lt;=IF('4-man'!$BF$4="",999,'4-man'!$BF$4)),P149-35,IF(AND(LEFT('4-man'!P$25,3)="ST&gt;",P149&gt;=100,'4-man'!P$21&lt;=IF('4-man'!$BF$4="",999,'4-man'!$BF$4)),0,IF(AND(OR(AND('4-man'!P$22="ST&gt;4",P125&gt;=100),AND('4-man'!P$23="ST&gt;4",P133&gt;=100),AND('4-man'!P$24="ST&gt;4",P141&gt;=100)),'4-man'!P$21&lt;=IF('4-man'!$BF$4="",999,'4-man'!$BF$4)),100,P149)))))</f>
        <v/>
      </c>
      <c r="Q150">
        <f>IF('4-man'!Q$25="R",MIN(100,Q149+10),IF('4-man'!Q$25="P",MIN(100,Q149+25),IF(AND('4-man'!Q$25="D",Q149&gt;=35,'4-man'!Q$21&lt;=IF('4-man'!$BF$4="",999,'4-man'!$BF$4)),Q149-35,IF(AND(LEFT('4-man'!Q$25,3)="ST&gt;",Q149&gt;=100,'4-man'!Q$21&lt;=IF('4-man'!$BF$4="",999,'4-man'!$BF$4)),0,IF(AND(OR(AND('4-man'!Q$22="ST&gt;4",Q125&gt;=100),AND('4-man'!Q$23="ST&gt;4",Q133&gt;=100),AND('4-man'!Q$24="ST&gt;4",Q141&gt;=100)),'4-man'!Q$21&lt;=IF('4-man'!$BF$4="",999,'4-man'!$BF$4)),100,Q149)))))</f>
        <v/>
      </c>
      <c r="R150">
        <f>IF('4-man'!R$25="R",MIN(100,R149+10),IF('4-man'!R$25="P",MIN(100,R149+25),IF(AND('4-man'!R$25="D",R149&gt;=35,'4-man'!R$21&lt;=IF('4-man'!$BF$4="",999,'4-man'!$BF$4)),R149-35,IF(AND(LEFT('4-man'!R$25,3)="ST&gt;",R149&gt;=100,'4-man'!R$21&lt;=IF('4-man'!$BF$4="",999,'4-man'!$BF$4)),0,IF(AND(OR(AND('4-man'!R$22="ST&gt;4",R125&gt;=100),AND('4-man'!R$23="ST&gt;4",R133&gt;=100),AND('4-man'!R$24="ST&gt;4",R141&gt;=100)),'4-man'!R$21&lt;=IF('4-man'!$BF$4="",999,'4-man'!$BF$4)),100,R149)))))</f>
        <v/>
      </c>
      <c r="S150">
        <f>IF('4-man'!S$25="R",MIN(100,S149+10),IF('4-man'!S$25="P",MIN(100,S149+25),IF(AND('4-man'!S$25="D",S149&gt;=35,'4-man'!S$21&lt;=IF('4-man'!$BF$4="",999,'4-man'!$BF$4)),S149-35,IF(AND(LEFT('4-man'!S$25,3)="ST&gt;",S149&gt;=100,'4-man'!S$21&lt;=IF('4-man'!$BF$4="",999,'4-man'!$BF$4)),0,IF(AND(OR(AND('4-man'!S$22="ST&gt;4",S125&gt;=100),AND('4-man'!S$23="ST&gt;4",S133&gt;=100),AND('4-man'!S$24="ST&gt;4",S141&gt;=100)),'4-man'!S$21&lt;=IF('4-man'!$BF$4="",999,'4-man'!$BF$4)),100,S149)))))</f>
        <v/>
      </c>
      <c r="T150">
        <f>IF('4-man'!T$25="R",MIN(100,T149+10),IF('4-man'!T$25="P",MIN(100,T149+25),IF(AND('4-man'!T$25="D",T149&gt;=35,'4-man'!T$21&lt;=IF('4-man'!$BF$4="",999,'4-man'!$BF$4)),T149-35,IF(AND(LEFT('4-man'!T$25,3)="ST&gt;",T149&gt;=100,'4-man'!T$21&lt;=IF('4-man'!$BF$4="",999,'4-man'!$BF$4)),0,IF(AND(OR(AND('4-man'!T$22="ST&gt;4",T125&gt;=100),AND('4-man'!T$23="ST&gt;4",T133&gt;=100),AND('4-man'!T$24="ST&gt;4",T141&gt;=100)),'4-man'!T$21&lt;=IF('4-man'!$BF$4="",999,'4-man'!$BF$4)),100,T149)))))</f>
        <v/>
      </c>
      <c r="U150">
        <f>IF('4-man'!U$25="R",MIN(100,U149+10),IF('4-man'!U$25="P",MIN(100,U149+25),IF(AND('4-man'!U$25="D",U149&gt;=35,'4-man'!U$21&lt;=IF('4-man'!$BF$4="",999,'4-man'!$BF$4)),U149-35,IF(AND(LEFT('4-man'!U$25,3)="ST&gt;",U149&gt;=100,'4-man'!U$21&lt;=IF('4-man'!$BF$4="",999,'4-man'!$BF$4)),0,IF(AND(OR(AND('4-man'!U$22="ST&gt;4",U125&gt;=100),AND('4-man'!U$23="ST&gt;4",U133&gt;=100),AND('4-man'!U$24="ST&gt;4",U141&gt;=100)),'4-man'!U$21&lt;=IF('4-man'!$BF$4="",999,'4-man'!$BF$4)),100,U149)))))</f>
        <v/>
      </c>
      <c r="V150">
        <f>IF('4-man'!V$25="R",MIN(100,V149+10),IF('4-man'!V$25="P",MIN(100,V149+25),IF(AND('4-man'!V$25="D",V149&gt;=35,'4-man'!V$21&lt;=IF('4-man'!$BF$4="",999,'4-man'!$BF$4)),V149-35,IF(AND(LEFT('4-man'!V$25,3)="ST&gt;",V149&gt;=100,'4-man'!V$21&lt;=IF('4-man'!$BF$4="",999,'4-man'!$BF$4)),0,IF(AND(OR(AND('4-man'!V$22="ST&gt;4",V125&gt;=100),AND('4-man'!V$23="ST&gt;4",V133&gt;=100),AND('4-man'!V$24="ST&gt;4",V141&gt;=100)),'4-man'!V$21&lt;=IF('4-man'!$BF$4="",999,'4-man'!$BF$4)),100,V149)))))</f>
        <v/>
      </c>
      <c r="W150">
        <f>IF('4-man'!W$25="R",MIN(100,W149+10),IF('4-man'!W$25="P",MIN(100,W149+25),IF(AND('4-man'!W$25="D",W149&gt;=35,'4-man'!W$21&lt;=IF('4-man'!$BF$4="",999,'4-man'!$BF$4)),W149-35,IF(AND(LEFT('4-man'!W$25,3)="ST&gt;",W149&gt;=100,'4-man'!W$21&lt;=IF('4-man'!$BF$4="",999,'4-man'!$BF$4)),0,IF(AND(OR(AND('4-man'!W$22="ST&gt;4",W125&gt;=100),AND('4-man'!W$23="ST&gt;4",W133&gt;=100),AND('4-man'!W$24="ST&gt;4",W141&gt;=100)),'4-man'!W$21&lt;=IF('4-man'!$BF$4="",999,'4-man'!$BF$4)),100,W149)))))</f>
        <v/>
      </c>
      <c r="X150">
        <f>IF('4-man'!X$25="R",MIN(100,X149+10),IF('4-man'!X$25="P",MIN(100,X149+25),IF(AND('4-man'!X$25="D",X149&gt;=35,'4-man'!X$21&lt;=IF('4-man'!$BF$4="",999,'4-man'!$BF$4)),X149-35,IF(AND(LEFT('4-man'!X$25,3)="ST&gt;",X149&gt;=100,'4-man'!X$21&lt;=IF('4-man'!$BF$4="",999,'4-man'!$BF$4)),0,IF(AND(OR(AND('4-man'!X$22="ST&gt;4",X125&gt;=100),AND('4-man'!X$23="ST&gt;4",X133&gt;=100),AND('4-man'!X$24="ST&gt;4",X141&gt;=100)),'4-man'!X$21&lt;=IF('4-man'!$BF$4="",999,'4-man'!$BF$4)),100,X149)))))</f>
        <v/>
      </c>
      <c r="Y150">
        <f>IF('4-man'!Y$25="R",MIN(100,Y149+10),IF('4-man'!Y$25="P",MIN(100,Y149+25),IF(AND('4-man'!Y$25="D",Y149&gt;=35,'4-man'!Y$21&lt;=IF('4-man'!$BF$4="",999,'4-man'!$BF$4)),Y149-35,IF(AND(LEFT('4-man'!Y$25,3)="ST&gt;",Y149&gt;=100,'4-man'!Y$21&lt;=IF('4-man'!$BF$4="",999,'4-man'!$BF$4)),0,IF(AND(OR(AND('4-man'!Y$22="ST&gt;4",Y125&gt;=100),AND('4-man'!Y$23="ST&gt;4",Y133&gt;=100),AND('4-man'!Y$24="ST&gt;4",Y141&gt;=100)),'4-man'!Y$21&lt;=IF('4-man'!$BF$4="",999,'4-man'!$BF$4)),100,Y149)))))</f>
        <v/>
      </c>
      <c r="Z150">
        <f>IF('4-man'!Z$25="R",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4-man'!AA$25="R",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4-man'!AB$25="R",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4-man'!AC$25="R",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4-man'!AD$25="R",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4-man'!AE$25="R",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4-man'!AF$25="R",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4-man'!AG$25="R",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4-man'!AH$25="R",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4-man'!AI$25="R",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4-man'!AJ$25="R",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4-man'!AK$25="R",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4-man'!AL$25="R",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4-man'!AM$25="R",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4-man'!AN$25="R",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4-man'!AO$25="R",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4-man'!AP$25="R",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4-man'!AQ$25="R",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4-man'!AR$25="R",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4-man'!AS$25="R",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4-man'!AT$25="R",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4-man'!AU$25="R",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4-man'!AV$25="R",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4-man'!AW$25="R",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4-man'!AX$25="R",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4-man'!AY$25="R",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4-man'!AZ$25="R",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4-man'!BA$25="R",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4-man'!BB$25="R",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4-man'!BC$25="R",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4-man'!BD$25="R",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4-man'!BE$25="R",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4-man'!BF$25="R",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4-man'!BG$25="R",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4-man'!BH$25="R",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4-man'!BI$25="R",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4-man'!BJ$25="R",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4-man'!BK$25="R",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4-man'!BL$25="R",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4-man'!BM$25="R",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4-man'!BN$25="R",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4-man'!BO$25="R",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4-man'!BP$25="R",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4-man'!BQ$25="R",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4-man'!BR$25="R",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4-man'!BS$25="R",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4-man'!BT$25="R",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4-man'!BU$25="R",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4-man'!BV$25="R",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4-man'!BW$25="R",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4-man'!BX$25="R",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4-man'!BY$25="R",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4-man'!BZ$25="R",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4-man'!CA$25="R",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4-man'!CB$25="R",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4-man'!CC$25="R",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4-man'!CD$25="R",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IF('4-man'!C$25="R",0,IF(B150&gt;=100,0,IF(B151+1&gt;=IF(OR('4-man'!$F$7=TRUE,'4-man'!$F$7="TRUE",'4-man'!$F$7="Yes"),25,50),0,B151+1)))</f>
        <v/>
      </c>
      <c r="D151">
        <f>IF('4-man'!D$25="R",0,IF(C150&gt;=100,0,IF(C151+1&gt;=IF(OR('4-man'!$F$7=TRUE,'4-man'!$F$7="TRUE",'4-man'!$F$7="Yes"),25,50),0,C151+1)))</f>
        <v/>
      </c>
      <c r="E151">
        <f>IF('4-man'!E$25="R",0,IF(D150&gt;=100,0,IF(D151+1&gt;=IF(OR('4-man'!$F$7=TRUE,'4-man'!$F$7="TRUE",'4-man'!$F$7="Yes"),25,50),0,D151+1)))</f>
        <v/>
      </c>
      <c r="F151">
        <f>IF('4-man'!F$25="R",0,IF(E150&gt;=100,0,IF(E151+1&gt;=IF(OR('4-man'!$F$7=TRUE,'4-man'!$F$7="TRUE",'4-man'!$F$7="Yes"),25,50),0,E151+1)))</f>
        <v/>
      </c>
      <c r="G151">
        <f>IF('4-man'!G$25="R",0,IF(F150&gt;=100,0,IF(F151+1&gt;=IF(OR('4-man'!$F$7=TRUE,'4-man'!$F$7="TRUE",'4-man'!$F$7="Yes"),25,50),0,F151+1)))</f>
        <v/>
      </c>
      <c r="H151">
        <f>IF('4-man'!H$25="R",0,IF(G150&gt;=100,0,IF(G151+1&gt;=IF(OR('4-man'!$F$7=TRUE,'4-man'!$F$7="TRUE",'4-man'!$F$7="Yes"),25,50),0,G151+1)))</f>
        <v/>
      </c>
      <c r="I151">
        <f>IF('4-man'!I$25="R",0,IF(H150&gt;=100,0,IF(H151+1&gt;=IF(OR('4-man'!$F$7=TRUE,'4-man'!$F$7="TRUE",'4-man'!$F$7="Yes"),25,50),0,H151+1)))</f>
        <v/>
      </c>
      <c r="J151">
        <f>IF('4-man'!J$25="R",0,IF(I150&gt;=100,0,IF(I151+1&gt;=IF(OR('4-man'!$F$7=TRUE,'4-man'!$F$7="TRUE",'4-man'!$F$7="Yes"),25,50),0,I151+1)))</f>
        <v/>
      </c>
      <c r="K151">
        <f>IF('4-man'!K$25="R",0,IF(J150&gt;=100,0,IF(J151+1&gt;=IF(OR('4-man'!$F$7=TRUE,'4-man'!$F$7="TRUE",'4-man'!$F$7="Yes"),25,50),0,J151+1)))</f>
        <v/>
      </c>
      <c r="L151">
        <f>IF('4-man'!L$25="R",0,IF(K150&gt;=100,0,IF(K151+1&gt;=IF(OR('4-man'!$F$7=TRUE,'4-man'!$F$7="TRUE",'4-man'!$F$7="Yes"),25,50),0,K151+1)))</f>
        <v/>
      </c>
      <c r="M151">
        <f>IF('4-man'!M$25="R",0,IF(L150&gt;=100,0,IF(L151+1&gt;=IF(OR('4-man'!$F$7=TRUE,'4-man'!$F$7="TRUE",'4-man'!$F$7="Yes"),25,50),0,L151+1)))</f>
        <v/>
      </c>
      <c r="N151">
        <f>IF('4-man'!N$25="R",0,IF(M150&gt;=100,0,IF(M151+1&gt;=IF(OR('4-man'!$F$7=TRUE,'4-man'!$F$7="TRUE",'4-man'!$F$7="Yes"),25,50),0,M151+1)))</f>
        <v/>
      </c>
      <c r="O151">
        <f>IF('4-man'!O$25="R",0,IF(N150&gt;=100,0,IF(N151+1&gt;=IF(OR('4-man'!$F$7=TRUE,'4-man'!$F$7="TRUE",'4-man'!$F$7="Yes"),25,50),0,N151+1)))</f>
        <v/>
      </c>
      <c r="P151">
        <f>IF('4-man'!P$25="R",0,IF(O150&gt;=100,0,IF(O151+1&gt;=IF(OR('4-man'!$F$7=TRUE,'4-man'!$F$7="TRUE",'4-man'!$F$7="Yes"),25,50),0,O151+1)))</f>
        <v/>
      </c>
      <c r="Q151">
        <f>IF('4-man'!Q$25="R",0,IF(P150&gt;=100,0,IF(P151+1&gt;=IF(OR('4-man'!$F$7=TRUE,'4-man'!$F$7="TRUE",'4-man'!$F$7="Yes"),25,50),0,P151+1)))</f>
        <v/>
      </c>
      <c r="R151">
        <f>IF('4-man'!R$25="R",0,IF(Q150&gt;=100,0,IF(Q151+1&gt;=IF(OR('4-man'!$F$7=TRUE,'4-man'!$F$7="TRUE",'4-man'!$F$7="Yes"),25,50),0,Q151+1)))</f>
        <v/>
      </c>
      <c r="S151">
        <f>IF('4-man'!S$25="R",0,IF(R150&gt;=100,0,IF(R151+1&gt;=IF(OR('4-man'!$F$7=TRUE,'4-man'!$F$7="TRUE",'4-man'!$F$7="Yes"),25,50),0,R151+1)))</f>
        <v/>
      </c>
      <c r="T151">
        <f>IF('4-man'!T$25="R",0,IF(S150&gt;=100,0,IF(S151+1&gt;=IF(OR('4-man'!$F$7=TRUE,'4-man'!$F$7="TRUE",'4-man'!$F$7="Yes"),25,50),0,S151+1)))</f>
        <v/>
      </c>
      <c r="U151">
        <f>IF('4-man'!U$25="R",0,IF(T150&gt;=100,0,IF(T151+1&gt;=IF(OR('4-man'!$F$7=TRUE,'4-man'!$F$7="TRUE",'4-man'!$F$7="Yes"),25,50),0,T151+1)))</f>
        <v/>
      </c>
      <c r="V151">
        <f>IF('4-man'!V$25="R",0,IF(U150&gt;=100,0,IF(U151+1&gt;=IF(OR('4-man'!$F$7=TRUE,'4-man'!$F$7="TRUE",'4-man'!$F$7="Yes"),25,50),0,U151+1)))</f>
        <v/>
      </c>
      <c r="W151">
        <f>IF('4-man'!W$25="R",0,IF(V150&gt;=100,0,IF(V151+1&gt;=IF(OR('4-man'!$F$7=TRUE,'4-man'!$F$7="TRUE",'4-man'!$F$7="Yes"),25,50),0,V151+1)))</f>
        <v/>
      </c>
      <c r="X151">
        <f>IF('4-man'!X$25="R",0,IF(W150&gt;=100,0,IF(W151+1&gt;=IF(OR('4-man'!$F$7=TRUE,'4-man'!$F$7="TRUE",'4-man'!$F$7="Yes"),25,50),0,W151+1)))</f>
        <v/>
      </c>
      <c r="Y151">
        <f>IF('4-man'!Y$25="R",0,IF(X150&gt;=100,0,IF(X151+1&gt;=IF(OR('4-man'!$F$7=TRUE,'4-man'!$F$7="TRUE",'4-man'!$F$7="Yes"),25,50),0,X151+1)))</f>
        <v/>
      </c>
      <c r="Z151">
        <f>IF('4-man'!Z$25="R",0,IF(Y150&gt;=100,0,IF(Y151+1&gt;=IF(OR('4-man'!$F$7=TRUE,'4-man'!$F$7="TRUE",'4-man'!$F$7="Yes"),25,50),0,Y151+1)))</f>
        <v/>
      </c>
      <c r="AA151">
        <f>IF('4-man'!AA$25="R",0,IF(Z150&gt;=100,0,IF(Z151+1&gt;=IF(OR('4-man'!$F$7=TRUE,'4-man'!$F$7="TRUE",'4-man'!$F$7="Yes"),25,50),0,Z151+1)))</f>
        <v/>
      </c>
      <c r="AB151">
        <f>IF('4-man'!AB$25="R",0,IF(AA150&gt;=100,0,IF(AA151+1&gt;=IF(OR('4-man'!$F$7=TRUE,'4-man'!$F$7="TRUE",'4-man'!$F$7="Yes"),25,50),0,AA151+1)))</f>
        <v/>
      </c>
      <c r="AC151">
        <f>IF('4-man'!AC$25="R",0,IF(AB150&gt;=100,0,IF(AB151+1&gt;=IF(OR('4-man'!$F$7=TRUE,'4-man'!$F$7="TRUE",'4-man'!$F$7="Yes"),25,50),0,AB151+1)))</f>
        <v/>
      </c>
      <c r="AD151">
        <f>IF('4-man'!AD$25="R",0,IF(AC150&gt;=100,0,IF(AC151+1&gt;=IF(OR('4-man'!$F$7=TRUE,'4-man'!$F$7="TRUE",'4-man'!$F$7="Yes"),25,50),0,AC151+1)))</f>
        <v/>
      </c>
      <c r="AE151">
        <f>IF('4-man'!AE$25="R",0,IF(AD150&gt;=100,0,IF(AD151+1&gt;=IF(OR('4-man'!$F$7=TRUE,'4-man'!$F$7="TRUE",'4-man'!$F$7="Yes"),25,50),0,AD151+1)))</f>
        <v/>
      </c>
      <c r="AF151">
        <f>IF('4-man'!AF$25="R",0,IF(AE150&gt;=100,0,IF(AE151+1&gt;=IF(OR('4-man'!$F$7=TRUE,'4-man'!$F$7="TRUE",'4-man'!$F$7="Yes"),25,50),0,AE151+1)))</f>
        <v/>
      </c>
      <c r="AG151">
        <f>IF('4-man'!AG$25="R",0,IF(AF150&gt;=100,0,IF(AF151+1&gt;=IF(OR('4-man'!$F$7=TRUE,'4-man'!$F$7="TRUE",'4-man'!$F$7="Yes"),25,50),0,AF151+1)))</f>
        <v/>
      </c>
      <c r="AH151">
        <f>IF('4-man'!AH$25="R",0,IF(AG150&gt;=100,0,IF(AG151+1&gt;=IF(OR('4-man'!$F$7=TRUE,'4-man'!$F$7="TRUE",'4-man'!$F$7="Yes"),25,50),0,AG151+1)))</f>
        <v/>
      </c>
      <c r="AI151">
        <f>IF('4-man'!AI$25="R",0,IF(AH150&gt;=100,0,IF(AH151+1&gt;=IF(OR('4-man'!$F$7=TRUE,'4-man'!$F$7="TRUE",'4-man'!$F$7="Yes"),25,50),0,AH151+1)))</f>
        <v/>
      </c>
      <c r="AJ151">
        <f>IF('4-man'!AJ$25="R",0,IF(AI150&gt;=100,0,IF(AI151+1&gt;=IF(OR('4-man'!$F$7=TRUE,'4-man'!$F$7="TRUE",'4-man'!$F$7="Yes"),25,50),0,AI151+1)))</f>
        <v/>
      </c>
      <c r="AK151">
        <f>IF('4-man'!AK$25="R",0,IF(AJ150&gt;=100,0,IF(AJ151+1&gt;=IF(OR('4-man'!$F$7=TRUE,'4-man'!$F$7="TRUE",'4-man'!$F$7="Yes"),25,50),0,AJ151+1)))</f>
        <v/>
      </c>
      <c r="AL151">
        <f>IF('4-man'!AL$25="R",0,IF(AK150&gt;=100,0,IF(AK151+1&gt;=IF(OR('4-man'!$F$7=TRUE,'4-man'!$F$7="TRUE",'4-man'!$F$7="Yes"),25,50),0,AK151+1)))</f>
        <v/>
      </c>
      <c r="AM151">
        <f>IF('4-man'!AM$25="R",0,IF(AL150&gt;=100,0,IF(AL151+1&gt;=IF(OR('4-man'!$F$7=TRUE,'4-man'!$F$7="TRUE",'4-man'!$F$7="Yes"),25,50),0,AL151+1)))</f>
        <v/>
      </c>
      <c r="AN151">
        <f>IF('4-man'!AN$25="R",0,IF(AM150&gt;=100,0,IF(AM151+1&gt;=IF(OR('4-man'!$F$7=TRUE,'4-man'!$F$7="TRUE",'4-man'!$F$7="Yes"),25,50),0,AM151+1)))</f>
        <v/>
      </c>
      <c r="AO151">
        <f>IF('4-man'!AO$25="R",0,IF(AN150&gt;=100,0,IF(AN151+1&gt;=IF(OR('4-man'!$F$7=TRUE,'4-man'!$F$7="TRUE",'4-man'!$F$7="Yes"),25,50),0,AN151+1)))</f>
        <v/>
      </c>
      <c r="AP151">
        <f>IF('4-man'!AP$25="R",0,IF(AO150&gt;=100,0,IF(AO151+1&gt;=IF(OR('4-man'!$F$7=TRUE,'4-man'!$F$7="TRUE",'4-man'!$F$7="Yes"),25,50),0,AO151+1)))</f>
        <v/>
      </c>
      <c r="AQ151">
        <f>IF('4-man'!AQ$25="R",0,IF(AP150&gt;=100,0,IF(AP151+1&gt;=IF(OR('4-man'!$F$7=TRUE,'4-man'!$F$7="TRUE",'4-man'!$F$7="Yes"),25,50),0,AP151+1)))</f>
        <v/>
      </c>
      <c r="AR151">
        <f>IF('4-man'!AR$25="R",0,IF(AQ150&gt;=100,0,IF(AQ151+1&gt;=IF(OR('4-man'!$F$7=TRUE,'4-man'!$F$7="TRUE",'4-man'!$F$7="Yes"),25,50),0,AQ151+1)))</f>
        <v/>
      </c>
      <c r="AS151">
        <f>IF('4-man'!AS$25="R",0,IF(AR150&gt;=100,0,IF(AR151+1&gt;=IF(OR('4-man'!$F$7=TRUE,'4-man'!$F$7="TRUE",'4-man'!$F$7="Yes"),25,50),0,AR151+1)))</f>
        <v/>
      </c>
      <c r="AT151">
        <f>IF('4-man'!AT$25="R",0,IF(AS150&gt;=100,0,IF(AS151+1&gt;=IF(OR('4-man'!$F$7=TRUE,'4-man'!$F$7="TRUE",'4-man'!$F$7="Yes"),25,50),0,AS151+1)))</f>
        <v/>
      </c>
      <c r="AU151">
        <f>IF('4-man'!AU$25="R",0,IF(AT150&gt;=100,0,IF(AT151+1&gt;=IF(OR('4-man'!$F$7=TRUE,'4-man'!$F$7="TRUE",'4-man'!$F$7="Yes"),25,50),0,AT151+1)))</f>
        <v/>
      </c>
      <c r="AV151">
        <f>IF('4-man'!AV$25="R",0,IF(AU150&gt;=100,0,IF(AU151+1&gt;=IF(OR('4-man'!$F$7=TRUE,'4-man'!$F$7="TRUE",'4-man'!$F$7="Yes"),25,50),0,AU151+1)))</f>
        <v/>
      </c>
      <c r="AW151">
        <f>IF('4-man'!AW$25="R",0,IF(AV150&gt;=100,0,IF(AV151+1&gt;=IF(OR('4-man'!$F$7=TRUE,'4-man'!$F$7="TRUE",'4-man'!$F$7="Yes"),25,50),0,AV151+1)))</f>
        <v/>
      </c>
      <c r="AX151">
        <f>IF('4-man'!AX$25="R",0,IF(AW150&gt;=100,0,IF(AW151+1&gt;=IF(OR('4-man'!$F$7=TRUE,'4-man'!$F$7="TRUE",'4-man'!$F$7="Yes"),25,50),0,AW151+1)))</f>
        <v/>
      </c>
      <c r="AY151">
        <f>IF('4-man'!AY$25="R",0,IF(AX150&gt;=100,0,IF(AX151+1&gt;=IF(OR('4-man'!$F$7=TRUE,'4-man'!$F$7="TRUE",'4-man'!$F$7="Yes"),25,50),0,AX151+1)))</f>
        <v/>
      </c>
      <c r="AZ151">
        <f>IF('4-man'!AZ$25="R",0,IF(AY150&gt;=100,0,IF(AY151+1&gt;=IF(OR('4-man'!$F$7=TRUE,'4-man'!$F$7="TRUE",'4-man'!$F$7="Yes"),25,50),0,AY151+1)))</f>
        <v/>
      </c>
      <c r="BA151">
        <f>IF('4-man'!BA$25="R",0,IF(AZ150&gt;=100,0,IF(AZ151+1&gt;=IF(OR('4-man'!$F$7=TRUE,'4-man'!$F$7="TRUE",'4-man'!$F$7="Yes"),25,50),0,AZ151+1)))</f>
        <v/>
      </c>
      <c r="BB151">
        <f>IF('4-man'!BB$25="R",0,IF(BA150&gt;=100,0,IF(BA151+1&gt;=IF(OR('4-man'!$F$7=TRUE,'4-man'!$F$7="TRUE",'4-man'!$F$7="Yes"),25,50),0,BA151+1)))</f>
        <v/>
      </c>
      <c r="BC151">
        <f>IF('4-man'!BC$25="R",0,IF(BB150&gt;=100,0,IF(BB151+1&gt;=IF(OR('4-man'!$F$7=TRUE,'4-man'!$F$7="TRUE",'4-man'!$F$7="Yes"),25,50),0,BB151+1)))</f>
        <v/>
      </c>
      <c r="BD151">
        <f>IF('4-man'!BD$25="R",0,IF(BC150&gt;=100,0,IF(BC151+1&gt;=IF(OR('4-man'!$F$7=TRUE,'4-man'!$F$7="TRUE",'4-man'!$F$7="Yes"),25,50),0,BC151+1)))</f>
        <v/>
      </c>
      <c r="BE151">
        <f>IF('4-man'!BE$25="R",0,IF(BD150&gt;=100,0,IF(BD151+1&gt;=IF(OR('4-man'!$F$7=TRUE,'4-man'!$F$7="TRUE",'4-man'!$F$7="Yes"),25,50),0,BD151+1)))</f>
        <v/>
      </c>
      <c r="BF151">
        <f>IF('4-man'!BF$25="R",0,IF(BE150&gt;=100,0,IF(BE151+1&gt;=IF(OR('4-man'!$F$7=TRUE,'4-man'!$F$7="TRUE",'4-man'!$F$7="Yes"),25,50),0,BE151+1)))</f>
        <v/>
      </c>
      <c r="BG151">
        <f>IF('4-man'!BG$25="R",0,IF(BF150&gt;=100,0,IF(BF151+1&gt;=IF(OR('4-man'!$F$7=TRUE,'4-man'!$F$7="TRUE",'4-man'!$F$7="Yes"),25,50),0,BF151+1)))</f>
        <v/>
      </c>
      <c r="BH151">
        <f>IF('4-man'!BH$25="R",0,IF(BG150&gt;=100,0,IF(BG151+1&gt;=IF(OR('4-man'!$F$7=TRUE,'4-man'!$F$7="TRUE",'4-man'!$F$7="Yes"),25,50),0,BG151+1)))</f>
        <v/>
      </c>
      <c r="BI151">
        <f>IF('4-man'!BI$25="R",0,IF(BH150&gt;=100,0,IF(BH151+1&gt;=IF(OR('4-man'!$F$7=TRUE,'4-man'!$F$7="TRUE",'4-man'!$F$7="Yes"),25,50),0,BH151+1)))</f>
        <v/>
      </c>
      <c r="BJ151">
        <f>IF('4-man'!BJ$25="R",0,IF(BI150&gt;=100,0,IF(BI151+1&gt;=IF(OR('4-man'!$F$7=TRUE,'4-man'!$F$7="TRUE",'4-man'!$F$7="Yes"),25,50),0,BI151+1)))</f>
        <v/>
      </c>
      <c r="BK151">
        <f>IF('4-man'!BK$25="R",0,IF(BJ150&gt;=100,0,IF(BJ151+1&gt;=IF(OR('4-man'!$F$7=TRUE,'4-man'!$F$7="TRUE",'4-man'!$F$7="Yes"),25,50),0,BJ151+1)))</f>
        <v/>
      </c>
      <c r="BL151">
        <f>IF('4-man'!BL$25="R",0,IF(BK150&gt;=100,0,IF(BK151+1&gt;=IF(OR('4-man'!$F$7=TRUE,'4-man'!$F$7="TRUE",'4-man'!$F$7="Yes"),25,50),0,BK151+1)))</f>
        <v/>
      </c>
      <c r="BM151">
        <f>IF('4-man'!BM$25="R",0,IF(BL150&gt;=100,0,IF(BL151+1&gt;=IF(OR('4-man'!$F$7=TRUE,'4-man'!$F$7="TRUE",'4-man'!$F$7="Yes"),25,50),0,BL151+1)))</f>
        <v/>
      </c>
      <c r="BN151">
        <f>IF('4-man'!BN$25="R",0,IF(BM150&gt;=100,0,IF(BM151+1&gt;=IF(OR('4-man'!$F$7=TRUE,'4-man'!$F$7="TRUE",'4-man'!$F$7="Yes"),25,50),0,BM151+1)))</f>
        <v/>
      </c>
      <c r="BO151">
        <f>IF('4-man'!BO$25="R",0,IF(BN150&gt;=100,0,IF(BN151+1&gt;=IF(OR('4-man'!$F$7=TRUE,'4-man'!$F$7="TRUE",'4-man'!$F$7="Yes"),25,50),0,BN151+1)))</f>
        <v/>
      </c>
      <c r="BP151">
        <f>IF('4-man'!BP$25="R",0,IF(BO150&gt;=100,0,IF(BO151+1&gt;=IF(OR('4-man'!$F$7=TRUE,'4-man'!$F$7="TRUE",'4-man'!$F$7="Yes"),25,50),0,BO151+1)))</f>
        <v/>
      </c>
      <c r="BQ151">
        <f>IF('4-man'!BQ$25="R",0,IF(BP150&gt;=100,0,IF(BP151+1&gt;=IF(OR('4-man'!$F$7=TRUE,'4-man'!$F$7="TRUE",'4-man'!$F$7="Yes"),25,50),0,BP151+1)))</f>
        <v/>
      </c>
      <c r="BR151">
        <f>IF('4-man'!BR$25="R",0,IF(BQ150&gt;=100,0,IF(BQ151+1&gt;=IF(OR('4-man'!$F$7=TRUE,'4-man'!$F$7="TRUE",'4-man'!$F$7="Yes"),25,50),0,BQ151+1)))</f>
        <v/>
      </c>
      <c r="BS151">
        <f>IF('4-man'!BS$25="R",0,IF(BR150&gt;=100,0,IF(BR151+1&gt;=IF(OR('4-man'!$F$7=TRUE,'4-man'!$F$7="TRUE",'4-man'!$F$7="Yes"),25,50),0,BR151+1)))</f>
        <v/>
      </c>
      <c r="BT151">
        <f>IF('4-man'!BT$25="R",0,IF(BS150&gt;=100,0,IF(BS151+1&gt;=IF(OR('4-man'!$F$7=TRUE,'4-man'!$F$7="TRUE",'4-man'!$F$7="Yes"),25,50),0,BS151+1)))</f>
        <v/>
      </c>
      <c r="BU151">
        <f>IF('4-man'!BU$25="R",0,IF(BT150&gt;=100,0,IF(BT151+1&gt;=IF(OR('4-man'!$F$7=TRUE,'4-man'!$F$7="TRUE",'4-man'!$F$7="Yes"),25,50),0,BT151+1)))</f>
        <v/>
      </c>
      <c r="BV151">
        <f>IF('4-man'!BV$25="R",0,IF(BU150&gt;=100,0,IF(BU151+1&gt;=IF(OR('4-man'!$F$7=TRUE,'4-man'!$F$7="TRUE",'4-man'!$F$7="Yes"),25,50),0,BU151+1)))</f>
        <v/>
      </c>
      <c r="BW151">
        <f>IF('4-man'!BW$25="R",0,IF(BV150&gt;=100,0,IF(BV151+1&gt;=IF(OR('4-man'!$F$7=TRUE,'4-man'!$F$7="TRUE",'4-man'!$F$7="Yes"),25,50),0,BV151+1)))</f>
        <v/>
      </c>
      <c r="BX151">
        <f>IF('4-man'!BX$25="R",0,IF(BW150&gt;=100,0,IF(BW151+1&gt;=IF(OR('4-man'!$F$7=TRUE,'4-man'!$F$7="TRUE",'4-man'!$F$7="Yes"),25,50),0,BW151+1)))</f>
        <v/>
      </c>
      <c r="BY151">
        <f>IF('4-man'!BY$25="R",0,IF(BX150&gt;=100,0,IF(BX151+1&gt;=IF(OR('4-man'!$F$7=TRUE,'4-man'!$F$7="TRUE",'4-man'!$F$7="Yes"),25,50),0,BX151+1)))</f>
        <v/>
      </c>
      <c r="BZ151">
        <f>IF('4-man'!BZ$25="R",0,IF(BY150&gt;=100,0,IF(BY151+1&gt;=IF(OR('4-man'!$F$7=TRUE,'4-man'!$F$7="TRUE",'4-man'!$F$7="Yes"),25,50),0,BY151+1)))</f>
        <v/>
      </c>
      <c r="CA151">
        <f>IF('4-man'!CA$25="R",0,IF(BZ150&gt;=100,0,IF(BZ151+1&gt;=IF(OR('4-man'!$F$7=TRUE,'4-man'!$F$7="TRUE",'4-man'!$F$7="Yes"),25,50),0,BZ151+1)))</f>
        <v/>
      </c>
      <c r="CB151">
        <f>IF('4-man'!CB$25="R",0,IF(CA150&gt;=100,0,IF(CA151+1&gt;=IF(OR('4-man'!$F$7=TRUE,'4-man'!$F$7="TRUE",'4-man'!$F$7="Yes"),25,50),0,CA151+1)))</f>
        <v/>
      </c>
      <c r="CC151">
        <f>IF('4-man'!CC$25="R",0,IF(CB150&gt;=100,0,IF(CB151+1&gt;=IF(OR('4-man'!$F$7=TRUE,'4-man'!$F$7="TRUE",'4-man'!$F$7="Yes"),25,50),0,CB151+1)))</f>
        <v/>
      </c>
      <c r="CD151">
        <f>IF('4-man'!CD$25="R",0,IF(CC150&gt;=100,0,IF(CC151+1&gt;=IF(OR('4-man'!$F$7=TRUE,'4-man'!$F$7="TRUE",'4-man'!$F$7="Yes"),25,50),0,CC151+1)))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row>
    <row r="156">
      <c r="A156" t="inlineStr">
        <is>
          <t>P4 act</t>
        </is>
      </c>
      <c r="C156">
        <f>IF(OR('4-man'!C$25="P",'4-man'!C$25="R",AND('4-man'!C$21&lt;=IF('4-man'!$BF$4="",999,'4-man'!$BF$4),OR('4-man'!C$25="D",LEFT('4-man'!C$25,3)="ST&gt;",OR(AND('4-man'!C$22="ST&gt;4",C125&gt;=100),AND('4-man'!C$23="ST&gt;4",C133&gt;=100),AND('4-man'!C$24="ST&gt;4",C141&gt;=100))))),'4-man'!C$21,0)</f>
        <v/>
      </c>
      <c r="D156">
        <f>IF(OR('4-man'!D$25="P",'4-man'!D$25="R",AND('4-man'!D$21&lt;=IF('4-man'!$BF$4="",999,'4-man'!$BF$4),OR('4-man'!D$25="D",LEFT('4-man'!D$25,3)="ST&gt;",OR(AND('4-man'!D$22="ST&gt;4",D125&gt;=100),AND('4-man'!D$23="ST&gt;4",D133&gt;=100),AND('4-man'!D$24="ST&gt;4",D141&gt;=100))))),'4-man'!D$21,0)</f>
        <v/>
      </c>
      <c r="E156">
        <f>IF(OR('4-man'!E$25="P",'4-man'!E$25="R",AND('4-man'!E$21&lt;=IF('4-man'!$BF$4="",999,'4-man'!$BF$4),OR('4-man'!E$25="D",LEFT('4-man'!E$25,3)="ST&gt;",OR(AND('4-man'!E$22="ST&gt;4",E125&gt;=100),AND('4-man'!E$23="ST&gt;4",E133&gt;=100),AND('4-man'!E$24="ST&gt;4",E141&gt;=100))))),'4-man'!E$21,0)</f>
        <v/>
      </c>
      <c r="F156">
        <f>IF(OR('4-man'!F$25="P",'4-man'!F$25="R",AND('4-man'!F$21&lt;=IF('4-man'!$BF$4="",999,'4-man'!$BF$4),OR('4-man'!F$25="D",LEFT('4-man'!F$25,3)="ST&gt;",OR(AND('4-man'!F$22="ST&gt;4",F125&gt;=100),AND('4-man'!F$23="ST&gt;4",F133&gt;=100),AND('4-man'!F$24="ST&gt;4",F141&gt;=100))))),'4-man'!F$21,0)</f>
        <v/>
      </c>
      <c r="G156">
        <f>IF(OR('4-man'!G$25="P",'4-man'!G$25="R",AND('4-man'!G$21&lt;=IF('4-man'!$BF$4="",999,'4-man'!$BF$4),OR('4-man'!G$25="D",LEFT('4-man'!G$25,3)="ST&gt;",OR(AND('4-man'!G$22="ST&gt;4",G125&gt;=100),AND('4-man'!G$23="ST&gt;4",G133&gt;=100),AND('4-man'!G$24="ST&gt;4",G141&gt;=100))))),'4-man'!G$21,0)</f>
        <v/>
      </c>
      <c r="H156">
        <f>IF(OR('4-man'!H$25="P",'4-man'!H$25="R",AND('4-man'!H$21&lt;=IF('4-man'!$BF$4="",999,'4-man'!$BF$4),OR('4-man'!H$25="D",LEFT('4-man'!H$25,3)="ST&gt;",OR(AND('4-man'!H$22="ST&gt;4",H125&gt;=100),AND('4-man'!H$23="ST&gt;4",H133&gt;=100),AND('4-man'!H$24="ST&gt;4",H141&gt;=100))))),'4-man'!H$21,0)</f>
        <v/>
      </c>
      <c r="I156">
        <f>IF(OR('4-man'!I$25="P",'4-man'!I$25="R",AND('4-man'!I$21&lt;=IF('4-man'!$BF$4="",999,'4-man'!$BF$4),OR('4-man'!I$25="D",LEFT('4-man'!I$25,3)="ST&gt;",OR(AND('4-man'!I$22="ST&gt;4",I125&gt;=100),AND('4-man'!I$23="ST&gt;4",I133&gt;=100),AND('4-man'!I$24="ST&gt;4",I141&gt;=100))))),'4-man'!I$21,0)</f>
        <v/>
      </c>
      <c r="J156">
        <f>IF(OR('4-man'!J$25="P",'4-man'!J$25="R",AND('4-man'!J$21&lt;=IF('4-man'!$BF$4="",999,'4-man'!$BF$4),OR('4-man'!J$25="D",LEFT('4-man'!J$25,3)="ST&gt;",OR(AND('4-man'!J$22="ST&gt;4",J125&gt;=100),AND('4-man'!J$23="ST&gt;4",J133&gt;=100),AND('4-man'!J$24="ST&gt;4",J141&gt;=100))))),'4-man'!J$21,0)</f>
        <v/>
      </c>
      <c r="K156">
        <f>IF(OR('4-man'!K$25="P",'4-man'!K$25="R",AND('4-man'!K$21&lt;=IF('4-man'!$BF$4="",999,'4-man'!$BF$4),OR('4-man'!K$25="D",LEFT('4-man'!K$25,3)="ST&gt;",OR(AND('4-man'!K$22="ST&gt;4",K125&gt;=100),AND('4-man'!K$23="ST&gt;4",K133&gt;=100),AND('4-man'!K$24="ST&gt;4",K141&gt;=100))))),'4-man'!K$21,0)</f>
        <v/>
      </c>
      <c r="L156">
        <f>IF(OR('4-man'!L$25="P",'4-man'!L$25="R",AND('4-man'!L$21&lt;=IF('4-man'!$BF$4="",999,'4-man'!$BF$4),OR('4-man'!L$25="D",LEFT('4-man'!L$25,3)="ST&gt;",OR(AND('4-man'!L$22="ST&gt;4",L125&gt;=100),AND('4-man'!L$23="ST&gt;4",L133&gt;=100),AND('4-man'!L$24="ST&gt;4",L141&gt;=100))))),'4-man'!L$21,0)</f>
        <v/>
      </c>
      <c r="M156">
        <f>IF(OR('4-man'!M$25="P",'4-man'!M$25="R",AND('4-man'!M$21&lt;=IF('4-man'!$BF$4="",999,'4-man'!$BF$4),OR('4-man'!M$25="D",LEFT('4-man'!M$25,3)="ST&gt;",OR(AND('4-man'!M$22="ST&gt;4",M125&gt;=100),AND('4-man'!M$23="ST&gt;4",M133&gt;=100),AND('4-man'!M$24="ST&gt;4",M141&gt;=100))))),'4-man'!M$21,0)</f>
        <v/>
      </c>
      <c r="N156">
        <f>IF(OR('4-man'!N$25="P",'4-man'!N$25="R",AND('4-man'!N$21&lt;=IF('4-man'!$BF$4="",999,'4-man'!$BF$4),OR('4-man'!N$25="D",LEFT('4-man'!N$25,3)="ST&gt;",OR(AND('4-man'!N$22="ST&gt;4",N125&gt;=100),AND('4-man'!N$23="ST&gt;4",N133&gt;=100),AND('4-man'!N$24="ST&gt;4",N141&gt;=100))))),'4-man'!N$21,0)</f>
        <v/>
      </c>
      <c r="O156">
        <f>IF(OR('4-man'!O$25="P",'4-man'!O$25="R",AND('4-man'!O$21&lt;=IF('4-man'!$BF$4="",999,'4-man'!$BF$4),OR('4-man'!O$25="D",LEFT('4-man'!O$25,3)="ST&gt;",OR(AND('4-man'!O$22="ST&gt;4",O125&gt;=100),AND('4-man'!O$23="ST&gt;4",O133&gt;=100),AND('4-man'!O$24="ST&gt;4",O141&gt;=100))))),'4-man'!O$21,0)</f>
        <v/>
      </c>
      <c r="P156">
        <f>IF(OR('4-man'!P$25="P",'4-man'!P$25="R",AND('4-man'!P$21&lt;=IF('4-man'!$BF$4="",999,'4-man'!$BF$4),OR('4-man'!P$25="D",LEFT('4-man'!P$25,3)="ST&gt;",OR(AND('4-man'!P$22="ST&gt;4",P125&gt;=100),AND('4-man'!P$23="ST&gt;4",P133&gt;=100),AND('4-man'!P$24="ST&gt;4",P141&gt;=100))))),'4-man'!P$21,0)</f>
        <v/>
      </c>
      <c r="Q156">
        <f>IF(OR('4-man'!Q$25="P",'4-man'!Q$25="R",AND('4-man'!Q$21&lt;=IF('4-man'!$BF$4="",999,'4-man'!$BF$4),OR('4-man'!Q$25="D",LEFT('4-man'!Q$25,3)="ST&gt;",OR(AND('4-man'!Q$22="ST&gt;4",Q125&gt;=100),AND('4-man'!Q$23="ST&gt;4",Q133&gt;=100),AND('4-man'!Q$24="ST&gt;4",Q141&gt;=100))))),'4-man'!Q$21,0)</f>
        <v/>
      </c>
      <c r="R156">
        <f>IF(OR('4-man'!R$25="P",'4-man'!R$25="R",AND('4-man'!R$21&lt;=IF('4-man'!$BF$4="",999,'4-man'!$BF$4),OR('4-man'!R$25="D",LEFT('4-man'!R$25,3)="ST&gt;",OR(AND('4-man'!R$22="ST&gt;4",R125&gt;=100),AND('4-man'!R$23="ST&gt;4",R133&gt;=100),AND('4-man'!R$24="ST&gt;4",R141&gt;=100))))),'4-man'!R$21,0)</f>
        <v/>
      </c>
      <c r="S156">
        <f>IF(OR('4-man'!S$25="P",'4-man'!S$25="R",AND('4-man'!S$21&lt;=IF('4-man'!$BF$4="",999,'4-man'!$BF$4),OR('4-man'!S$25="D",LEFT('4-man'!S$25,3)="ST&gt;",OR(AND('4-man'!S$22="ST&gt;4",S125&gt;=100),AND('4-man'!S$23="ST&gt;4",S133&gt;=100),AND('4-man'!S$24="ST&gt;4",S141&gt;=100))))),'4-man'!S$21,0)</f>
        <v/>
      </c>
      <c r="T156">
        <f>IF(OR('4-man'!T$25="P",'4-man'!T$25="R",AND('4-man'!T$21&lt;=IF('4-man'!$BF$4="",999,'4-man'!$BF$4),OR('4-man'!T$25="D",LEFT('4-man'!T$25,3)="ST&gt;",OR(AND('4-man'!T$22="ST&gt;4",T125&gt;=100),AND('4-man'!T$23="ST&gt;4",T133&gt;=100),AND('4-man'!T$24="ST&gt;4",T141&gt;=100))))),'4-man'!T$21,0)</f>
        <v/>
      </c>
      <c r="U156">
        <f>IF(OR('4-man'!U$25="P",'4-man'!U$25="R",AND('4-man'!U$21&lt;=IF('4-man'!$BF$4="",999,'4-man'!$BF$4),OR('4-man'!U$25="D",LEFT('4-man'!U$25,3)="ST&gt;",OR(AND('4-man'!U$22="ST&gt;4",U125&gt;=100),AND('4-man'!U$23="ST&gt;4",U133&gt;=100),AND('4-man'!U$24="ST&gt;4",U141&gt;=100))))),'4-man'!U$21,0)</f>
        <v/>
      </c>
      <c r="V156">
        <f>IF(OR('4-man'!V$25="P",'4-man'!V$25="R",AND('4-man'!V$21&lt;=IF('4-man'!$BF$4="",999,'4-man'!$BF$4),OR('4-man'!V$25="D",LEFT('4-man'!V$25,3)="ST&gt;",OR(AND('4-man'!V$22="ST&gt;4",V125&gt;=100),AND('4-man'!V$23="ST&gt;4",V133&gt;=100),AND('4-man'!V$24="ST&gt;4",V141&gt;=100))))),'4-man'!V$21,0)</f>
        <v/>
      </c>
      <c r="W156">
        <f>IF(OR('4-man'!W$25="P",'4-man'!W$25="R",AND('4-man'!W$21&lt;=IF('4-man'!$BF$4="",999,'4-man'!$BF$4),OR('4-man'!W$25="D",LEFT('4-man'!W$25,3)="ST&gt;",OR(AND('4-man'!W$22="ST&gt;4",W125&gt;=100),AND('4-man'!W$23="ST&gt;4",W133&gt;=100),AND('4-man'!W$24="ST&gt;4",W141&gt;=100))))),'4-man'!W$21,0)</f>
        <v/>
      </c>
      <c r="X156">
        <f>IF(OR('4-man'!X$25="P",'4-man'!X$25="R",AND('4-man'!X$21&lt;=IF('4-man'!$BF$4="",999,'4-man'!$BF$4),OR('4-man'!X$25="D",LEFT('4-man'!X$25,3)="ST&gt;",OR(AND('4-man'!X$22="ST&gt;4",X125&gt;=100),AND('4-man'!X$23="ST&gt;4",X133&gt;=100),AND('4-man'!X$24="ST&gt;4",X141&gt;=100))))),'4-man'!X$21,0)</f>
        <v/>
      </c>
      <c r="Y156">
        <f>IF(OR('4-man'!Y$25="P",'4-man'!Y$25="R",AND('4-man'!Y$21&lt;=IF('4-man'!$BF$4="",999,'4-man'!$BF$4),OR('4-man'!Y$25="D",LEFT('4-man'!Y$25,3)="ST&gt;",OR(AND('4-man'!Y$22="ST&gt;4",Y125&gt;=100),AND('4-man'!Y$23="ST&gt;4",Y133&gt;=100),AND('4-man'!Y$24="ST&gt;4",Y141&gt;=100))))),'4-man'!Y$21,0)</f>
        <v/>
      </c>
      <c r="Z156">
        <f>IF(OR('4-man'!Z$25="P",'4-man'!Z$25="R",AND('4-man'!Z$21&lt;=IF('4-man'!$BF$4="",999,'4-man'!$BF$4),OR('4-man'!Z$25="D",LEFT('4-man'!Z$25,3)="ST&gt;",OR(AND('4-man'!Z$22="ST&gt;4",Z125&gt;=100),AND('4-man'!Z$23="ST&gt;4",Z133&gt;=100),AND('4-man'!Z$24="ST&gt;4",Z141&gt;=100))))),'4-man'!Z$21,0)</f>
        <v/>
      </c>
      <c r="AA156">
        <f>IF(OR('4-man'!AA$25="P",'4-man'!AA$25="R",AND('4-man'!AA$21&lt;=IF('4-man'!$BF$4="",999,'4-man'!$BF$4),OR('4-man'!AA$25="D",LEFT('4-man'!AA$25,3)="ST&gt;",OR(AND('4-man'!AA$22="ST&gt;4",AA125&gt;=100),AND('4-man'!AA$23="ST&gt;4",AA133&gt;=100),AND('4-man'!AA$24="ST&gt;4",AA141&gt;=100))))),'4-man'!AA$21,0)</f>
        <v/>
      </c>
      <c r="AB156">
        <f>IF(OR('4-man'!AB$25="P",'4-man'!AB$25="R",AND('4-man'!AB$21&lt;=IF('4-man'!$BF$4="",999,'4-man'!$BF$4),OR('4-man'!AB$25="D",LEFT('4-man'!AB$25,3)="ST&gt;",OR(AND('4-man'!AB$22="ST&gt;4",AB125&gt;=100),AND('4-man'!AB$23="ST&gt;4",AB133&gt;=100),AND('4-man'!AB$24="ST&gt;4",AB141&gt;=100))))),'4-man'!AB$21,0)</f>
        <v/>
      </c>
      <c r="AC156">
        <f>IF(OR('4-man'!AC$25="P",'4-man'!AC$25="R",AND('4-man'!AC$21&lt;=IF('4-man'!$BF$4="",999,'4-man'!$BF$4),OR('4-man'!AC$25="D",LEFT('4-man'!AC$25,3)="ST&gt;",OR(AND('4-man'!AC$22="ST&gt;4",AC125&gt;=100),AND('4-man'!AC$23="ST&gt;4",AC133&gt;=100),AND('4-man'!AC$24="ST&gt;4",AC141&gt;=100))))),'4-man'!AC$21,0)</f>
        <v/>
      </c>
      <c r="AD156">
        <f>IF(OR('4-man'!AD$25="P",'4-man'!AD$25="R",AND('4-man'!AD$21&lt;=IF('4-man'!$BF$4="",999,'4-man'!$BF$4),OR('4-man'!AD$25="D",LEFT('4-man'!AD$25,3)="ST&gt;",OR(AND('4-man'!AD$22="ST&gt;4",AD125&gt;=100),AND('4-man'!AD$23="ST&gt;4",AD133&gt;=100),AND('4-man'!AD$24="ST&gt;4",AD141&gt;=100))))),'4-man'!AD$21,0)</f>
        <v/>
      </c>
      <c r="AE156">
        <f>IF(OR('4-man'!AE$25="P",'4-man'!AE$25="R",AND('4-man'!AE$21&lt;=IF('4-man'!$BF$4="",999,'4-man'!$BF$4),OR('4-man'!AE$25="D",LEFT('4-man'!AE$25,3)="ST&gt;",OR(AND('4-man'!AE$22="ST&gt;4",AE125&gt;=100),AND('4-man'!AE$23="ST&gt;4",AE133&gt;=100),AND('4-man'!AE$24="ST&gt;4",AE141&gt;=100))))),'4-man'!AE$21,0)</f>
        <v/>
      </c>
      <c r="AF156">
        <f>IF(OR('4-man'!AF$25="P",'4-man'!AF$25="R",AND('4-man'!AF$21&lt;=IF('4-man'!$BF$4="",999,'4-man'!$BF$4),OR('4-man'!AF$25="D",LEFT('4-man'!AF$25,3)="ST&gt;",OR(AND('4-man'!AF$22="ST&gt;4",AF125&gt;=100),AND('4-man'!AF$23="ST&gt;4",AF133&gt;=100),AND('4-man'!AF$24="ST&gt;4",AF141&gt;=100))))),'4-man'!AF$21,0)</f>
        <v/>
      </c>
      <c r="AG156">
        <f>IF(OR('4-man'!AG$25="P",'4-man'!AG$25="R",AND('4-man'!AG$21&lt;=IF('4-man'!$BF$4="",999,'4-man'!$BF$4),OR('4-man'!AG$25="D",LEFT('4-man'!AG$25,3)="ST&gt;",OR(AND('4-man'!AG$22="ST&gt;4",AG125&gt;=100),AND('4-man'!AG$23="ST&gt;4",AG133&gt;=100),AND('4-man'!AG$24="ST&gt;4",AG141&gt;=100))))),'4-man'!AG$21,0)</f>
        <v/>
      </c>
      <c r="AH156">
        <f>IF(OR('4-man'!AH$25="P",'4-man'!AH$25="R",AND('4-man'!AH$21&lt;=IF('4-man'!$BF$4="",999,'4-man'!$BF$4),OR('4-man'!AH$25="D",LEFT('4-man'!AH$25,3)="ST&gt;",OR(AND('4-man'!AH$22="ST&gt;4",AH125&gt;=100),AND('4-man'!AH$23="ST&gt;4",AH133&gt;=100),AND('4-man'!AH$24="ST&gt;4",AH141&gt;=100))))),'4-man'!AH$21,0)</f>
        <v/>
      </c>
      <c r="AI156">
        <f>IF(OR('4-man'!AI$25="P",'4-man'!AI$25="R",AND('4-man'!AI$21&lt;=IF('4-man'!$BF$4="",999,'4-man'!$BF$4),OR('4-man'!AI$25="D",LEFT('4-man'!AI$25,3)="ST&gt;",OR(AND('4-man'!AI$22="ST&gt;4",AI125&gt;=100),AND('4-man'!AI$23="ST&gt;4",AI133&gt;=100),AND('4-man'!AI$24="ST&gt;4",AI141&gt;=100))))),'4-man'!AI$21,0)</f>
        <v/>
      </c>
      <c r="AJ156">
        <f>IF(OR('4-man'!AJ$25="P",'4-man'!AJ$25="R",AND('4-man'!AJ$21&lt;=IF('4-man'!$BF$4="",999,'4-man'!$BF$4),OR('4-man'!AJ$25="D",LEFT('4-man'!AJ$25,3)="ST&gt;",OR(AND('4-man'!AJ$22="ST&gt;4",AJ125&gt;=100),AND('4-man'!AJ$23="ST&gt;4",AJ133&gt;=100),AND('4-man'!AJ$24="ST&gt;4",AJ141&gt;=100))))),'4-man'!AJ$21,0)</f>
        <v/>
      </c>
      <c r="AK156">
        <f>IF(OR('4-man'!AK$25="P",'4-man'!AK$25="R",AND('4-man'!AK$21&lt;=IF('4-man'!$BF$4="",999,'4-man'!$BF$4),OR('4-man'!AK$25="D",LEFT('4-man'!AK$25,3)="ST&gt;",OR(AND('4-man'!AK$22="ST&gt;4",AK125&gt;=100),AND('4-man'!AK$23="ST&gt;4",AK133&gt;=100),AND('4-man'!AK$24="ST&gt;4",AK141&gt;=100))))),'4-man'!AK$21,0)</f>
        <v/>
      </c>
      <c r="AL156">
        <f>IF(OR('4-man'!AL$25="P",'4-man'!AL$25="R",AND('4-man'!AL$21&lt;=IF('4-man'!$BF$4="",999,'4-man'!$BF$4),OR('4-man'!AL$25="D",LEFT('4-man'!AL$25,3)="ST&gt;",OR(AND('4-man'!AL$22="ST&gt;4",AL125&gt;=100),AND('4-man'!AL$23="ST&gt;4",AL133&gt;=100),AND('4-man'!AL$24="ST&gt;4",AL141&gt;=100))))),'4-man'!AL$21,0)</f>
        <v/>
      </c>
      <c r="AM156">
        <f>IF(OR('4-man'!AM$25="P",'4-man'!AM$25="R",AND('4-man'!AM$21&lt;=IF('4-man'!$BF$4="",999,'4-man'!$BF$4),OR('4-man'!AM$25="D",LEFT('4-man'!AM$25,3)="ST&gt;",OR(AND('4-man'!AM$22="ST&gt;4",AM125&gt;=100),AND('4-man'!AM$23="ST&gt;4",AM133&gt;=100),AND('4-man'!AM$24="ST&gt;4",AM141&gt;=100))))),'4-man'!AM$21,0)</f>
        <v/>
      </c>
      <c r="AN156">
        <f>IF(OR('4-man'!AN$25="P",'4-man'!AN$25="R",AND('4-man'!AN$21&lt;=IF('4-man'!$BF$4="",999,'4-man'!$BF$4),OR('4-man'!AN$25="D",LEFT('4-man'!AN$25,3)="ST&gt;",OR(AND('4-man'!AN$22="ST&gt;4",AN125&gt;=100),AND('4-man'!AN$23="ST&gt;4",AN133&gt;=100),AND('4-man'!AN$24="ST&gt;4",AN141&gt;=100))))),'4-man'!AN$21,0)</f>
        <v/>
      </c>
      <c r="AO156">
        <f>IF(OR('4-man'!AO$25="P",'4-man'!AO$25="R",AND('4-man'!AO$21&lt;=IF('4-man'!$BF$4="",999,'4-man'!$BF$4),OR('4-man'!AO$25="D",LEFT('4-man'!AO$25,3)="ST&gt;",OR(AND('4-man'!AO$22="ST&gt;4",AO125&gt;=100),AND('4-man'!AO$23="ST&gt;4",AO133&gt;=100),AND('4-man'!AO$24="ST&gt;4",AO141&gt;=100))))),'4-man'!AO$21,0)</f>
        <v/>
      </c>
      <c r="AP156">
        <f>IF(OR('4-man'!AP$25="P",'4-man'!AP$25="R",AND('4-man'!AP$21&lt;=IF('4-man'!$BF$4="",999,'4-man'!$BF$4),OR('4-man'!AP$25="D",LEFT('4-man'!AP$25,3)="ST&gt;",OR(AND('4-man'!AP$22="ST&gt;4",AP125&gt;=100),AND('4-man'!AP$23="ST&gt;4",AP133&gt;=100),AND('4-man'!AP$24="ST&gt;4",AP141&gt;=100))))),'4-man'!AP$21,0)</f>
        <v/>
      </c>
      <c r="AQ156">
        <f>IF(OR('4-man'!AQ$25="P",'4-man'!AQ$25="R",AND('4-man'!AQ$21&lt;=IF('4-man'!$BF$4="",999,'4-man'!$BF$4),OR('4-man'!AQ$25="D",LEFT('4-man'!AQ$25,3)="ST&gt;",OR(AND('4-man'!AQ$22="ST&gt;4",AQ125&gt;=100),AND('4-man'!AQ$23="ST&gt;4",AQ133&gt;=100),AND('4-man'!AQ$24="ST&gt;4",AQ141&gt;=100))))),'4-man'!AQ$21,0)</f>
        <v/>
      </c>
      <c r="AR156">
        <f>IF(OR('4-man'!AR$25="P",'4-man'!AR$25="R",AND('4-man'!AR$21&lt;=IF('4-man'!$BF$4="",999,'4-man'!$BF$4),OR('4-man'!AR$25="D",LEFT('4-man'!AR$25,3)="ST&gt;",OR(AND('4-man'!AR$22="ST&gt;4",AR125&gt;=100),AND('4-man'!AR$23="ST&gt;4",AR133&gt;=100),AND('4-man'!AR$24="ST&gt;4",AR141&gt;=100))))),'4-man'!AR$21,0)</f>
        <v/>
      </c>
      <c r="AS156">
        <f>IF(OR('4-man'!AS$25="P",'4-man'!AS$25="R",AND('4-man'!AS$21&lt;=IF('4-man'!$BF$4="",999,'4-man'!$BF$4),OR('4-man'!AS$25="D",LEFT('4-man'!AS$25,3)="ST&gt;",OR(AND('4-man'!AS$22="ST&gt;4",AS125&gt;=100),AND('4-man'!AS$23="ST&gt;4",AS133&gt;=100),AND('4-man'!AS$24="ST&gt;4",AS141&gt;=100))))),'4-man'!AS$21,0)</f>
        <v/>
      </c>
      <c r="AT156">
        <f>IF(OR('4-man'!AT$25="P",'4-man'!AT$25="R",AND('4-man'!AT$21&lt;=IF('4-man'!$BF$4="",999,'4-man'!$BF$4),OR('4-man'!AT$25="D",LEFT('4-man'!AT$25,3)="ST&gt;",OR(AND('4-man'!AT$22="ST&gt;4",AT125&gt;=100),AND('4-man'!AT$23="ST&gt;4",AT133&gt;=100),AND('4-man'!AT$24="ST&gt;4",AT141&gt;=100))))),'4-man'!AT$21,0)</f>
        <v/>
      </c>
      <c r="AU156">
        <f>IF(OR('4-man'!AU$25="P",'4-man'!AU$25="R",AND('4-man'!AU$21&lt;=IF('4-man'!$BF$4="",999,'4-man'!$BF$4),OR('4-man'!AU$25="D",LEFT('4-man'!AU$25,3)="ST&gt;",OR(AND('4-man'!AU$22="ST&gt;4",AU125&gt;=100),AND('4-man'!AU$23="ST&gt;4",AU133&gt;=100),AND('4-man'!AU$24="ST&gt;4",AU141&gt;=100))))),'4-man'!AU$21,0)</f>
        <v/>
      </c>
      <c r="AV156">
        <f>IF(OR('4-man'!AV$25="P",'4-man'!AV$25="R",AND('4-man'!AV$21&lt;=IF('4-man'!$BF$4="",999,'4-man'!$BF$4),OR('4-man'!AV$25="D",LEFT('4-man'!AV$25,3)="ST&gt;",OR(AND('4-man'!AV$22="ST&gt;4",AV125&gt;=100),AND('4-man'!AV$23="ST&gt;4",AV133&gt;=100),AND('4-man'!AV$24="ST&gt;4",AV141&gt;=100))))),'4-man'!AV$21,0)</f>
        <v/>
      </c>
      <c r="AW156">
        <f>IF(OR('4-man'!AW$25="P",'4-man'!AW$25="R",AND('4-man'!AW$21&lt;=IF('4-man'!$BF$4="",999,'4-man'!$BF$4),OR('4-man'!AW$25="D",LEFT('4-man'!AW$25,3)="ST&gt;",OR(AND('4-man'!AW$22="ST&gt;4",AW125&gt;=100),AND('4-man'!AW$23="ST&gt;4",AW133&gt;=100),AND('4-man'!AW$24="ST&gt;4",AW141&gt;=100))))),'4-man'!AW$21,0)</f>
        <v/>
      </c>
      <c r="AX156">
        <f>IF(OR('4-man'!AX$25="P",'4-man'!AX$25="R",AND('4-man'!AX$21&lt;=IF('4-man'!$BF$4="",999,'4-man'!$BF$4),OR('4-man'!AX$25="D",LEFT('4-man'!AX$25,3)="ST&gt;",OR(AND('4-man'!AX$22="ST&gt;4",AX125&gt;=100),AND('4-man'!AX$23="ST&gt;4",AX133&gt;=100),AND('4-man'!AX$24="ST&gt;4",AX141&gt;=100))))),'4-man'!AX$21,0)</f>
        <v/>
      </c>
      <c r="AY156">
        <f>IF(OR('4-man'!AY$25="P",'4-man'!AY$25="R",AND('4-man'!AY$21&lt;=IF('4-man'!$BF$4="",999,'4-man'!$BF$4),OR('4-man'!AY$25="D",LEFT('4-man'!AY$25,3)="ST&gt;",OR(AND('4-man'!AY$22="ST&gt;4",AY125&gt;=100),AND('4-man'!AY$23="ST&gt;4",AY133&gt;=100),AND('4-man'!AY$24="ST&gt;4",AY141&gt;=100))))),'4-man'!AY$21,0)</f>
        <v/>
      </c>
      <c r="AZ156">
        <f>IF(OR('4-man'!AZ$25="P",'4-man'!AZ$25="R",AND('4-man'!AZ$21&lt;=IF('4-man'!$BF$4="",999,'4-man'!$BF$4),OR('4-man'!AZ$25="D",LEFT('4-man'!AZ$25,3)="ST&gt;",OR(AND('4-man'!AZ$22="ST&gt;4",AZ125&gt;=100),AND('4-man'!AZ$23="ST&gt;4",AZ133&gt;=100),AND('4-man'!AZ$24="ST&gt;4",AZ141&gt;=100))))),'4-man'!AZ$21,0)</f>
        <v/>
      </c>
      <c r="BA156">
        <f>IF(OR('4-man'!BA$25="P",'4-man'!BA$25="R",AND('4-man'!BA$21&lt;=IF('4-man'!$BF$4="",999,'4-man'!$BF$4),OR('4-man'!BA$25="D",LEFT('4-man'!BA$25,3)="ST&gt;",OR(AND('4-man'!BA$22="ST&gt;4",BA125&gt;=100),AND('4-man'!BA$23="ST&gt;4",BA133&gt;=100),AND('4-man'!BA$24="ST&gt;4",BA141&gt;=100))))),'4-man'!BA$21,0)</f>
        <v/>
      </c>
      <c r="BB156">
        <f>IF(OR('4-man'!BB$25="P",'4-man'!BB$25="R",AND('4-man'!BB$21&lt;=IF('4-man'!$BF$4="",999,'4-man'!$BF$4),OR('4-man'!BB$25="D",LEFT('4-man'!BB$25,3)="ST&gt;",OR(AND('4-man'!BB$22="ST&gt;4",BB125&gt;=100),AND('4-man'!BB$23="ST&gt;4",BB133&gt;=100),AND('4-man'!BB$24="ST&gt;4",BB141&gt;=100))))),'4-man'!BB$21,0)</f>
        <v/>
      </c>
      <c r="BC156">
        <f>IF(OR('4-man'!BC$25="P",'4-man'!BC$25="R",AND('4-man'!BC$21&lt;=IF('4-man'!$BF$4="",999,'4-man'!$BF$4),OR('4-man'!BC$25="D",LEFT('4-man'!BC$25,3)="ST&gt;",OR(AND('4-man'!BC$22="ST&gt;4",BC125&gt;=100),AND('4-man'!BC$23="ST&gt;4",BC133&gt;=100),AND('4-man'!BC$24="ST&gt;4",BC141&gt;=100))))),'4-man'!BC$21,0)</f>
        <v/>
      </c>
      <c r="BD156">
        <f>IF(OR('4-man'!BD$25="P",'4-man'!BD$25="R",AND('4-man'!BD$21&lt;=IF('4-man'!$BF$4="",999,'4-man'!$BF$4),OR('4-man'!BD$25="D",LEFT('4-man'!BD$25,3)="ST&gt;",OR(AND('4-man'!BD$22="ST&gt;4",BD125&gt;=100),AND('4-man'!BD$23="ST&gt;4",BD133&gt;=100),AND('4-man'!BD$24="ST&gt;4",BD141&gt;=100))))),'4-man'!BD$21,0)</f>
        <v/>
      </c>
      <c r="BE156">
        <f>IF(OR('4-man'!BE$25="P",'4-man'!BE$25="R",AND('4-man'!BE$21&lt;=IF('4-man'!$BF$4="",999,'4-man'!$BF$4),OR('4-man'!BE$25="D",LEFT('4-man'!BE$25,3)="ST&gt;",OR(AND('4-man'!BE$22="ST&gt;4",BE125&gt;=100),AND('4-man'!BE$23="ST&gt;4",BE133&gt;=100),AND('4-man'!BE$24="ST&gt;4",BE141&gt;=100))))),'4-man'!BE$21,0)</f>
        <v/>
      </c>
      <c r="BF156">
        <f>IF(OR('4-man'!BF$25="P",'4-man'!BF$25="R",AND('4-man'!BF$21&lt;=IF('4-man'!$BF$4="",999,'4-man'!$BF$4),OR('4-man'!BF$25="D",LEFT('4-man'!BF$25,3)="ST&gt;",OR(AND('4-man'!BF$22="ST&gt;4",BF125&gt;=100),AND('4-man'!BF$23="ST&gt;4",BF133&gt;=100),AND('4-man'!BF$24="ST&gt;4",BF141&gt;=100))))),'4-man'!BF$21,0)</f>
        <v/>
      </c>
      <c r="BG156">
        <f>IF(OR('4-man'!BG$25="P",'4-man'!BG$25="R",AND('4-man'!BG$21&lt;=IF('4-man'!$BF$4="",999,'4-man'!$BF$4),OR('4-man'!BG$25="D",LEFT('4-man'!BG$25,3)="ST&gt;",OR(AND('4-man'!BG$22="ST&gt;4",BG125&gt;=100),AND('4-man'!BG$23="ST&gt;4",BG133&gt;=100),AND('4-man'!BG$24="ST&gt;4",BG141&gt;=100))))),'4-man'!BG$21,0)</f>
        <v/>
      </c>
      <c r="BH156">
        <f>IF(OR('4-man'!BH$25="P",'4-man'!BH$25="R",AND('4-man'!BH$21&lt;=IF('4-man'!$BF$4="",999,'4-man'!$BF$4),OR('4-man'!BH$25="D",LEFT('4-man'!BH$25,3)="ST&gt;",OR(AND('4-man'!BH$22="ST&gt;4",BH125&gt;=100),AND('4-man'!BH$23="ST&gt;4",BH133&gt;=100),AND('4-man'!BH$24="ST&gt;4",BH141&gt;=100))))),'4-man'!BH$21,0)</f>
        <v/>
      </c>
      <c r="BI156">
        <f>IF(OR('4-man'!BI$25="P",'4-man'!BI$25="R",AND('4-man'!BI$21&lt;=IF('4-man'!$BF$4="",999,'4-man'!$BF$4),OR('4-man'!BI$25="D",LEFT('4-man'!BI$25,3)="ST&gt;",OR(AND('4-man'!BI$22="ST&gt;4",BI125&gt;=100),AND('4-man'!BI$23="ST&gt;4",BI133&gt;=100),AND('4-man'!BI$24="ST&gt;4",BI141&gt;=100))))),'4-man'!BI$21,0)</f>
        <v/>
      </c>
      <c r="BJ156">
        <f>IF(OR('4-man'!BJ$25="P",'4-man'!BJ$25="R",AND('4-man'!BJ$21&lt;=IF('4-man'!$BF$4="",999,'4-man'!$BF$4),OR('4-man'!BJ$25="D",LEFT('4-man'!BJ$25,3)="ST&gt;",OR(AND('4-man'!BJ$22="ST&gt;4",BJ125&gt;=100),AND('4-man'!BJ$23="ST&gt;4",BJ133&gt;=100),AND('4-man'!BJ$24="ST&gt;4",BJ141&gt;=100))))),'4-man'!BJ$21,0)</f>
        <v/>
      </c>
      <c r="BK156">
        <f>IF(OR('4-man'!BK$25="P",'4-man'!BK$25="R",AND('4-man'!BK$21&lt;=IF('4-man'!$BF$4="",999,'4-man'!$BF$4),OR('4-man'!BK$25="D",LEFT('4-man'!BK$25,3)="ST&gt;",OR(AND('4-man'!BK$22="ST&gt;4",BK125&gt;=100),AND('4-man'!BK$23="ST&gt;4",BK133&gt;=100),AND('4-man'!BK$24="ST&gt;4",BK141&gt;=100))))),'4-man'!BK$21,0)</f>
        <v/>
      </c>
      <c r="BL156">
        <f>IF(OR('4-man'!BL$25="P",'4-man'!BL$25="R",AND('4-man'!BL$21&lt;=IF('4-man'!$BF$4="",999,'4-man'!$BF$4),OR('4-man'!BL$25="D",LEFT('4-man'!BL$25,3)="ST&gt;",OR(AND('4-man'!BL$22="ST&gt;4",BL125&gt;=100),AND('4-man'!BL$23="ST&gt;4",BL133&gt;=100),AND('4-man'!BL$24="ST&gt;4",BL141&gt;=100))))),'4-man'!BL$21,0)</f>
        <v/>
      </c>
      <c r="BM156">
        <f>IF(OR('4-man'!BM$25="P",'4-man'!BM$25="R",AND('4-man'!BM$21&lt;=IF('4-man'!$BF$4="",999,'4-man'!$BF$4),OR('4-man'!BM$25="D",LEFT('4-man'!BM$25,3)="ST&gt;",OR(AND('4-man'!BM$22="ST&gt;4",BM125&gt;=100),AND('4-man'!BM$23="ST&gt;4",BM133&gt;=100),AND('4-man'!BM$24="ST&gt;4",BM141&gt;=100))))),'4-man'!BM$21,0)</f>
        <v/>
      </c>
      <c r="BN156">
        <f>IF(OR('4-man'!BN$25="P",'4-man'!BN$25="R",AND('4-man'!BN$21&lt;=IF('4-man'!$BF$4="",999,'4-man'!$BF$4),OR('4-man'!BN$25="D",LEFT('4-man'!BN$25,3)="ST&gt;",OR(AND('4-man'!BN$22="ST&gt;4",BN125&gt;=100),AND('4-man'!BN$23="ST&gt;4",BN133&gt;=100),AND('4-man'!BN$24="ST&gt;4",BN141&gt;=100))))),'4-man'!BN$21,0)</f>
        <v/>
      </c>
      <c r="BO156">
        <f>IF(OR('4-man'!BO$25="P",'4-man'!BO$25="R",AND('4-man'!BO$21&lt;=IF('4-man'!$BF$4="",999,'4-man'!$BF$4),OR('4-man'!BO$25="D",LEFT('4-man'!BO$25,3)="ST&gt;",OR(AND('4-man'!BO$22="ST&gt;4",BO125&gt;=100),AND('4-man'!BO$23="ST&gt;4",BO133&gt;=100),AND('4-man'!BO$24="ST&gt;4",BO141&gt;=100))))),'4-man'!BO$21,0)</f>
        <v/>
      </c>
      <c r="BP156">
        <f>IF(OR('4-man'!BP$25="P",'4-man'!BP$25="R",AND('4-man'!BP$21&lt;=IF('4-man'!$BF$4="",999,'4-man'!$BF$4),OR('4-man'!BP$25="D",LEFT('4-man'!BP$25,3)="ST&gt;",OR(AND('4-man'!BP$22="ST&gt;4",BP125&gt;=100),AND('4-man'!BP$23="ST&gt;4",BP133&gt;=100),AND('4-man'!BP$24="ST&gt;4",BP141&gt;=100))))),'4-man'!BP$21,0)</f>
        <v/>
      </c>
      <c r="BQ156">
        <f>IF(OR('4-man'!BQ$25="P",'4-man'!BQ$25="R",AND('4-man'!BQ$21&lt;=IF('4-man'!$BF$4="",999,'4-man'!$BF$4),OR('4-man'!BQ$25="D",LEFT('4-man'!BQ$25,3)="ST&gt;",OR(AND('4-man'!BQ$22="ST&gt;4",BQ125&gt;=100),AND('4-man'!BQ$23="ST&gt;4",BQ133&gt;=100),AND('4-man'!BQ$24="ST&gt;4",BQ141&gt;=100))))),'4-man'!BQ$21,0)</f>
        <v/>
      </c>
      <c r="BR156">
        <f>IF(OR('4-man'!BR$25="P",'4-man'!BR$25="R",AND('4-man'!BR$21&lt;=IF('4-man'!$BF$4="",999,'4-man'!$BF$4),OR('4-man'!BR$25="D",LEFT('4-man'!BR$25,3)="ST&gt;",OR(AND('4-man'!BR$22="ST&gt;4",BR125&gt;=100),AND('4-man'!BR$23="ST&gt;4",BR133&gt;=100),AND('4-man'!BR$24="ST&gt;4",BR141&gt;=100))))),'4-man'!BR$21,0)</f>
        <v/>
      </c>
      <c r="BS156">
        <f>IF(OR('4-man'!BS$25="P",'4-man'!BS$25="R",AND('4-man'!BS$21&lt;=IF('4-man'!$BF$4="",999,'4-man'!$BF$4),OR('4-man'!BS$25="D",LEFT('4-man'!BS$25,3)="ST&gt;",OR(AND('4-man'!BS$22="ST&gt;4",BS125&gt;=100),AND('4-man'!BS$23="ST&gt;4",BS133&gt;=100),AND('4-man'!BS$24="ST&gt;4",BS141&gt;=100))))),'4-man'!BS$21,0)</f>
        <v/>
      </c>
      <c r="BT156">
        <f>IF(OR('4-man'!BT$25="P",'4-man'!BT$25="R",AND('4-man'!BT$21&lt;=IF('4-man'!$BF$4="",999,'4-man'!$BF$4),OR('4-man'!BT$25="D",LEFT('4-man'!BT$25,3)="ST&gt;",OR(AND('4-man'!BT$22="ST&gt;4",BT125&gt;=100),AND('4-man'!BT$23="ST&gt;4",BT133&gt;=100),AND('4-man'!BT$24="ST&gt;4",BT141&gt;=100))))),'4-man'!BT$21,0)</f>
        <v/>
      </c>
      <c r="BU156">
        <f>IF(OR('4-man'!BU$25="P",'4-man'!BU$25="R",AND('4-man'!BU$21&lt;=IF('4-man'!$BF$4="",999,'4-man'!$BF$4),OR('4-man'!BU$25="D",LEFT('4-man'!BU$25,3)="ST&gt;",OR(AND('4-man'!BU$22="ST&gt;4",BU125&gt;=100),AND('4-man'!BU$23="ST&gt;4",BU133&gt;=100),AND('4-man'!BU$24="ST&gt;4",BU141&gt;=100))))),'4-man'!BU$21,0)</f>
        <v/>
      </c>
      <c r="BV156">
        <f>IF(OR('4-man'!BV$25="P",'4-man'!BV$25="R",AND('4-man'!BV$21&lt;=IF('4-man'!$BF$4="",999,'4-man'!$BF$4),OR('4-man'!BV$25="D",LEFT('4-man'!BV$25,3)="ST&gt;",OR(AND('4-man'!BV$22="ST&gt;4",BV125&gt;=100),AND('4-man'!BV$23="ST&gt;4",BV133&gt;=100),AND('4-man'!BV$24="ST&gt;4",BV141&gt;=100))))),'4-man'!BV$21,0)</f>
        <v/>
      </c>
      <c r="BW156">
        <f>IF(OR('4-man'!BW$25="P",'4-man'!BW$25="R",AND('4-man'!BW$21&lt;=IF('4-man'!$BF$4="",999,'4-man'!$BF$4),OR('4-man'!BW$25="D",LEFT('4-man'!BW$25,3)="ST&gt;",OR(AND('4-man'!BW$22="ST&gt;4",BW125&gt;=100),AND('4-man'!BW$23="ST&gt;4",BW133&gt;=100),AND('4-man'!BW$24="ST&gt;4",BW141&gt;=100))))),'4-man'!BW$21,0)</f>
        <v/>
      </c>
      <c r="BX156">
        <f>IF(OR('4-man'!BX$25="P",'4-man'!BX$25="R",AND('4-man'!BX$21&lt;=IF('4-man'!$BF$4="",999,'4-man'!$BF$4),OR('4-man'!BX$25="D",LEFT('4-man'!BX$25,3)="ST&gt;",OR(AND('4-man'!BX$22="ST&gt;4",BX125&gt;=100),AND('4-man'!BX$23="ST&gt;4",BX133&gt;=100),AND('4-man'!BX$24="ST&gt;4",BX141&gt;=100))))),'4-man'!BX$21,0)</f>
        <v/>
      </c>
      <c r="BY156">
        <f>IF(OR('4-man'!BY$25="P",'4-man'!BY$25="R",AND('4-man'!BY$21&lt;=IF('4-man'!$BF$4="",999,'4-man'!$BF$4),OR('4-man'!BY$25="D",LEFT('4-man'!BY$25,3)="ST&gt;",OR(AND('4-man'!BY$22="ST&gt;4",BY125&gt;=100),AND('4-man'!BY$23="ST&gt;4",BY133&gt;=100),AND('4-man'!BY$24="ST&gt;4",BY141&gt;=100))))),'4-man'!BY$21,0)</f>
        <v/>
      </c>
      <c r="BZ156">
        <f>IF(OR('4-man'!BZ$25="P",'4-man'!BZ$25="R",AND('4-man'!BZ$21&lt;=IF('4-man'!$BF$4="",999,'4-man'!$BF$4),OR('4-man'!BZ$25="D",LEFT('4-man'!BZ$25,3)="ST&gt;",OR(AND('4-man'!BZ$22="ST&gt;4",BZ125&gt;=100),AND('4-man'!BZ$23="ST&gt;4",BZ133&gt;=100),AND('4-man'!BZ$24="ST&gt;4",BZ141&gt;=100))))),'4-man'!BZ$21,0)</f>
        <v/>
      </c>
      <c r="CA156">
        <f>IF(OR('4-man'!CA$25="P",'4-man'!CA$25="R",AND('4-man'!CA$21&lt;=IF('4-man'!$BF$4="",999,'4-man'!$BF$4),OR('4-man'!CA$25="D",LEFT('4-man'!CA$25,3)="ST&gt;",OR(AND('4-man'!CA$22="ST&gt;4",CA125&gt;=100),AND('4-man'!CA$23="ST&gt;4",CA133&gt;=100),AND('4-man'!CA$24="ST&gt;4",CA141&gt;=100))))),'4-man'!CA$21,0)</f>
        <v/>
      </c>
      <c r="CB156">
        <f>IF(OR('4-man'!CB$25="P",'4-man'!CB$25="R",AND('4-man'!CB$21&lt;=IF('4-man'!$BF$4="",999,'4-man'!$BF$4),OR('4-man'!CB$25="D",LEFT('4-man'!CB$25,3)="ST&gt;",OR(AND('4-man'!CB$22="ST&gt;4",CB125&gt;=100),AND('4-man'!CB$23="ST&gt;4",CB133&gt;=100),AND('4-man'!CB$24="ST&gt;4",CB141&gt;=100))))),'4-man'!CB$21,0)</f>
        <v/>
      </c>
      <c r="CC156">
        <f>IF(OR('4-man'!CC$25="P",'4-man'!CC$25="R",AND('4-man'!CC$21&lt;=IF('4-man'!$BF$4="",999,'4-man'!$BF$4),OR('4-man'!CC$25="D",LEFT('4-man'!CC$25,3)="ST&gt;",OR(AND('4-man'!CC$22="ST&gt;4",CC125&gt;=100),AND('4-man'!CC$23="ST&gt;4",CC133&gt;=100),AND('4-man'!CC$24="ST&gt;4",CC141&gt;=100))))),'4-man'!CC$21,0)</f>
        <v/>
      </c>
      <c r="CD156">
        <f>IF(OR('4-man'!CD$25="P",'4-man'!CD$25="R",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MIN(100,B166+IF(AND(B166&lt;100,B167+1&gt;=IF(OR('4-man'!$F$37=TRUE,'4-man'!$F$37="TRUE",'4-man'!$F$37="Yes"),25,50)),10,0)+IF('4-man'!C$54=$Q$171,25,0))</f>
        <v/>
      </c>
      <c r="D165">
        <f>MIN(100,C166+IF(AND(C166&lt;100,C167+1&gt;=IF(OR('4-man'!$F$37=TRUE,'4-man'!$F$37="TRUE",'4-man'!$F$37="Yes"),25,50)),10,0)+IF('4-man'!D$54=$Q$171,25,0))</f>
        <v/>
      </c>
      <c r="E165">
        <f>MIN(100,D166+IF(AND(D166&lt;100,D167+1&gt;=IF(OR('4-man'!$F$37=TRUE,'4-man'!$F$37="TRUE",'4-man'!$F$37="Yes"),25,50)),10,0)+IF('4-man'!E$54=$Q$171,25,0))</f>
        <v/>
      </c>
      <c r="F165">
        <f>MIN(100,E166+IF(AND(E166&lt;100,E167+1&gt;=IF(OR('4-man'!$F$37=TRUE,'4-man'!$F$37="TRUE",'4-man'!$F$37="Yes"),25,50)),10,0)+IF('4-man'!F$54=$Q$171,25,0))</f>
        <v/>
      </c>
      <c r="G165">
        <f>MIN(100,F166+IF(AND(F166&lt;100,F167+1&gt;=IF(OR('4-man'!$F$37=TRUE,'4-man'!$F$37="TRUE",'4-man'!$F$37="Yes"),25,50)),10,0)+IF('4-man'!G$54=$Q$171,25,0))</f>
        <v/>
      </c>
      <c r="H165">
        <f>MIN(100,G166+IF(AND(G166&lt;100,G167+1&gt;=IF(OR('4-man'!$F$37=TRUE,'4-man'!$F$37="TRUE",'4-man'!$F$37="Yes"),25,50)),10,0)+IF('4-man'!H$54=$Q$171,25,0))</f>
        <v/>
      </c>
      <c r="I165">
        <f>MIN(100,H166+IF(AND(H166&lt;100,H167+1&gt;=IF(OR('4-man'!$F$37=TRUE,'4-man'!$F$37="TRUE",'4-man'!$F$37="Yes"),25,50)),10,0)+IF('4-man'!I$54=$Q$171,25,0))</f>
        <v/>
      </c>
      <c r="J165">
        <f>MIN(100,I166+IF(AND(I166&lt;100,I167+1&gt;=IF(OR('4-man'!$F$37=TRUE,'4-man'!$F$37="TRUE",'4-man'!$F$37="Yes"),25,50)),10,0)+IF('4-man'!J$54=$Q$171,25,0))</f>
        <v/>
      </c>
      <c r="K165">
        <f>MIN(100,J166+IF(AND(J166&lt;100,J167+1&gt;=IF(OR('4-man'!$F$37=TRUE,'4-man'!$F$37="TRUE",'4-man'!$F$37="Yes"),25,50)),10,0)+IF('4-man'!K$54=$Q$171,25,0))</f>
        <v/>
      </c>
      <c r="L165">
        <f>MIN(100,K166+IF(AND(K166&lt;100,K167+1&gt;=IF(OR('4-man'!$F$37=TRUE,'4-man'!$F$37="TRUE",'4-man'!$F$37="Yes"),25,50)),10,0)+IF('4-man'!L$54=$Q$171,25,0))</f>
        <v/>
      </c>
      <c r="M165">
        <f>MIN(100,L166+IF(AND(L166&lt;100,L167+1&gt;=IF(OR('4-man'!$F$37=TRUE,'4-man'!$F$37="TRUE",'4-man'!$F$37="Yes"),25,50)),10,0)+IF('4-man'!M$54=$Q$171,25,0))</f>
        <v/>
      </c>
      <c r="N165">
        <f>MIN(100,M166+IF(AND(M166&lt;100,M167+1&gt;=IF(OR('4-man'!$F$37=TRUE,'4-man'!$F$37="TRUE",'4-man'!$F$37="Yes"),25,50)),10,0)+IF('4-man'!N$54=$Q$171,25,0))</f>
        <v/>
      </c>
      <c r="O165">
        <f>MIN(100,N166+IF(AND(N166&lt;100,N167+1&gt;=IF(OR('4-man'!$F$37=TRUE,'4-man'!$F$37="TRUE",'4-man'!$F$37="Yes"),25,50)),10,0)+IF('4-man'!O$54=$Q$171,25,0))</f>
        <v/>
      </c>
      <c r="P165">
        <f>MIN(100,O166+IF(AND(O166&lt;100,O167+1&gt;=IF(OR('4-man'!$F$37=TRUE,'4-man'!$F$37="TRUE",'4-man'!$F$37="Yes"),25,50)),10,0)+IF('4-man'!P$54=$Q$171,25,0))</f>
        <v/>
      </c>
      <c r="Q165">
        <f>MIN(100,P166+IF(AND(P166&lt;100,P167+1&gt;=IF(OR('4-man'!$F$37=TRUE,'4-man'!$F$37="TRUE",'4-man'!$F$37="Yes"),25,50)),10,0)+IF('4-man'!Q$54=$Q$171,25,0))</f>
        <v/>
      </c>
      <c r="R165">
        <f>MIN(100,Q166+IF(AND(Q166&lt;100,Q167+1&gt;=IF(OR('4-man'!$F$37=TRUE,'4-man'!$F$37="TRUE",'4-man'!$F$37="Yes"),25,50)),10,0)+IF('4-man'!R$54=$Q$171,25,0))</f>
        <v/>
      </c>
      <c r="S165">
        <f>MIN(100,R166+IF(AND(R166&lt;100,R167+1&gt;=IF(OR('4-man'!$F$37=TRUE,'4-man'!$F$37="TRUE",'4-man'!$F$37="Yes"),25,50)),10,0)+IF('4-man'!S$54=$Q$171,25,0))</f>
        <v/>
      </c>
      <c r="T165">
        <f>MIN(100,S166+IF(AND(S166&lt;100,S167+1&gt;=IF(OR('4-man'!$F$37=TRUE,'4-man'!$F$37="TRUE",'4-man'!$F$37="Yes"),25,50)),10,0)+IF('4-man'!T$54=$Q$171,25,0))</f>
        <v/>
      </c>
      <c r="U165">
        <f>MIN(100,T166+IF(AND(T166&lt;100,T167+1&gt;=IF(OR('4-man'!$F$37=TRUE,'4-man'!$F$37="TRUE",'4-man'!$F$37="Yes"),25,50)),10,0)+IF('4-man'!U$54=$Q$171,25,0))</f>
        <v/>
      </c>
      <c r="V165">
        <f>MIN(100,U166+IF(AND(U166&lt;100,U167+1&gt;=IF(OR('4-man'!$F$37=TRUE,'4-man'!$F$37="TRUE",'4-man'!$F$37="Yes"),25,50)),10,0)+IF('4-man'!V$54=$Q$171,25,0))</f>
        <v/>
      </c>
      <c r="W165">
        <f>MIN(100,V166+IF(AND(V166&lt;100,V167+1&gt;=IF(OR('4-man'!$F$37=TRUE,'4-man'!$F$37="TRUE",'4-man'!$F$37="Yes"),25,50)),10,0)+IF('4-man'!W$54=$Q$171,25,0))</f>
        <v/>
      </c>
      <c r="X165">
        <f>MIN(100,W166+IF(AND(W166&lt;100,W167+1&gt;=IF(OR('4-man'!$F$37=TRUE,'4-man'!$F$37="TRUE",'4-man'!$F$37="Yes"),25,50)),10,0)+IF('4-man'!X$54=$Q$171,25,0))</f>
        <v/>
      </c>
      <c r="Y165">
        <f>MIN(100,X166+IF(AND(X166&lt;100,X167+1&gt;=IF(OR('4-man'!$F$37=TRUE,'4-man'!$F$37="TRUE",'4-man'!$F$37="Yes"),25,50)),10,0)+IF('4-man'!Y$54=$Q$171,25,0))</f>
        <v/>
      </c>
      <c r="Z165">
        <f>MIN(100,Y166+IF(AND(Y166&lt;100,Y167+1&gt;=IF(OR('4-man'!$F$37=TRUE,'4-man'!$F$37="TRUE",'4-man'!$F$37="Yes"),25,50)),10,0)+IF('4-man'!Z$54=$Q$171,25,0))</f>
        <v/>
      </c>
      <c r="AA165">
        <f>MIN(100,Z166+IF(AND(Z166&lt;100,Z167+1&gt;=IF(OR('4-man'!$F$37=TRUE,'4-man'!$F$37="TRUE",'4-man'!$F$37="Yes"),25,50)),10,0)+IF('4-man'!AA$54=$Q$171,25,0))</f>
        <v/>
      </c>
      <c r="AB165">
        <f>MIN(100,AA166+IF(AND(AA166&lt;100,AA167+1&gt;=IF(OR('4-man'!$F$37=TRUE,'4-man'!$F$37="TRUE",'4-man'!$F$37="Yes"),25,50)),10,0)+IF('4-man'!AB$54=$Q$171,25,0))</f>
        <v/>
      </c>
      <c r="AC165">
        <f>MIN(100,AB166+IF(AND(AB166&lt;100,AB167+1&gt;=IF(OR('4-man'!$F$37=TRUE,'4-man'!$F$37="TRUE",'4-man'!$F$37="Yes"),25,50)),10,0)+IF('4-man'!AC$54=$Q$171,25,0))</f>
        <v/>
      </c>
      <c r="AD165">
        <f>MIN(100,AC166+IF(AND(AC166&lt;100,AC167+1&gt;=IF(OR('4-man'!$F$37=TRUE,'4-man'!$F$37="TRUE",'4-man'!$F$37="Yes"),25,50)),10,0)+IF('4-man'!AD$54=$Q$171,25,0))</f>
        <v/>
      </c>
      <c r="AE165">
        <f>MIN(100,AD166+IF(AND(AD166&lt;100,AD167+1&gt;=IF(OR('4-man'!$F$37=TRUE,'4-man'!$F$37="TRUE",'4-man'!$F$37="Yes"),25,50)),10,0)+IF('4-man'!AE$54=$Q$171,25,0))</f>
        <v/>
      </c>
      <c r="AF165">
        <f>MIN(100,AE166+IF(AND(AE166&lt;100,AE167+1&gt;=IF(OR('4-man'!$F$37=TRUE,'4-man'!$F$37="TRUE",'4-man'!$F$37="Yes"),25,50)),10,0)+IF('4-man'!AF$54=$Q$171,25,0))</f>
        <v/>
      </c>
      <c r="AG165">
        <f>MIN(100,AF166+IF(AND(AF166&lt;100,AF167+1&gt;=IF(OR('4-man'!$F$37=TRUE,'4-man'!$F$37="TRUE",'4-man'!$F$37="Yes"),25,50)),10,0)+IF('4-man'!AG$54=$Q$171,25,0))</f>
        <v/>
      </c>
      <c r="AH165">
        <f>MIN(100,AG166+IF(AND(AG166&lt;100,AG167+1&gt;=IF(OR('4-man'!$F$37=TRUE,'4-man'!$F$37="TRUE",'4-man'!$F$37="Yes"),25,50)),10,0)+IF('4-man'!AH$54=$Q$171,25,0))</f>
        <v/>
      </c>
      <c r="AI165">
        <f>MIN(100,AH166+IF(AND(AH166&lt;100,AH167+1&gt;=IF(OR('4-man'!$F$37=TRUE,'4-man'!$F$37="TRUE",'4-man'!$F$37="Yes"),25,50)),10,0)+IF('4-man'!AI$54=$Q$171,25,0))</f>
        <v/>
      </c>
      <c r="AJ165">
        <f>MIN(100,AI166+IF(AND(AI166&lt;100,AI167+1&gt;=IF(OR('4-man'!$F$37=TRUE,'4-man'!$F$37="TRUE",'4-man'!$F$37="Yes"),25,50)),10,0)+IF('4-man'!AJ$54=$Q$171,25,0))</f>
        <v/>
      </c>
      <c r="AK165">
        <f>MIN(100,AJ166+IF(AND(AJ166&lt;100,AJ167+1&gt;=IF(OR('4-man'!$F$37=TRUE,'4-man'!$F$37="TRUE",'4-man'!$F$37="Yes"),25,50)),10,0)+IF('4-man'!AK$54=$Q$171,25,0))</f>
        <v/>
      </c>
      <c r="AL165">
        <f>MIN(100,AK166+IF(AND(AK166&lt;100,AK167+1&gt;=IF(OR('4-man'!$F$37=TRUE,'4-man'!$F$37="TRUE",'4-man'!$F$37="Yes"),25,50)),10,0)+IF('4-man'!AL$54=$Q$171,25,0))</f>
        <v/>
      </c>
      <c r="AM165">
        <f>MIN(100,AL166+IF(AND(AL166&lt;100,AL167+1&gt;=IF(OR('4-man'!$F$37=TRUE,'4-man'!$F$37="TRUE",'4-man'!$F$37="Yes"),25,50)),10,0)+IF('4-man'!AM$54=$Q$171,25,0))</f>
        <v/>
      </c>
      <c r="AN165">
        <f>MIN(100,AM166+IF(AND(AM166&lt;100,AM167+1&gt;=IF(OR('4-man'!$F$37=TRUE,'4-man'!$F$37="TRUE",'4-man'!$F$37="Yes"),25,50)),10,0)+IF('4-man'!AN$54=$Q$171,25,0))</f>
        <v/>
      </c>
      <c r="AO165">
        <f>MIN(100,AN166+IF(AND(AN166&lt;100,AN167+1&gt;=IF(OR('4-man'!$F$37=TRUE,'4-man'!$F$37="TRUE",'4-man'!$F$37="Yes"),25,50)),10,0)+IF('4-man'!AO$54=$Q$171,25,0))</f>
        <v/>
      </c>
      <c r="AP165">
        <f>MIN(100,AO166+IF(AND(AO166&lt;100,AO167+1&gt;=IF(OR('4-man'!$F$37=TRUE,'4-man'!$F$37="TRUE",'4-man'!$F$37="Yes"),25,50)),10,0)+IF('4-man'!AP$54=$Q$171,25,0))</f>
        <v/>
      </c>
      <c r="AQ165">
        <f>MIN(100,AP166+IF(AND(AP166&lt;100,AP167+1&gt;=IF(OR('4-man'!$F$37=TRUE,'4-man'!$F$37="TRUE",'4-man'!$F$37="Yes"),25,50)),10,0)+IF('4-man'!AQ$54=$Q$171,25,0))</f>
        <v/>
      </c>
      <c r="AR165">
        <f>MIN(100,AQ166+IF(AND(AQ166&lt;100,AQ167+1&gt;=IF(OR('4-man'!$F$37=TRUE,'4-man'!$F$37="TRUE",'4-man'!$F$37="Yes"),25,50)),10,0)+IF('4-man'!AR$54=$Q$171,25,0))</f>
        <v/>
      </c>
      <c r="AS165">
        <f>MIN(100,AR166+IF(AND(AR166&lt;100,AR167+1&gt;=IF(OR('4-man'!$F$37=TRUE,'4-man'!$F$37="TRUE",'4-man'!$F$37="Yes"),25,50)),10,0)+IF('4-man'!AS$54=$Q$171,25,0))</f>
        <v/>
      </c>
      <c r="AT165">
        <f>MIN(100,AS166+IF(AND(AS166&lt;100,AS167+1&gt;=IF(OR('4-man'!$F$37=TRUE,'4-man'!$F$37="TRUE",'4-man'!$F$37="Yes"),25,50)),10,0)+IF('4-man'!AT$54=$Q$171,25,0))</f>
        <v/>
      </c>
      <c r="AU165">
        <f>MIN(100,AT166+IF(AND(AT166&lt;100,AT167+1&gt;=IF(OR('4-man'!$F$37=TRUE,'4-man'!$F$37="TRUE",'4-man'!$F$37="Yes"),25,50)),10,0)+IF('4-man'!AU$54=$Q$171,25,0))</f>
        <v/>
      </c>
      <c r="AV165">
        <f>MIN(100,AU166+IF(AND(AU166&lt;100,AU167+1&gt;=IF(OR('4-man'!$F$37=TRUE,'4-man'!$F$37="TRUE",'4-man'!$F$37="Yes"),25,50)),10,0)+IF('4-man'!AV$54=$Q$171,25,0))</f>
        <v/>
      </c>
      <c r="AW165">
        <f>MIN(100,AV166+IF(AND(AV166&lt;100,AV167+1&gt;=IF(OR('4-man'!$F$37=TRUE,'4-man'!$F$37="TRUE",'4-man'!$F$37="Yes"),25,50)),10,0)+IF('4-man'!AW$54=$Q$171,25,0))</f>
        <v/>
      </c>
      <c r="AX165">
        <f>MIN(100,AW166+IF(AND(AW166&lt;100,AW167+1&gt;=IF(OR('4-man'!$F$37=TRUE,'4-man'!$F$37="TRUE",'4-man'!$F$37="Yes"),25,50)),10,0)+IF('4-man'!AX$54=$Q$171,25,0))</f>
        <v/>
      </c>
      <c r="AY165">
        <f>MIN(100,AX166+IF(AND(AX166&lt;100,AX167+1&gt;=IF(OR('4-man'!$F$37=TRUE,'4-man'!$F$37="TRUE",'4-man'!$F$37="Yes"),25,50)),10,0)+IF('4-man'!AY$54=$Q$171,25,0))</f>
        <v/>
      </c>
      <c r="AZ165">
        <f>MIN(100,AY166+IF(AND(AY166&lt;100,AY167+1&gt;=IF(OR('4-man'!$F$37=TRUE,'4-man'!$F$37="TRUE",'4-man'!$F$37="Yes"),25,50)),10,0)+IF('4-man'!AZ$54=$Q$171,25,0))</f>
        <v/>
      </c>
      <c r="BA165">
        <f>MIN(100,AZ166+IF(AND(AZ166&lt;100,AZ167+1&gt;=IF(OR('4-man'!$F$37=TRUE,'4-man'!$F$37="TRUE",'4-man'!$F$37="Yes"),25,50)),10,0)+IF('4-man'!BA$54=$Q$171,25,0))</f>
        <v/>
      </c>
      <c r="BB165">
        <f>MIN(100,BA166+IF(AND(BA166&lt;100,BA167+1&gt;=IF(OR('4-man'!$F$37=TRUE,'4-man'!$F$37="TRUE",'4-man'!$F$37="Yes"),25,50)),10,0)+IF('4-man'!BB$54=$Q$171,25,0))</f>
        <v/>
      </c>
      <c r="BC165">
        <f>MIN(100,BB166+IF(AND(BB166&lt;100,BB167+1&gt;=IF(OR('4-man'!$F$37=TRUE,'4-man'!$F$37="TRUE",'4-man'!$F$37="Yes"),25,50)),10,0)+IF('4-man'!BC$54=$Q$171,25,0))</f>
        <v/>
      </c>
      <c r="BD165">
        <f>MIN(100,BC166+IF(AND(BC166&lt;100,BC167+1&gt;=IF(OR('4-man'!$F$37=TRUE,'4-man'!$F$37="TRUE",'4-man'!$F$37="Yes"),25,50)),10,0)+IF('4-man'!BD$54=$Q$171,25,0))</f>
        <v/>
      </c>
      <c r="BE165">
        <f>MIN(100,BD166+IF(AND(BD166&lt;100,BD167+1&gt;=IF(OR('4-man'!$F$37=TRUE,'4-man'!$F$37="TRUE",'4-man'!$F$37="Yes"),25,50)),10,0)+IF('4-man'!BE$54=$Q$171,25,0))</f>
        <v/>
      </c>
      <c r="BF165">
        <f>MIN(100,BE166+IF(AND(BE166&lt;100,BE167+1&gt;=IF(OR('4-man'!$F$37=TRUE,'4-man'!$F$37="TRUE",'4-man'!$F$37="Yes"),25,50)),10,0)+IF('4-man'!BF$54=$Q$171,25,0))</f>
        <v/>
      </c>
      <c r="BG165">
        <f>MIN(100,BF166+IF(AND(BF166&lt;100,BF167+1&gt;=IF(OR('4-man'!$F$37=TRUE,'4-man'!$F$37="TRUE",'4-man'!$F$37="Yes"),25,50)),10,0)+IF('4-man'!BG$54=$Q$171,25,0))</f>
        <v/>
      </c>
      <c r="BH165">
        <f>MIN(100,BG166+IF(AND(BG166&lt;100,BG167+1&gt;=IF(OR('4-man'!$F$37=TRUE,'4-man'!$F$37="TRUE",'4-man'!$F$37="Yes"),25,50)),10,0)+IF('4-man'!BH$54=$Q$171,25,0))</f>
        <v/>
      </c>
      <c r="BI165">
        <f>MIN(100,BH166+IF(AND(BH166&lt;100,BH167+1&gt;=IF(OR('4-man'!$F$37=TRUE,'4-man'!$F$37="TRUE",'4-man'!$F$37="Yes"),25,50)),10,0)+IF('4-man'!BI$54=$Q$171,25,0))</f>
        <v/>
      </c>
      <c r="BJ165">
        <f>MIN(100,BI166+IF(AND(BI166&lt;100,BI167+1&gt;=IF(OR('4-man'!$F$37=TRUE,'4-man'!$F$37="TRUE",'4-man'!$F$37="Yes"),25,50)),10,0)+IF('4-man'!BJ$54=$Q$171,25,0))</f>
        <v/>
      </c>
      <c r="BK165">
        <f>MIN(100,BJ166+IF(AND(BJ166&lt;100,BJ167+1&gt;=IF(OR('4-man'!$F$37=TRUE,'4-man'!$F$37="TRUE",'4-man'!$F$37="Yes"),25,50)),10,0)+IF('4-man'!BK$54=$Q$171,25,0))</f>
        <v/>
      </c>
      <c r="BL165">
        <f>MIN(100,BK166+IF(AND(BK166&lt;100,BK167+1&gt;=IF(OR('4-man'!$F$37=TRUE,'4-man'!$F$37="TRUE",'4-man'!$F$37="Yes"),25,50)),10,0)+IF('4-man'!BL$54=$Q$171,25,0))</f>
        <v/>
      </c>
      <c r="BM165">
        <f>MIN(100,BL166+IF(AND(BL166&lt;100,BL167+1&gt;=IF(OR('4-man'!$F$37=TRUE,'4-man'!$F$37="TRUE",'4-man'!$F$37="Yes"),25,50)),10,0)+IF('4-man'!BM$54=$Q$171,25,0))</f>
        <v/>
      </c>
      <c r="BN165">
        <f>MIN(100,BM166+IF(AND(BM166&lt;100,BM167+1&gt;=IF(OR('4-man'!$F$37=TRUE,'4-man'!$F$37="TRUE",'4-man'!$F$37="Yes"),25,50)),10,0)+IF('4-man'!BN$54=$Q$171,25,0))</f>
        <v/>
      </c>
      <c r="BO165">
        <f>MIN(100,BN166+IF(AND(BN166&lt;100,BN167+1&gt;=IF(OR('4-man'!$F$37=TRUE,'4-man'!$F$37="TRUE",'4-man'!$F$37="Yes"),25,50)),10,0)+IF('4-man'!BO$54=$Q$171,25,0))</f>
        <v/>
      </c>
      <c r="BP165">
        <f>MIN(100,BO166+IF(AND(BO166&lt;100,BO167+1&gt;=IF(OR('4-man'!$F$37=TRUE,'4-man'!$F$37="TRUE",'4-man'!$F$37="Yes"),25,50)),10,0)+IF('4-man'!BP$54=$Q$171,25,0))</f>
        <v/>
      </c>
      <c r="BQ165">
        <f>MIN(100,BP166+IF(AND(BP166&lt;100,BP167+1&gt;=IF(OR('4-man'!$F$37=TRUE,'4-man'!$F$37="TRUE",'4-man'!$F$37="Yes"),25,50)),10,0)+IF('4-man'!BQ$54=$Q$171,25,0))</f>
        <v/>
      </c>
      <c r="BR165">
        <f>MIN(100,BQ166+IF(AND(BQ166&lt;100,BQ167+1&gt;=IF(OR('4-man'!$F$37=TRUE,'4-man'!$F$37="TRUE",'4-man'!$F$37="Yes"),25,50)),10,0)+IF('4-man'!BR$54=$Q$171,25,0))</f>
        <v/>
      </c>
      <c r="BS165">
        <f>MIN(100,BR166+IF(AND(BR166&lt;100,BR167+1&gt;=IF(OR('4-man'!$F$37=TRUE,'4-man'!$F$37="TRUE",'4-man'!$F$37="Yes"),25,50)),10,0)+IF('4-man'!BS$54=$Q$171,25,0))</f>
        <v/>
      </c>
      <c r="BT165">
        <f>MIN(100,BS166+IF(AND(BS166&lt;100,BS167+1&gt;=IF(OR('4-man'!$F$37=TRUE,'4-man'!$F$37="TRUE",'4-man'!$F$37="Yes"),25,50)),10,0)+IF('4-man'!BT$54=$Q$171,25,0))</f>
        <v/>
      </c>
      <c r="BU165">
        <f>MIN(100,BT166+IF(AND(BT166&lt;100,BT167+1&gt;=IF(OR('4-man'!$F$37=TRUE,'4-man'!$F$37="TRUE",'4-man'!$F$37="Yes"),25,50)),10,0)+IF('4-man'!BU$54=$Q$171,25,0))</f>
        <v/>
      </c>
      <c r="BV165">
        <f>MIN(100,BU166+IF(AND(BU166&lt;100,BU167+1&gt;=IF(OR('4-man'!$F$37=TRUE,'4-man'!$F$37="TRUE",'4-man'!$F$37="Yes"),25,50)),10,0)+IF('4-man'!BV$54=$Q$171,25,0))</f>
        <v/>
      </c>
      <c r="BW165">
        <f>MIN(100,BV166+IF(AND(BV166&lt;100,BV167+1&gt;=IF(OR('4-man'!$F$37=TRUE,'4-man'!$F$37="TRUE",'4-man'!$F$37="Yes"),25,50)),10,0)+IF('4-man'!BW$54=$Q$171,25,0))</f>
        <v/>
      </c>
      <c r="BX165">
        <f>MIN(100,BW166+IF(AND(BW166&lt;100,BW167+1&gt;=IF(OR('4-man'!$F$37=TRUE,'4-man'!$F$37="TRUE",'4-man'!$F$37="Yes"),25,50)),10,0)+IF('4-man'!BX$54=$Q$171,25,0))</f>
        <v/>
      </c>
      <c r="BY165">
        <f>MIN(100,BX166+IF(AND(BX166&lt;100,BX167+1&gt;=IF(OR('4-man'!$F$37=TRUE,'4-man'!$F$37="TRUE",'4-man'!$F$37="Yes"),25,50)),10,0)+IF('4-man'!BY$54=$Q$171,25,0))</f>
        <v/>
      </c>
      <c r="BZ165">
        <f>MIN(100,BY166+IF(AND(BY166&lt;100,BY167+1&gt;=IF(OR('4-man'!$F$37=TRUE,'4-man'!$F$37="TRUE",'4-man'!$F$37="Yes"),25,50)),10,0)+IF('4-man'!BZ$54=$Q$171,25,0))</f>
        <v/>
      </c>
      <c r="CA165">
        <f>MIN(100,BZ166+IF(AND(BZ166&lt;100,BZ167+1&gt;=IF(OR('4-man'!$F$37=TRUE,'4-man'!$F$37="TRUE",'4-man'!$F$37="Yes"),25,50)),10,0)+IF('4-man'!CA$54=$Q$171,25,0))</f>
        <v/>
      </c>
      <c r="CB165">
        <f>MIN(100,CA166+IF(AND(CA166&lt;100,CA167+1&gt;=IF(OR('4-man'!$F$37=TRUE,'4-man'!$F$37="TRUE",'4-man'!$F$37="Yes"),25,50)),10,0)+IF('4-man'!CB$54=$Q$171,25,0))</f>
        <v/>
      </c>
      <c r="CC165">
        <f>MIN(100,CB166+IF(AND(CB166&lt;100,CB167+1&gt;=IF(OR('4-man'!$F$37=TRUE,'4-man'!$F$37="TRUE",'4-man'!$F$37="Yes"),25,50)),10,0)+IF('4-man'!CC$54=$Q$171,25,0))</f>
        <v/>
      </c>
      <c r="CD165">
        <f>MIN(100,CC166+IF(AND(CC166&lt;100,CC167+1&gt;=IF(OR('4-man'!$F$37=TRUE,'4-man'!$F$37="TRUE",'4-man'!$F$37="Yes"),25,50)),10,0)+IF('4-man'!CD$54=$Q$171,25,0))</f>
        <v/>
      </c>
    </row>
    <row r="166">
      <c r="A166" t="inlineStr">
        <is>
          <t>P1 spec</t>
        </is>
      </c>
      <c r="B166">
        <f>IF('4-man'!$C$37="",100,'4-man'!$C$37)</f>
        <v/>
      </c>
      <c r="C166">
        <f>IF('4-man'!C$55="R",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4-man'!D$55="R",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4-man'!E$55="R",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4-man'!F$55="R",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4-man'!G$55="R",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4-man'!H$55="R",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4-man'!I$55="R",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4-man'!J$55="R",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4-man'!K$55="R",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4-man'!L$55="R",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4-man'!M$55="R",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4-man'!N$55="R",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4-man'!O$55="R",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4-man'!P$55="R",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4-man'!Q$55="R",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4-man'!R$55="R",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4-man'!S$55="R",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4-man'!T$55="R",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4-man'!U$55="R",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4-man'!V$55="R",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4-man'!W$55="R",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4-man'!X$55="R",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4-man'!Y$55="R",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4-man'!Z$55="R",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4-man'!AA$55="R",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4-man'!AB$55="R",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4-man'!AC$55="R",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4-man'!AD$55="R",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4-man'!AE$55="R",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4-man'!AF$55="R",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4-man'!AG$55="R",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4-man'!AH$55="R",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4-man'!AI$55="R",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4-man'!AJ$55="R",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4-man'!AK$55="R",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4-man'!AL$55="R",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4-man'!AM$55="R",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4-man'!AN$55="R",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4-man'!AO$55="R",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4-man'!AP$55="R",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4-man'!AQ$55="R",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4-man'!AR$55="R",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4-man'!AS$55="R",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4-man'!AT$55="R",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4-man'!AU$55="R",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4-man'!AV$55="R",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4-man'!AW$55="R",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4-man'!AX$55="R",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4-man'!AY$55="R",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4-man'!AZ$55="R",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4-man'!BA$55="R",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4-man'!BB$55="R",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4-man'!BC$55="R",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4-man'!BD$55="R",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4-man'!BE$55="R",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4-man'!BF$55="R",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4-man'!BG$55="R",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4-man'!BH$55="R",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4-man'!BI$55="R",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4-man'!BJ$55="R",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4-man'!BK$55="R",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4-man'!BL$55="R",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4-man'!BM$55="R",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4-man'!BN$55="R",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4-man'!BO$55="R",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4-man'!BP$55="R",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4-man'!BQ$55="R",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4-man'!BR$55="R",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4-man'!BS$55="R",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4-man'!BT$55="R",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4-man'!BU$55="R",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4-man'!BV$55="R",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4-man'!BW$55="R",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4-man'!BX$55="R",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4-man'!BY$55="R",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4-man'!BZ$55="R",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4-man'!CA$55="R",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4-man'!CB$55="R",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4-man'!CC$55="R",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4-man'!CD$55="R",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IF('4-man'!C$55="R",0,IF(B166&gt;=100,0,IF(B167+1&gt;=IF(OR('4-man'!$F$37=TRUE,'4-man'!$F$37="TRUE",'4-man'!$F$37="Yes"),25,50),0,B167+1)))</f>
        <v/>
      </c>
      <c r="D167">
        <f>IF('4-man'!D$55="R",0,IF(C166&gt;=100,0,IF(C167+1&gt;=IF(OR('4-man'!$F$37=TRUE,'4-man'!$F$37="TRUE",'4-man'!$F$37="Yes"),25,50),0,C167+1)))</f>
        <v/>
      </c>
      <c r="E167">
        <f>IF('4-man'!E$55="R",0,IF(D166&gt;=100,0,IF(D167+1&gt;=IF(OR('4-man'!$F$37=TRUE,'4-man'!$F$37="TRUE",'4-man'!$F$37="Yes"),25,50),0,D167+1)))</f>
        <v/>
      </c>
      <c r="F167">
        <f>IF('4-man'!F$55="R",0,IF(E166&gt;=100,0,IF(E167+1&gt;=IF(OR('4-man'!$F$37=TRUE,'4-man'!$F$37="TRUE",'4-man'!$F$37="Yes"),25,50),0,E167+1)))</f>
        <v/>
      </c>
      <c r="G167">
        <f>IF('4-man'!G$55="R",0,IF(F166&gt;=100,0,IF(F167+1&gt;=IF(OR('4-man'!$F$37=TRUE,'4-man'!$F$37="TRUE",'4-man'!$F$37="Yes"),25,50),0,F167+1)))</f>
        <v/>
      </c>
      <c r="H167">
        <f>IF('4-man'!H$55="R",0,IF(G166&gt;=100,0,IF(G167+1&gt;=IF(OR('4-man'!$F$37=TRUE,'4-man'!$F$37="TRUE",'4-man'!$F$37="Yes"),25,50),0,G167+1)))</f>
        <v/>
      </c>
      <c r="I167">
        <f>IF('4-man'!I$55="R",0,IF(H166&gt;=100,0,IF(H167+1&gt;=IF(OR('4-man'!$F$37=TRUE,'4-man'!$F$37="TRUE",'4-man'!$F$37="Yes"),25,50),0,H167+1)))</f>
        <v/>
      </c>
      <c r="J167">
        <f>IF('4-man'!J$55="R",0,IF(I166&gt;=100,0,IF(I167+1&gt;=IF(OR('4-man'!$F$37=TRUE,'4-man'!$F$37="TRUE",'4-man'!$F$37="Yes"),25,50),0,I167+1)))</f>
        <v/>
      </c>
      <c r="K167">
        <f>IF('4-man'!K$55="R",0,IF(J166&gt;=100,0,IF(J167+1&gt;=IF(OR('4-man'!$F$37=TRUE,'4-man'!$F$37="TRUE",'4-man'!$F$37="Yes"),25,50),0,J167+1)))</f>
        <v/>
      </c>
      <c r="L167">
        <f>IF('4-man'!L$55="R",0,IF(K166&gt;=100,0,IF(K167+1&gt;=IF(OR('4-man'!$F$37=TRUE,'4-man'!$F$37="TRUE",'4-man'!$F$37="Yes"),25,50),0,K167+1)))</f>
        <v/>
      </c>
      <c r="M167">
        <f>IF('4-man'!M$55="R",0,IF(L166&gt;=100,0,IF(L167+1&gt;=IF(OR('4-man'!$F$37=TRUE,'4-man'!$F$37="TRUE",'4-man'!$F$37="Yes"),25,50),0,L167+1)))</f>
        <v/>
      </c>
      <c r="N167">
        <f>IF('4-man'!N$55="R",0,IF(M166&gt;=100,0,IF(M167+1&gt;=IF(OR('4-man'!$F$37=TRUE,'4-man'!$F$37="TRUE",'4-man'!$F$37="Yes"),25,50),0,M167+1)))</f>
        <v/>
      </c>
      <c r="O167">
        <f>IF('4-man'!O$55="R",0,IF(N166&gt;=100,0,IF(N167+1&gt;=IF(OR('4-man'!$F$37=TRUE,'4-man'!$F$37="TRUE",'4-man'!$F$37="Yes"),25,50),0,N167+1)))</f>
        <v/>
      </c>
      <c r="P167">
        <f>IF('4-man'!P$55="R",0,IF(O166&gt;=100,0,IF(O167+1&gt;=IF(OR('4-man'!$F$37=TRUE,'4-man'!$F$37="TRUE",'4-man'!$F$37="Yes"),25,50),0,O167+1)))</f>
        <v/>
      </c>
      <c r="Q167">
        <f>IF('4-man'!Q$55="R",0,IF(P166&gt;=100,0,IF(P167+1&gt;=IF(OR('4-man'!$F$37=TRUE,'4-man'!$F$37="TRUE",'4-man'!$F$37="Yes"),25,50),0,P167+1)))</f>
        <v/>
      </c>
      <c r="R167">
        <f>IF('4-man'!R$55="R",0,IF(Q166&gt;=100,0,IF(Q167+1&gt;=IF(OR('4-man'!$F$37=TRUE,'4-man'!$F$37="TRUE",'4-man'!$F$37="Yes"),25,50),0,Q167+1)))</f>
        <v/>
      </c>
      <c r="S167">
        <f>IF('4-man'!S$55="R",0,IF(R166&gt;=100,0,IF(R167+1&gt;=IF(OR('4-man'!$F$37=TRUE,'4-man'!$F$37="TRUE",'4-man'!$F$37="Yes"),25,50),0,R167+1)))</f>
        <v/>
      </c>
      <c r="T167">
        <f>IF('4-man'!T$55="R",0,IF(S166&gt;=100,0,IF(S167+1&gt;=IF(OR('4-man'!$F$37=TRUE,'4-man'!$F$37="TRUE",'4-man'!$F$37="Yes"),25,50),0,S167+1)))</f>
        <v/>
      </c>
      <c r="U167">
        <f>IF('4-man'!U$55="R",0,IF(T166&gt;=100,0,IF(T167+1&gt;=IF(OR('4-man'!$F$37=TRUE,'4-man'!$F$37="TRUE",'4-man'!$F$37="Yes"),25,50),0,T167+1)))</f>
        <v/>
      </c>
      <c r="V167">
        <f>IF('4-man'!V$55="R",0,IF(U166&gt;=100,0,IF(U167+1&gt;=IF(OR('4-man'!$F$37=TRUE,'4-man'!$F$37="TRUE",'4-man'!$F$37="Yes"),25,50),0,U167+1)))</f>
        <v/>
      </c>
      <c r="W167">
        <f>IF('4-man'!W$55="R",0,IF(V166&gt;=100,0,IF(V167+1&gt;=IF(OR('4-man'!$F$37=TRUE,'4-man'!$F$37="TRUE",'4-man'!$F$37="Yes"),25,50),0,V167+1)))</f>
        <v/>
      </c>
      <c r="X167">
        <f>IF('4-man'!X$55="R",0,IF(W166&gt;=100,0,IF(W167+1&gt;=IF(OR('4-man'!$F$37=TRUE,'4-man'!$F$37="TRUE",'4-man'!$F$37="Yes"),25,50),0,W167+1)))</f>
        <v/>
      </c>
      <c r="Y167">
        <f>IF('4-man'!Y$55="R",0,IF(X166&gt;=100,0,IF(X167+1&gt;=IF(OR('4-man'!$F$37=TRUE,'4-man'!$F$37="TRUE",'4-man'!$F$37="Yes"),25,50),0,X167+1)))</f>
        <v/>
      </c>
      <c r="Z167">
        <f>IF('4-man'!Z$55="R",0,IF(Y166&gt;=100,0,IF(Y167+1&gt;=IF(OR('4-man'!$F$37=TRUE,'4-man'!$F$37="TRUE",'4-man'!$F$37="Yes"),25,50),0,Y167+1)))</f>
        <v/>
      </c>
      <c r="AA167">
        <f>IF('4-man'!AA$55="R",0,IF(Z166&gt;=100,0,IF(Z167+1&gt;=IF(OR('4-man'!$F$37=TRUE,'4-man'!$F$37="TRUE",'4-man'!$F$37="Yes"),25,50),0,Z167+1)))</f>
        <v/>
      </c>
      <c r="AB167">
        <f>IF('4-man'!AB$55="R",0,IF(AA166&gt;=100,0,IF(AA167+1&gt;=IF(OR('4-man'!$F$37=TRUE,'4-man'!$F$37="TRUE",'4-man'!$F$37="Yes"),25,50),0,AA167+1)))</f>
        <v/>
      </c>
      <c r="AC167">
        <f>IF('4-man'!AC$55="R",0,IF(AB166&gt;=100,0,IF(AB167+1&gt;=IF(OR('4-man'!$F$37=TRUE,'4-man'!$F$37="TRUE",'4-man'!$F$37="Yes"),25,50),0,AB167+1)))</f>
        <v/>
      </c>
      <c r="AD167">
        <f>IF('4-man'!AD$55="R",0,IF(AC166&gt;=100,0,IF(AC167+1&gt;=IF(OR('4-man'!$F$37=TRUE,'4-man'!$F$37="TRUE",'4-man'!$F$37="Yes"),25,50),0,AC167+1)))</f>
        <v/>
      </c>
      <c r="AE167">
        <f>IF('4-man'!AE$55="R",0,IF(AD166&gt;=100,0,IF(AD167+1&gt;=IF(OR('4-man'!$F$37=TRUE,'4-man'!$F$37="TRUE",'4-man'!$F$37="Yes"),25,50),0,AD167+1)))</f>
        <v/>
      </c>
      <c r="AF167">
        <f>IF('4-man'!AF$55="R",0,IF(AE166&gt;=100,0,IF(AE167+1&gt;=IF(OR('4-man'!$F$37=TRUE,'4-man'!$F$37="TRUE",'4-man'!$F$37="Yes"),25,50),0,AE167+1)))</f>
        <v/>
      </c>
      <c r="AG167">
        <f>IF('4-man'!AG$55="R",0,IF(AF166&gt;=100,0,IF(AF167+1&gt;=IF(OR('4-man'!$F$37=TRUE,'4-man'!$F$37="TRUE",'4-man'!$F$37="Yes"),25,50),0,AF167+1)))</f>
        <v/>
      </c>
      <c r="AH167">
        <f>IF('4-man'!AH$55="R",0,IF(AG166&gt;=100,0,IF(AG167+1&gt;=IF(OR('4-man'!$F$37=TRUE,'4-man'!$F$37="TRUE",'4-man'!$F$37="Yes"),25,50),0,AG167+1)))</f>
        <v/>
      </c>
      <c r="AI167">
        <f>IF('4-man'!AI$55="R",0,IF(AH166&gt;=100,0,IF(AH167+1&gt;=IF(OR('4-man'!$F$37=TRUE,'4-man'!$F$37="TRUE",'4-man'!$F$37="Yes"),25,50),0,AH167+1)))</f>
        <v/>
      </c>
      <c r="AJ167">
        <f>IF('4-man'!AJ$55="R",0,IF(AI166&gt;=100,0,IF(AI167+1&gt;=IF(OR('4-man'!$F$37=TRUE,'4-man'!$F$37="TRUE",'4-man'!$F$37="Yes"),25,50),0,AI167+1)))</f>
        <v/>
      </c>
      <c r="AK167">
        <f>IF('4-man'!AK$55="R",0,IF(AJ166&gt;=100,0,IF(AJ167+1&gt;=IF(OR('4-man'!$F$37=TRUE,'4-man'!$F$37="TRUE",'4-man'!$F$37="Yes"),25,50),0,AJ167+1)))</f>
        <v/>
      </c>
      <c r="AL167">
        <f>IF('4-man'!AL$55="R",0,IF(AK166&gt;=100,0,IF(AK167+1&gt;=IF(OR('4-man'!$F$37=TRUE,'4-man'!$F$37="TRUE",'4-man'!$F$37="Yes"),25,50),0,AK167+1)))</f>
        <v/>
      </c>
      <c r="AM167">
        <f>IF('4-man'!AM$55="R",0,IF(AL166&gt;=100,0,IF(AL167+1&gt;=IF(OR('4-man'!$F$37=TRUE,'4-man'!$F$37="TRUE",'4-man'!$F$37="Yes"),25,50),0,AL167+1)))</f>
        <v/>
      </c>
      <c r="AN167">
        <f>IF('4-man'!AN$55="R",0,IF(AM166&gt;=100,0,IF(AM167+1&gt;=IF(OR('4-man'!$F$37=TRUE,'4-man'!$F$37="TRUE",'4-man'!$F$37="Yes"),25,50),0,AM167+1)))</f>
        <v/>
      </c>
      <c r="AO167">
        <f>IF('4-man'!AO$55="R",0,IF(AN166&gt;=100,0,IF(AN167+1&gt;=IF(OR('4-man'!$F$37=TRUE,'4-man'!$F$37="TRUE",'4-man'!$F$37="Yes"),25,50),0,AN167+1)))</f>
        <v/>
      </c>
      <c r="AP167">
        <f>IF('4-man'!AP$55="R",0,IF(AO166&gt;=100,0,IF(AO167+1&gt;=IF(OR('4-man'!$F$37=TRUE,'4-man'!$F$37="TRUE",'4-man'!$F$37="Yes"),25,50),0,AO167+1)))</f>
        <v/>
      </c>
      <c r="AQ167">
        <f>IF('4-man'!AQ$55="R",0,IF(AP166&gt;=100,0,IF(AP167+1&gt;=IF(OR('4-man'!$F$37=TRUE,'4-man'!$F$37="TRUE",'4-man'!$F$37="Yes"),25,50),0,AP167+1)))</f>
        <v/>
      </c>
      <c r="AR167">
        <f>IF('4-man'!AR$55="R",0,IF(AQ166&gt;=100,0,IF(AQ167+1&gt;=IF(OR('4-man'!$F$37=TRUE,'4-man'!$F$37="TRUE",'4-man'!$F$37="Yes"),25,50),0,AQ167+1)))</f>
        <v/>
      </c>
      <c r="AS167">
        <f>IF('4-man'!AS$55="R",0,IF(AR166&gt;=100,0,IF(AR167+1&gt;=IF(OR('4-man'!$F$37=TRUE,'4-man'!$F$37="TRUE",'4-man'!$F$37="Yes"),25,50),0,AR167+1)))</f>
        <v/>
      </c>
      <c r="AT167">
        <f>IF('4-man'!AT$55="R",0,IF(AS166&gt;=100,0,IF(AS167+1&gt;=IF(OR('4-man'!$F$37=TRUE,'4-man'!$F$37="TRUE",'4-man'!$F$37="Yes"),25,50),0,AS167+1)))</f>
        <v/>
      </c>
      <c r="AU167">
        <f>IF('4-man'!AU$55="R",0,IF(AT166&gt;=100,0,IF(AT167+1&gt;=IF(OR('4-man'!$F$37=TRUE,'4-man'!$F$37="TRUE",'4-man'!$F$37="Yes"),25,50),0,AT167+1)))</f>
        <v/>
      </c>
      <c r="AV167">
        <f>IF('4-man'!AV$55="R",0,IF(AU166&gt;=100,0,IF(AU167+1&gt;=IF(OR('4-man'!$F$37=TRUE,'4-man'!$F$37="TRUE",'4-man'!$F$37="Yes"),25,50),0,AU167+1)))</f>
        <v/>
      </c>
      <c r="AW167">
        <f>IF('4-man'!AW$55="R",0,IF(AV166&gt;=100,0,IF(AV167+1&gt;=IF(OR('4-man'!$F$37=TRUE,'4-man'!$F$37="TRUE",'4-man'!$F$37="Yes"),25,50),0,AV167+1)))</f>
        <v/>
      </c>
      <c r="AX167">
        <f>IF('4-man'!AX$55="R",0,IF(AW166&gt;=100,0,IF(AW167+1&gt;=IF(OR('4-man'!$F$37=TRUE,'4-man'!$F$37="TRUE",'4-man'!$F$37="Yes"),25,50),0,AW167+1)))</f>
        <v/>
      </c>
      <c r="AY167">
        <f>IF('4-man'!AY$55="R",0,IF(AX166&gt;=100,0,IF(AX167+1&gt;=IF(OR('4-man'!$F$37=TRUE,'4-man'!$F$37="TRUE",'4-man'!$F$37="Yes"),25,50),0,AX167+1)))</f>
        <v/>
      </c>
      <c r="AZ167">
        <f>IF('4-man'!AZ$55="R",0,IF(AY166&gt;=100,0,IF(AY167+1&gt;=IF(OR('4-man'!$F$37=TRUE,'4-man'!$F$37="TRUE",'4-man'!$F$37="Yes"),25,50),0,AY167+1)))</f>
        <v/>
      </c>
      <c r="BA167">
        <f>IF('4-man'!BA$55="R",0,IF(AZ166&gt;=100,0,IF(AZ167+1&gt;=IF(OR('4-man'!$F$37=TRUE,'4-man'!$F$37="TRUE",'4-man'!$F$37="Yes"),25,50),0,AZ167+1)))</f>
        <v/>
      </c>
      <c r="BB167">
        <f>IF('4-man'!BB$55="R",0,IF(BA166&gt;=100,0,IF(BA167+1&gt;=IF(OR('4-man'!$F$37=TRUE,'4-man'!$F$37="TRUE",'4-man'!$F$37="Yes"),25,50),0,BA167+1)))</f>
        <v/>
      </c>
      <c r="BC167">
        <f>IF('4-man'!BC$55="R",0,IF(BB166&gt;=100,0,IF(BB167+1&gt;=IF(OR('4-man'!$F$37=TRUE,'4-man'!$F$37="TRUE",'4-man'!$F$37="Yes"),25,50),0,BB167+1)))</f>
        <v/>
      </c>
      <c r="BD167">
        <f>IF('4-man'!BD$55="R",0,IF(BC166&gt;=100,0,IF(BC167+1&gt;=IF(OR('4-man'!$F$37=TRUE,'4-man'!$F$37="TRUE",'4-man'!$F$37="Yes"),25,50),0,BC167+1)))</f>
        <v/>
      </c>
      <c r="BE167">
        <f>IF('4-man'!BE$55="R",0,IF(BD166&gt;=100,0,IF(BD167+1&gt;=IF(OR('4-man'!$F$37=TRUE,'4-man'!$F$37="TRUE",'4-man'!$F$37="Yes"),25,50),0,BD167+1)))</f>
        <v/>
      </c>
      <c r="BF167">
        <f>IF('4-man'!BF$55="R",0,IF(BE166&gt;=100,0,IF(BE167+1&gt;=IF(OR('4-man'!$F$37=TRUE,'4-man'!$F$37="TRUE",'4-man'!$F$37="Yes"),25,50),0,BE167+1)))</f>
        <v/>
      </c>
      <c r="BG167">
        <f>IF('4-man'!BG$55="R",0,IF(BF166&gt;=100,0,IF(BF167+1&gt;=IF(OR('4-man'!$F$37=TRUE,'4-man'!$F$37="TRUE",'4-man'!$F$37="Yes"),25,50),0,BF167+1)))</f>
        <v/>
      </c>
      <c r="BH167">
        <f>IF('4-man'!BH$55="R",0,IF(BG166&gt;=100,0,IF(BG167+1&gt;=IF(OR('4-man'!$F$37=TRUE,'4-man'!$F$37="TRUE",'4-man'!$F$37="Yes"),25,50),0,BG167+1)))</f>
        <v/>
      </c>
      <c r="BI167">
        <f>IF('4-man'!BI$55="R",0,IF(BH166&gt;=100,0,IF(BH167+1&gt;=IF(OR('4-man'!$F$37=TRUE,'4-man'!$F$37="TRUE",'4-man'!$F$37="Yes"),25,50),0,BH167+1)))</f>
        <v/>
      </c>
      <c r="BJ167">
        <f>IF('4-man'!BJ$55="R",0,IF(BI166&gt;=100,0,IF(BI167+1&gt;=IF(OR('4-man'!$F$37=TRUE,'4-man'!$F$37="TRUE",'4-man'!$F$37="Yes"),25,50),0,BI167+1)))</f>
        <v/>
      </c>
      <c r="BK167">
        <f>IF('4-man'!BK$55="R",0,IF(BJ166&gt;=100,0,IF(BJ167+1&gt;=IF(OR('4-man'!$F$37=TRUE,'4-man'!$F$37="TRUE",'4-man'!$F$37="Yes"),25,50),0,BJ167+1)))</f>
        <v/>
      </c>
      <c r="BL167">
        <f>IF('4-man'!BL$55="R",0,IF(BK166&gt;=100,0,IF(BK167+1&gt;=IF(OR('4-man'!$F$37=TRUE,'4-man'!$F$37="TRUE",'4-man'!$F$37="Yes"),25,50),0,BK167+1)))</f>
        <v/>
      </c>
      <c r="BM167">
        <f>IF('4-man'!BM$55="R",0,IF(BL166&gt;=100,0,IF(BL167+1&gt;=IF(OR('4-man'!$F$37=TRUE,'4-man'!$F$37="TRUE",'4-man'!$F$37="Yes"),25,50),0,BL167+1)))</f>
        <v/>
      </c>
      <c r="BN167">
        <f>IF('4-man'!BN$55="R",0,IF(BM166&gt;=100,0,IF(BM167+1&gt;=IF(OR('4-man'!$F$37=TRUE,'4-man'!$F$37="TRUE",'4-man'!$F$37="Yes"),25,50),0,BM167+1)))</f>
        <v/>
      </c>
      <c r="BO167">
        <f>IF('4-man'!BO$55="R",0,IF(BN166&gt;=100,0,IF(BN167+1&gt;=IF(OR('4-man'!$F$37=TRUE,'4-man'!$F$37="TRUE",'4-man'!$F$37="Yes"),25,50),0,BN167+1)))</f>
        <v/>
      </c>
      <c r="BP167">
        <f>IF('4-man'!BP$55="R",0,IF(BO166&gt;=100,0,IF(BO167+1&gt;=IF(OR('4-man'!$F$37=TRUE,'4-man'!$F$37="TRUE",'4-man'!$F$37="Yes"),25,50),0,BO167+1)))</f>
        <v/>
      </c>
      <c r="BQ167">
        <f>IF('4-man'!BQ$55="R",0,IF(BP166&gt;=100,0,IF(BP167+1&gt;=IF(OR('4-man'!$F$37=TRUE,'4-man'!$F$37="TRUE",'4-man'!$F$37="Yes"),25,50),0,BP167+1)))</f>
        <v/>
      </c>
      <c r="BR167">
        <f>IF('4-man'!BR$55="R",0,IF(BQ166&gt;=100,0,IF(BQ167+1&gt;=IF(OR('4-man'!$F$37=TRUE,'4-man'!$F$37="TRUE",'4-man'!$F$37="Yes"),25,50),0,BQ167+1)))</f>
        <v/>
      </c>
      <c r="BS167">
        <f>IF('4-man'!BS$55="R",0,IF(BR166&gt;=100,0,IF(BR167+1&gt;=IF(OR('4-man'!$F$37=TRUE,'4-man'!$F$37="TRUE",'4-man'!$F$37="Yes"),25,50),0,BR167+1)))</f>
        <v/>
      </c>
      <c r="BT167">
        <f>IF('4-man'!BT$55="R",0,IF(BS166&gt;=100,0,IF(BS167+1&gt;=IF(OR('4-man'!$F$37=TRUE,'4-man'!$F$37="TRUE",'4-man'!$F$37="Yes"),25,50),0,BS167+1)))</f>
        <v/>
      </c>
      <c r="BU167">
        <f>IF('4-man'!BU$55="R",0,IF(BT166&gt;=100,0,IF(BT167+1&gt;=IF(OR('4-man'!$F$37=TRUE,'4-man'!$F$37="TRUE",'4-man'!$F$37="Yes"),25,50),0,BT167+1)))</f>
        <v/>
      </c>
      <c r="BV167">
        <f>IF('4-man'!BV$55="R",0,IF(BU166&gt;=100,0,IF(BU167+1&gt;=IF(OR('4-man'!$F$37=TRUE,'4-man'!$F$37="TRUE",'4-man'!$F$37="Yes"),25,50),0,BU167+1)))</f>
        <v/>
      </c>
      <c r="BW167">
        <f>IF('4-man'!BW$55="R",0,IF(BV166&gt;=100,0,IF(BV167+1&gt;=IF(OR('4-man'!$F$37=TRUE,'4-man'!$F$37="TRUE",'4-man'!$F$37="Yes"),25,50),0,BV167+1)))</f>
        <v/>
      </c>
      <c r="BX167">
        <f>IF('4-man'!BX$55="R",0,IF(BW166&gt;=100,0,IF(BW167+1&gt;=IF(OR('4-man'!$F$37=TRUE,'4-man'!$F$37="TRUE",'4-man'!$F$37="Yes"),25,50),0,BW167+1)))</f>
        <v/>
      </c>
      <c r="BY167">
        <f>IF('4-man'!BY$55="R",0,IF(BX166&gt;=100,0,IF(BX167+1&gt;=IF(OR('4-man'!$F$37=TRUE,'4-man'!$F$37="TRUE",'4-man'!$F$37="Yes"),25,50),0,BX167+1)))</f>
        <v/>
      </c>
      <c r="BZ167">
        <f>IF('4-man'!BZ$55="R",0,IF(BY166&gt;=100,0,IF(BY167+1&gt;=IF(OR('4-man'!$F$37=TRUE,'4-man'!$F$37="TRUE",'4-man'!$F$37="Yes"),25,50),0,BY167+1)))</f>
        <v/>
      </c>
      <c r="CA167">
        <f>IF('4-man'!CA$55="R",0,IF(BZ166&gt;=100,0,IF(BZ167+1&gt;=IF(OR('4-man'!$F$37=TRUE,'4-man'!$F$37="TRUE",'4-man'!$F$37="Yes"),25,50),0,BZ167+1)))</f>
        <v/>
      </c>
      <c r="CB167">
        <f>IF('4-man'!CB$55="R",0,IF(CA166&gt;=100,0,IF(CA167+1&gt;=IF(OR('4-man'!$F$37=TRUE,'4-man'!$F$37="TRUE",'4-man'!$F$37="Yes"),25,50),0,CA167+1)))</f>
        <v/>
      </c>
      <c r="CC167">
        <f>IF('4-man'!CC$55="R",0,IF(CB166&gt;=100,0,IF(CB167+1&gt;=IF(OR('4-man'!$F$37=TRUE,'4-man'!$F$37="TRUE",'4-man'!$F$37="Yes"),25,50),0,CB167+1)))</f>
        <v/>
      </c>
      <c r="CD167">
        <f>IF('4-man'!CD$55="R",0,IF(CC166&gt;=100,0,IF(CC167+1&gt;=IF(OR('4-man'!$F$37=TRUE,'4-man'!$F$37="TRUE",'4-man'!$F$37="Yes"),25,50),0,CC167+1)))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row>
    <row r="172">
      <c r="A172" t="inlineStr">
        <is>
          <t>P1 act</t>
        </is>
      </c>
      <c r="C172">
        <f>IF(OR('4-man'!C$55="P",'4-man'!C$55="R",AND('4-man'!C$54&lt;=IF('4-man'!$BF$37="",999,'4-man'!$BF$37),OR('4-man'!C$55="D",LEFT('4-man'!C$55,3)="ST&gt;",OR(AND('4-man'!C$56="ST&gt;1",C173&gt;=100),AND('4-man'!C$57="ST&gt;1",C181&gt;=100),AND('4-man'!C$58="ST&gt;1",C189&gt;=100))))),'4-man'!C$54,0)</f>
        <v/>
      </c>
      <c r="D172">
        <f>IF(OR('4-man'!D$55="P",'4-man'!D$55="R",AND('4-man'!D$54&lt;=IF('4-man'!$BF$37="",999,'4-man'!$BF$37),OR('4-man'!D$55="D",LEFT('4-man'!D$55,3)="ST&gt;",OR(AND('4-man'!D$56="ST&gt;1",D173&gt;=100),AND('4-man'!D$57="ST&gt;1",D181&gt;=100),AND('4-man'!D$58="ST&gt;1",D189&gt;=100))))),'4-man'!D$54,0)</f>
        <v/>
      </c>
      <c r="E172">
        <f>IF(OR('4-man'!E$55="P",'4-man'!E$55="R",AND('4-man'!E$54&lt;=IF('4-man'!$BF$37="",999,'4-man'!$BF$37),OR('4-man'!E$55="D",LEFT('4-man'!E$55,3)="ST&gt;",OR(AND('4-man'!E$56="ST&gt;1",E173&gt;=100),AND('4-man'!E$57="ST&gt;1",E181&gt;=100),AND('4-man'!E$58="ST&gt;1",E189&gt;=100))))),'4-man'!E$54,0)</f>
        <v/>
      </c>
      <c r="F172">
        <f>IF(OR('4-man'!F$55="P",'4-man'!F$55="R",AND('4-man'!F$54&lt;=IF('4-man'!$BF$37="",999,'4-man'!$BF$37),OR('4-man'!F$55="D",LEFT('4-man'!F$55,3)="ST&gt;",OR(AND('4-man'!F$56="ST&gt;1",F173&gt;=100),AND('4-man'!F$57="ST&gt;1",F181&gt;=100),AND('4-man'!F$58="ST&gt;1",F189&gt;=100))))),'4-man'!F$54,0)</f>
        <v/>
      </c>
      <c r="G172">
        <f>IF(OR('4-man'!G$55="P",'4-man'!G$55="R",AND('4-man'!G$54&lt;=IF('4-man'!$BF$37="",999,'4-man'!$BF$37),OR('4-man'!G$55="D",LEFT('4-man'!G$55,3)="ST&gt;",OR(AND('4-man'!G$56="ST&gt;1",G173&gt;=100),AND('4-man'!G$57="ST&gt;1",G181&gt;=100),AND('4-man'!G$58="ST&gt;1",G189&gt;=100))))),'4-man'!G$54,0)</f>
        <v/>
      </c>
      <c r="H172">
        <f>IF(OR('4-man'!H$55="P",'4-man'!H$55="R",AND('4-man'!H$54&lt;=IF('4-man'!$BF$37="",999,'4-man'!$BF$37),OR('4-man'!H$55="D",LEFT('4-man'!H$55,3)="ST&gt;",OR(AND('4-man'!H$56="ST&gt;1",H173&gt;=100),AND('4-man'!H$57="ST&gt;1",H181&gt;=100),AND('4-man'!H$58="ST&gt;1",H189&gt;=100))))),'4-man'!H$54,0)</f>
        <v/>
      </c>
      <c r="I172">
        <f>IF(OR('4-man'!I$55="P",'4-man'!I$55="R",AND('4-man'!I$54&lt;=IF('4-man'!$BF$37="",999,'4-man'!$BF$37),OR('4-man'!I$55="D",LEFT('4-man'!I$55,3)="ST&gt;",OR(AND('4-man'!I$56="ST&gt;1",I173&gt;=100),AND('4-man'!I$57="ST&gt;1",I181&gt;=100),AND('4-man'!I$58="ST&gt;1",I189&gt;=100))))),'4-man'!I$54,0)</f>
        <v/>
      </c>
      <c r="J172">
        <f>IF(OR('4-man'!J$55="P",'4-man'!J$55="R",AND('4-man'!J$54&lt;=IF('4-man'!$BF$37="",999,'4-man'!$BF$37),OR('4-man'!J$55="D",LEFT('4-man'!J$55,3)="ST&gt;",OR(AND('4-man'!J$56="ST&gt;1",J173&gt;=100),AND('4-man'!J$57="ST&gt;1",J181&gt;=100),AND('4-man'!J$58="ST&gt;1",J189&gt;=100))))),'4-man'!J$54,0)</f>
        <v/>
      </c>
      <c r="K172">
        <f>IF(OR('4-man'!K$55="P",'4-man'!K$55="R",AND('4-man'!K$54&lt;=IF('4-man'!$BF$37="",999,'4-man'!$BF$37),OR('4-man'!K$55="D",LEFT('4-man'!K$55,3)="ST&gt;",OR(AND('4-man'!K$56="ST&gt;1",K173&gt;=100),AND('4-man'!K$57="ST&gt;1",K181&gt;=100),AND('4-man'!K$58="ST&gt;1",K189&gt;=100))))),'4-man'!K$54,0)</f>
        <v/>
      </c>
      <c r="L172">
        <f>IF(OR('4-man'!L$55="P",'4-man'!L$55="R",AND('4-man'!L$54&lt;=IF('4-man'!$BF$37="",999,'4-man'!$BF$37),OR('4-man'!L$55="D",LEFT('4-man'!L$55,3)="ST&gt;",OR(AND('4-man'!L$56="ST&gt;1",L173&gt;=100),AND('4-man'!L$57="ST&gt;1",L181&gt;=100),AND('4-man'!L$58="ST&gt;1",L189&gt;=100))))),'4-man'!L$54,0)</f>
        <v/>
      </c>
      <c r="M172">
        <f>IF(OR('4-man'!M$55="P",'4-man'!M$55="R",AND('4-man'!M$54&lt;=IF('4-man'!$BF$37="",999,'4-man'!$BF$37),OR('4-man'!M$55="D",LEFT('4-man'!M$55,3)="ST&gt;",OR(AND('4-man'!M$56="ST&gt;1",M173&gt;=100),AND('4-man'!M$57="ST&gt;1",M181&gt;=100),AND('4-man'!M$58="ST&gt;1",M189&gt;=100))))),'4-man'!M$54,0)</f>
        <v/>
      </c>
      <c r="N172">
        <f>IF(OR('4-man'!N$55="P",'4-man'!N$55="R",AND('4-man'!N$54&lt;=IF('4-man'!$BF$37="",999,'4-man'!$BF$37),OR('4-man'!N$55="D",LEFT('4-man'!N$55,3)="ST&gt;",OR(AND('4-man'!N$56="ST&gt;1",N173&gt;=100),AND('4-man'!N$57="ST&gt;1",N181&gt;=100),AND('4-man'!N$58="ST&gt;1",N189&gt;=100))))),'4-man'!N$54,0)</f>
        <v/>
      </c>
      <c r="O172">
        <f>IF(OR('4-man'!O$55="P",'4-man'!O$55="R",AND('4-man'!O$54&lt;=IF('4-man'!$BF$37="",999,'4-man'!$BF$37),OR('4-man'!O$55="D",LEFT('4-man'!O$55,3)="ST&gt;",OR(AND('4-man'!O$56="ST&gt;1",O173&gt;=100),AND('4-man'!O$57="ST&gt;1",O181&gt;=100),AND('4-man'!O$58="ST&gt;1",O189&gt;=100))))),'4-man'!O$54,0)</f>
        <v/>
      </c>
      <c r="P172">
        <f>IF(OR('4-man'!P$55="P",'4-man'!P$55="R",AND('4-man'!P$54&lt;=IF('4-man'!$BF$37="",999,'4-man'!$BF$37),OR('4-man'!P$55="D",LEFT('4-man'!P$55,3)="ST&gt;",OR(AND('4-man'!P$56="ST&gt;1",P173&gt;=100),AND('4-man'!P$57="ST&gt;1",P181&gt;=100),AND('4-man'!P$58="ST&gt;1",P189&gt;=100))))),'4-man'!P$54,0)</f>
        <v/>
      </c>
      <c r="Q172">
        <f>IF(OR('4-man'!Q$55="P",'4-man'!Q$55="R",AND('4-man'!Q$54&lt;=IF('4-man'!$BF$37="",999,'4-man'!$BF$37),OR('4-man'!Q$55="D",LEFT('4-man'!Q$55,3)="ST&gt;",OR(AND('4-man'!Q$56="ST&gt;1",Q173&gt;=100),AND('4-man'!Q$57="ST&gt;1",Q181&gt;=100),AND('4-man'!Q$58="ST&gt;1",Q189&gt;=100))))),'4-man'!Q$54,0)</f>
        <v/>
      </c>
      <c r="R172">
        <f>IF(OR('4-man'!R$55="P",'4-man'!R$55="R",AND('4-man'!R$54&lt;=IF('4-man'!$BF$37="",999,'4-man'!$BF$37),OR('4-man'!R$55="D",LEFT('4-man'!R$55,3)="ST&gt;",OR(AND('4-man'!R$56="ST&gt;1",R173&gt;=100),AND('4-man'!R$57="ST&gt;1",R181&gt;=100),AND('4-man'!R$58="ST&gt;1",R189&gt;=100))))),'4-man'!R$54,0)</f>
        <v/>
      </c>
      <c r="S172">
        <f>IF(OR('4-man'!S$55="P",'4-man'!S$55="R",AND('4-man'!S$54&lt;=IF('4-man'!$BF$37="",999,'4-man'!$BF$37),OR('4-man'!S$55="D",LEFT('4-man'!S$55,3)="ST&gt;",OR(AND('4-man'!S$56="ST&gt;1",S173&gt;=100),AND('4-man'!S$57="ST&gt;1",S181&gt;=100),AND('4-man'!S$58="ST&gt;1",S189&gt;=100))))),'4-man'!S$54,0)</f>
        <v/>
      </c>
      <c r="T172">
        <f>IF(OR('4-man'!T$55="P",'4-man'!T$55="R",AND('4-man'!T$54&lt;=IF('4-man'!$BF$37="",999,'4-man'!$BF$37),OR('4-man'!T$55="D",LEFT('4-man'!T$55,3)="ST&gt;",OR(AND('4-man'!T$56="ST&gt;1",T173&gt;=100),AND('4-man'!T$57="ST&gt;1",T181&gt;=100),AND('4-man'!T$58="ST&gt;1",T189&gt;=100))))),'4-man'!T$54,0)</f>
        <v/>
      </c>
      <c r="U172">
        <f>IF(OR('4-man'!U$55="P",'4-man'!U$55="R",AND('4-man'!U$54&lt;=IF('4-man'!$BF$37="",999,'4-man'!$BF$37),OR('4-man'!U$55="D",LEFT('4-man'!U$55,3)="ST&gt;",OR(AND('4-man'!U$56="ST&gt;1",U173&gt;=100),AND('4-man'!U$57="ST&gt;1",U181&gt;=100),AND('4-man'!U$58="ST&gt;1",U189&gt;=100))))),'4-man'!U$54,0)</f>
        <v/>
      </c>
      <c r="V172">
        <f>IF(OR('4-man'!V$55="P",'4-man'!V$55="R",AND('4-man'!V$54&lt;=IF('4-man'!$BF$37="",999,'4-man'!$BF$37),OR('4-man'!V$55="D",LEFT('4-man'!V$55,3)="ST&gt;",OR(AND('4-man'!V$56="ST&gt;1",V173&gt;=100),AND('4-man'!V$57="ST&gt;1",V181&gt;=100),AND('4-man'!V$58="ST&gt;1",V189&gt;=100))))),'4-man'!V$54,0)</f>
        <v/>
      </c>
      <c r="W172">
        <f>IF(OR('4-man'!W$55="P",'4-man'!W$55="R",AND('4-man'!W$54&lt;=IF('4-man'!$BF$37="",999,'4-man'!$BF$37),OR('4-man'!W$55="D",LEFT('4-man'!W$55,3)="ST&gt;",OR(AND('4-man'!W$56="ST&gt;1",W173&gt;=100),AND('4-man'!W$57="ST&gt;1",W181&gt;=100),AND('4-man'!W$58="ST&gt;1",W189&gt;=100))))),'4-man'!W$54,0)</f>
        <v/>
      </c>
      <c r="X172">
        <f>IF(OR('4-man'!X$55="P",'4-man'!X$55="R",AND('4-man'!X$54&lt;=IF('4-man'!$BF$37="",999,'4-man'!$BF$37),OR('4-man'!X$55="D",LEFT('4-man'!X$55,3)="ST&gt;",OR(AND('4-man'!X$56="ST&gt;1",X173&gt;=100),AND('4-man'!X$57="ST&gt;1",X181&gt;=100),AND('4-man'!X$58="ST&gt;1",X189&gt;=100))))),'4-man'!X$54,0)</f>
        <v/>
      </c>
      <c r="Y172">
        <f>IF(OR('4-man'!Y$55="P",'4-man'!Y$55="R",AND('4-man'!Y$54&lt;=IF('4-man'!$BF$37="",999,'4-man'!$BF$37),OR('4-man'!Y$55="D",LEFT('4-man'!Y$55,3)="ST&gt;",OR(AND('4-man'!Y$56="ST&gt;1",Y173&gt;=100),AND('4-man'!Y$57="ST&gt;1",Y181&gt;=100),AND('4-man'!Y$58="ST&gt;1",Y189&gt;=100))))),'4-man'!Y$54,0)</f>
        <v/>
      </c>
      <c r="Z172">
        <f>IF(OR('4-man'!Z$55="P",'4-man'!Z$55="R",AND('4-man'!Z$54&lt;=IF('4-man'!$BF$37="",999,'4-man'!$BF$37),OR('4-man'!Z$55="D",LEFT('4-man'!Z$55,3)="ST&gt;",OR(AND('4-man'!Z$56="ST&gt;1",Z173&gt;=100),AND('4-man'!Z$57="ST&gt;1",Z181&gt;=100),AND('4-man'!Z$58="ST&gt;1",Z189&gt;=100))))),'4-man'!Z$54,0)</f>
        <v/>
      </c>
      <c r="AA172">
        <f>IF(OR('4-man'!AA$55="P",'4-man'!AA$55="R",AND('4-man'!AA$54&lt;=IF('4-man'!$BF$37="",999,'4-man'!$BF$37),OR('4-man'!AA$55="D",LEFT('4-man'!AA$55,3)="ST&gt;",OR(AND('4-man'!AA$56="ST&gt;1",AA173&gt;=100),AND('4-man'!AA$57="ST&gt;1",AA181&gt;=100),AND('4-man'!AA$58="ST&gt;1",AA189&gt;=100))))),'4-man'!AA$54,0)</f>
        <v/>
      </c>
      <c r="AB172">
        <f>IF(OR('4-man'!AB$55="P",'4-man'!AB$55="R",AND('4-man'!AB$54&lt;=IF('4-man'!$BF$37="",999,'4-man'!$BF$37),OR('4-man'!AB$55="D",LEFT('4-man'!AB$55,3)="ST&gt;",OR(AND('4-man'!AB$56="ST&gt;1",AB173&gt;=100),AND('4-man'!AB$57="ST&gt;1",AB181&gt;=100),AND('4-man'!AB$58="ST&gt;1",AB189&gt;=100))))),'4-man'!AB$54,0)</f>
        <v/>
      </c>
      <c r="AC172">
        <f>IF(OR('4-man'!AC$55="P",'4-man'!AC$55="R",AND('4-man'!AC$54&lt;=IF('4-man'!$BF$37="",999,'4-man'!$BF$37),OR('4-man'!AC$55="D",LEFT('4-man'!AC$55,3)="ST&gt;",OR(AND('4-man'!AC$56="ST&gt;1",AC173&gt;=100),AND('4-man'!AC$57="ST&gt;1",AC181&gt;=100),AND('4-man'!AC$58="ST&gt;1",AC189&gt;=100))))),'4-man'!AC$54,0)</f>
        <v/>
      </c>
      <c r="AD172">
        <f>IF(OR('4-man'!AD$55="P",'4-man'!AD$55="R",AND('4-man'!AD$54&lt;=IF('4-man'!$BF$37="",999,'4-man'!$BF$37),OR('4-man'!AD$55="D",LEFT('4-man'!AD$55,3)="ST&gt;",OR(AND('4-man'!AD$56="ST&gt;1",AD173&gt;=100),AND('4-man'!AD$57="ST&gt;1",AD181&gt;=100),AND('4-man'!AD$58="ST&gt;1",AD189&gt;=100))))),'4-man'!AD$54,0)</f>
        <v/>
      </c>
      <c r="AE172">
        <f>IF(OR('4-man'!AE$55="P",'4-man'!AE$55="R",AND('4-man'!AE$54&lt;=IF('4-man'!$BF$37="",999,'4-man'!$BF$37),OR('4-man'!AE$55="D",LEFT('4-man'!AE$55,3)="ST&gt;",OR(AND('4-man'!AE$56="ST&gt;1",AE173&gt;=100),AND('4-man'!AE$57="ST&gt;1",AE181&gt;=100),AND('4-man'!AE$58="ST&gt;1",AE189&gt;=100))))),'4-man'!AE$54,0)</f>
        <v/>
      </c>
      <c r="AF172">
        <f>IF(OR('4-man'!AF$55="P",'4-man'!AF$55="R",AND('4-man'!AF$54&lt;=IF('4-man'!$BF$37="",999,'4-man'!$BF$37),OR('4-man'!AF$55="D",LEFT('4-man'!AF$55,3)="ST&gt;",OR(AND('4-man'!AF$56="ST&gt;1",AF173&gt;=100),AND('4-man'!AF$57="ST&gt;1",AF181&gt;=100),AND('4-man'!AF$58="ST&gt;1",AF189&gt;=100))))),'4-man'!AF$54,0)</f>
        <v/>
      </c>
      <c r="AG172">
        <f>IF(OR('4-man'!AG$55="P",'4-man'!AG$55="R",AND('4-man'!AG$54&lt;=IF('4-man'!$BF$37="",999,'4-man'!$BF$37),OR('4-man'!AG$55="D",LEFT('4-man'!AG$55,3)="ST&gt;",OR(AND('4-man'!AG$56="ST&gt;1",AG173&gt;=100),AND('4-man'!AG$57="ST&gt;1",AG181&gt;=100),AND('4-man'!AG$58="ST&gt;1",AG189&gt;=100))))),'4-man'!AG$54,0)</f>
        <v/>
      </c>
      <c r="AH172">
        <f>IF(OR('4-man'!AH$55="P",'4-man'!AH$55="R",AND('4-man'!AH$54&lt;=IF('4-man'!$BF$37="",999,'4-man'!$BF$37),OR('4-man'!AH$55="D",LEFT('4-man'!AH$55,3)="ST&gt;",OR(AND('4-man'!AH$56="ST&gt;1",AH173&gt;=100),AND('4-man'!AH$57="ST&gt;1",AH181&gt;=100),AND('4-man'!AH$58="ST&gt;1",AH189&gt;=100))))),'4-man'!AH$54,0)</f>
        <v/>
      </c>
      <c r="AI172">
        <f>IF(OR('4-man'!AI$55="P",'4-man'!AI$55="R",AND('4-man'!AI$54&lt;=IF('4-man'!$BF$37="",999,'4-man'!$BF$37),OR('4-man'!AI$55="D",LEFT('4-man'!AI$55,3)="ST&gt;",OR(AND('4-man'!AI$56="ST&gt;1",AI173&gt;=100),AND('4-man'!AI$57="ST&gt;1",AI181&gt;=100),AND('4-man'!AI$58="ST&gt;1",AI189&gt;=100))))),'4-man'!AI$54,0)</f>
        <v/>
      </c>
      <c r="AJ172">
        <f>IF(OR('4-man'!AJ$55="P",'4-man'!AJ$55="R",AND('4-man'!AJ$54&lt;=IF('4-man'!$BF$37="",999,'4-man'!$BF$37),OR('4-man'!AJ$55="D",LEFT('4-man'!AJ$55,3)="ST&gt;",OR(AND('4-man'!AJ$56="ST&gt;1",AJ173&gt;=100),AND('4-man'!AJ$57="ST&gt;1",AJ181&gt;=100),AND('4-man'!AJ$58="ST&gt;1",AJ189&gt;=100))))),'4-man'!AJ$54,0)</f>
        <v/>
      </c>
      <c r="AK172">
        <f>IF(OR('4-man'!AK$55="P",'4-man'!AK$55="R",AND('4-man'!AK$54&lt;=IF('4-man'!$BF$37="",999,'4-man'!$BF$37),OR('4-man'!AK$55="D",LEFT('4-man'!AK$55,3)="ST&gt;",OR(AND('4-man'!AK$56="ST&gt;1",AK173&gt;=100),AND('4-man'!AK$57="ST&gt;1",AK181&gt;=100),AND('4-man'!AK$58="ST&gt;1",AK189&gt;=100))))),'4-man'!AK$54,0)</f>
        <v/>
      </c>
      <c r="AL172">
        <f>IF(OR('4-man'!AL$55="P",'4-man'!AL$55="R",AND('4-man'!AL$54&lt;=IF('4-man'!$BF$37="",999,'4-man'!$BF$37),OR('4-man'!AL$55="D",LEFT('4-man'!AL$55,3)="ST&gt;",OR(AND('4-man'!AL$56="ST&gt;1",AL173&gt;=100),AND('4-man'!AL$57="ST&gt;1",AL181&gt;=100),AND('4-man'!AL$58="ST&gt;1",AL189&gt;=100))))),'4-man'!AL$54,0)</f>
        <v/>
      </c>
      <c r="AM172">
        <f>IF(OR('4-man'!AM$55="P",'4-man'!AM$55="R",AND('4-man'!AM$54&lt;=IF('4-man'!$BF$37="",999,'4-man'!$BF$37),OR('4-man'!AM$55="D",LEFT('4-man'!AM$55,3)="ST&gt;",OR(AND('4-man'!AM$56="ST&gt;1",AM173&gt;=100),AND('4-man'!AM$57="ST&gt;1",AM181&gt;=100),AND('4-man'!AM$58="ST&gt;1",AM189&gt;=100))))),'4-man'!AM$54,0)</f>
        <v/>
      </c>
      <c r="AN172">
        <f>IF(OR('4-man'!AN$55="P",'4-man'!AN$55="R",AND('4-man'!AN$54&lt;=IF('4-man'!$BF$37="",999,'4-man'!$BF$37),OR('4-man'!AN$55="D",LEFT('4-man'!AN$55,3)="ST&gt;",OR(AND('4-man'!AN$56="ST&gt;1",AN173&gt;=100),AND('4-man'!AN$57="ST&gt;1",AN181&gt;=100),AND('4-man'!AN$58="ST&gt;1",AN189&gt;=100))))),'4-man'!AN$54,0)</f>
        <v/>
      </c>
      <c r="AO172">
        <f>IF(OR('4-man'!AO$55="P",'4-man'!AO$55="R",AND('4-man'!AO$54&lt;=IF('4-man'!$BF$37="",999,'4-man'!$BF$37),OR('4-man'!AO$55="D",LEFT('4-man'!AO$55,3)="ST&gt;",OR(AND('4-man'!AO$56="ST&gt;1",AO173&gt;=100),AND('4-man'!AO$57="ST&gt;1",AO181&gt;=100),AND('4-man'!AO$58="ST&gt;1",AO189&gt;=100))))),'4-man'!AO$54,0)</f>
        <v/>
      </c>
      <c r="AP172">
        <f>IF(OR('4-man'!AP$55="P",'4-man'!AP$55="R",AND('4-man'!AP$54&lt;=IF('4-man'!$BF$37="",999,'4-man'!$BF$37),OR('4-man'!AP$55="D",LEFT('4-man'!AP$55,3)="ST&gt;",OR(AND('4-man'!AP$56="ST&gt;1",AP173&gt;=100),AND('4-man'!AP$57="ST&gt;1",AP181&gt;=100),AND('4-man'!AP$58="ST&gt;1",AP189&gt;=100))))),'4-man'!AP$54,0)</f>
        <v/>
      </c>
      <c r="AQ172">
        <f>IF(OR('4-man'!AQ$55="P",'4-man'!AQ$55="R",AND('4-man'!AQ$54&lt;=IF('4-man'!$BF$37="",999,'4-man'!$BF$37),OR('4-man'!AQ$55="D",LEFT('4-man'!AQ$55,3)="ST&gt;",OR(AND('4-man'!AQ$56="ST&gt;1",AQ173&gt;=100),AND('4-man'!AQ$57="ST&gt;1",AQ181&gt;=100),AND('4-man'!AQ$58="ST&gt;1",AQ189&gt;=100))))),'4-man'!AQ$54,0)</f>
        <v/>
      </c>
      <c r="AR172">
        <f>IF(OR('4-man'!AR$55="P",'4-man'!AR$55="R",AND('4-man'!AR$54&lt;=IF('4-man'!$BF$37="",999,'4-man'!$BF$37),OR('4-man'!AR$55="D",LEFT('4-man'!AR$55,3)="ST&gt;",OR(AND('4-man'!AR$56="ST&gt;1",AR173&gt;=100),AND('4-man'!AR$57="ST&gt;1",AR181&gt;=100),AND('4-man'!AR$58="ST&gt;1",AR189&gt;=100))))),'4-man'!AR$54,0)</f>
        <v/>
      </c>
      <c r="AS172">
        <f>IF(OR('4-man'!AS$55="P",'4-man'!AS$55="R",AND('4-man'!AS$54&lt;=IF('4-man'!$BF$37="",999,'4-man'!$BF$37),OR('4-man'!AS$55="D",LEFT('4-man'!AS$55,3)="ST&gt;",OR(AND('4-man'!AS$56="ST&gt;1",AS173&gt;=100),AND('4-man'!AS$57="ST&gt;1",AS181&gt;=100),AND('4-man'!AS$58="ST&gt;1",AS189&gt;=100))))),'4-man'!AS$54,0)</f>
        <v/>
      </c>
      <c r="AT172">
        <f>IF(OR('4-man'!AT$55="P",'4-man'!AT$55="R",AND('4-man'!AT$54&lt;=IF('4-man'!$BF$37="",999,'4-man'!$BF$37),OR('4-man'!AT$55="D",LEFT('4-man'!AT$55,3)="ST&gt;",OR(AND('4-man'!AT$56="ST&gt;1",AT173&gt;=100),AND('4-man'!AT$57="ST&gt;1",AT181&gt;=100),AND('4-man'!AT$58="ST&gt;1",AT189&gt;=100))))),'4-man'!AT$54,0)</f>
        <v/>
      </c>
      <c r="AU172">
        <f>IF(OR('4-man'!AU$55="P",'4-man'!AU$55="R",AND('4-man'!AU$54&lt;=IF('4-man'!$BF$37="",999,'4-man'!$BF$37),OR('4-man'!AU$55="D",LEFT('4-man'!AU$55,3)="ST&gt;",OR(AND('4-man'!AU$56="ST&gt;1",AU173&gt;=100),AND('4-man'!AU$57="ST&gt;1",AU181&gt;=100),AND('4-man'!AU$58="ST&gt;1",AU189&gt;=100))))),'4-man'!AU$54,0)</f>
        <v/>
      </c>
      <c r="AV172">
        <f>IF(OR('4-man'!AV$55="P",'4-man'!AV$55="R",AND('4-man'!AV$54&lt;=IF('4-man'!$BF$37="",999,'4-man'!$BF$37),OR('4-man'!AV$55="D",LEFT('4-man'!AV$55,3)="ST&gt;",OR(AND('4-man'!AV$56="ST&gt;1",AV173&gt;=100),AND('4-man'!AV$57="ST&gt;1",AV181&gt;=100),AND('4-man'!AV$58="ST&gt;1",AV189&gt;=100))))),'4-man'!AV$54,0)</f>
        <v/>
      </c>
      <c r="AW172">
        <f>IF(OR('4-man'!AW$55="P",'4-man'!AW$55="R",AND('4-man'!AW$54&lt;=IF('4-man'!$BF$37="",999,'4-man'!$BF$37),OR('4-man'!AW$55="D",LEFT('4-man'!AW$55,3)="ST&gt;",OR(AND('4-man'!AW$56="ST&gt;1",AW173&gt;=100),AND('4-man'!AW$57="ST&gt;1",AW181&gt;=100),AND('4-man'!AW$58="ST&gt;1",AW189&gt;=100))))),'4-man'!AW$54,0)</f>
        <v/>
      </c>
      <c r="AX172">
        <f>IF(OR('4-man'!AX$55="P",'4-man'!AX$55="R",AND('4-man'!AX$54&lt;=IF('4-man'!$BF$37="",999,'4-man'!$BF$37),OR('4-man'!AX$55="D",LEFT('4-man'!AX$55,3)="ST&gt;",OR(AND('4-man'!AX$56="ST&gt;1",AX173&gt;=100),AND('4-man'!AX$57="ST&gt;1",AX181&gt;=100),AND('4-man'!AX$58="ST&gt;1",AX189&gt;=100))))),'4-man'!AX$54,0)</f>
        <v/>
      </c>
      <c r="AY172">
        <f>IF(OR('4-man'!AY$55="P",'4-man'!AY$55="R",AND('4-man'!AY$54&lt;=IF('4-man'!$BF$37="",999,'4-man'!$BF$37),OR('4-man'!AY$55="D",LEFT('4-man'!AY$55,3)="ST&gt;",OR(AND('4-man'!AY$56="ST&gt;1",AY173&gt;=100),AND('4-man'!AY$57="ST&gt;1",AY181&gt;=100),AND('4-man'!AY$58="ST&gt;1",AY189&gt;=100))))),'4-man'!AY$54,0)</f>
        <v/>
      </c>
      <c r="AZ172">
        <f>IF(OR('4-man'!AZ$55="P",'4-man'!AZ$55="R",AND('4-man'!AZ$54&lt;=IF('4-man'!$BF$37="",999,'4-man'!$BF$37),OR('4-man'!AZ$55="D",LEFT('4-man'!AZ$55,3)="ST&gt;",OR(AND('4-man'!AZ$56="ST&gt;1",AZ173&gt;=100),AND('4-man'!AZ$57="ST&gt;1",AZ181&gt;=100),AND('4-man'!AZ$58="ST&gt;1",AZ189&gt;=100))))),'4-man'!AZ$54,0)</f>
        <v/>
      </c>
      <c r="BA172">
        <f>IF(OR('4-man'!BA$55="P",'4-man'!BA$55="R",AND('4-man'!BA$54&lt;=IF('4-man'!$BF$37="",999,'4-man'!$BF$37),OR('4-man'!BA$55="D",LEFT('4-man'!BA$55,3)="ST&gt;",OR(AND('4-man'!BA$56="ST&gt;1",BA173&gt;=100),AND('4-man'!BA$57="ST&gt;1",BA181&gt;=100),AND('4-man'!BA$58="ST&gt;1",BA189&gt;=100))))),'4-man'!BA$54,0)</f>
        <v/>
      </c>
      <c r="BB172">
        <f>IF(OR('4-man'!BB$55="P",'4-man'!BB$55="R",AND('4-man'!BB$54&lt;=IF('4-man'!$BF$37="",999,'4-man'!$BF$37),OR('4-man'!BB$55="D",LEFT('4-man'!BB$55,3)="ST&gt;",OR(AND('4-man'!BB$56="ST&gt;1",BB173&gt;=100),AND('4-man'!BB$57="ST&gt;1",BB181&gt;=100),AND('4-man'!BB$58="ST&gt;1",BB189&gt;=100))))),'4-man'!BB$54,0)</f>
        <v/>
      </c>
      <c r="BC172">
        <f>IF(OR('4-man'!BC$55="P",'4-man'!BC$55="R",AND('4-man'!BC$54&lt;=IF('4-man'!$BF$37="",999,'4-man'!$BF$37),OR('4-man'!BC$55="D",LEFT('4-man'!BC$55,3)="ST&gt;",OR(AND('4-man'!BC$56="ST&gt;1",BC173&gt;=100),AND('4-man'!BC$57="ST&gt;1",BC181&gt;=100),AND('4-man'!BC$58="ST&gt;1",BC189&gt;=100))))),'4-man'!BC$54,0)</f>
        <v/>
      </c>
      <c r="BD172">
        <f>IF(OR('4-man'!BD$55="P",'4-man'!BD$55="R",AND('4-man'!BD$54&lt;=IF('4-man'!$BF$37="",999,'4-man'!$BF$37),OR('4-man'!BD$55="D",LEFT('4-man'!BD$55,3)="ST&gt;",OR(AND('4-man'!BD$56="ST&gt;1",BD173&gt;=100),AND('4-man'!BD$57="ST&gt;1",BD181&gt;=100),AND('4-man'!BD$58="ST&gt;1",BD189&gt;=100))))),'4-man'!BD$54,0)</f>
        <v/>
      </c>
      <c r="BE172">
        <f>IF(OR('4-man'!BE$55="P",'4-man'!BE$55="R",AND('4-man'!BE$54&lt;=IF('4-man'!$BF$37="",999,'4-man'!$BF$37),OR('4-man'!BE$55="D",LEFT('4-man'!BE$55,3)="ST&gt;",OR(AND('4-man'!BE$56="ST&gt;1",BE173&gt;=100),AND('4-man'!BE$57="ST&gt;1",BE181&gt;=100),AND('4-man'!BE$58="ST&gt;1",BE189&gt;=100))))),'4-man'!BE$54,0)</f>
        <v/>
      </c>
      <c r="BF172">
        <f>IF(OR('4-man'!BF$55="P",'4-man'!BF$55="R",AND('4-man'!BF$54&lt;=IF('4-man'!$BF$37="",999,'4-man'!$BF$37),OR('4-man'!BF$55="D",LEFT('4-man'!BF$55,3)="ST&gt;",OR(AND('4-man'!BF$56="ST&gt;1",BF173&gt;=100),AND('4-man'!BF$57="ST&gt;1",BF181&gt;=100),AND('4-man'!BF$58="ST&gt;1",BF189&gt;=100))))),'4-man'!BF$54,0)</f>
        <v/>
      </c>
      <c r="BG172">
        <f>IF(OR('4-man'!BG$55="P",'4-man'!BG$55="R",AND('4-man'!BG$54&lt;=IF('4-man'!$BF$37="",999,'4-man'!$BF$37),OR('4-man'!BG$55="D",LEFT('4-man'!BG$55,3)="ST&gt;",OR(AND('4-man'!BG$56="ST&gt;1",BG173&gt;=100),AND('4-man'!BG$57="ST&gt;1",BG181&gt;=100),AND('4-man'!BG$58="ST&gt;1",BG189&gt;=100))))),'4-man'!BG$54,0)</f>
        <v/>
      </c>
      <c r="BH172">
        <f>IF(OR('4-man'!BH$55="P",'4-man'!BH$55="R",AND('4-man'!BH$54&lt;=IF('4-man'!$BF$37="",999,'4-man'!$BF$37),OR('4-man'!BH$55="D",LEFT('4-man'!BH$55,3)="ST&gt;",OR(AND('4-man'!BH$56="ST&gt;1",BH173&gt;=100),AND('4-man'!BH$57="ST&gt;1",BH181&gt;=100),AND('4-man'!BH$58="ST&gt;1",BH189&gt;=100))))),'4-man'!BH$54,0)</f>
        <v/>
      </c>
      <c r="BI172">
        <f>IF(OR('4-man'!BI$55="P",'4-man'!BI$55="R",AND('4-man'!BI$54&lt;=IF('4-man'!$BF$37="",999,'4-man'!$BF$37),OR('4-man'!BI$55="D",LEFT('4-man'!BI$55,3)="ST&gt;",OR(AND('4-man'!BI$56="ST&gt;1",BI173&gt;=100),AND('4-man'!BI$57="ST&gt;1",BI181&gt;=100),AND('4-man'!BI$58="ST&gt;1",BI189&gt;=100))))),'4-man'!BI$54,0)</f>
        <v/>
      </c>
      <c r="BJ172">
        <f>IF(OR('4-man'!BJ$55="P",'4-man'!BJ$55="R",AND('4-man'!BJ$54&lt;=IF('4-man'!$BF$37="",999,'4-man'!$BF$37),OR('4-man'!BJ$55="D",LEFT('4-man'!BJ$55,3)="ST&gt;",OR(AND('4-man'!BJ$56="ST&gt;1",BJ173&gt;=100),AND('4-man'!BJ$57="ST&gt;1",BJ181&gt;=100),AND('4-man'!BJ$58="ST&gt;1",BJ189&gt;=100))))),'4-man'!BJ$54,0)</f>
        <v/>
      </c>
      <c r="BK172">
        <f>IF(OR('4-man'!BK$55="P",'4-man'!BK$55="R",AND('4-man'!BK$54&lt;=IF('4-man'!$BF$37="",999,'4-man'!$BF$37),OR('4-man'!BK$55="D",LEFT('4-man'!BK$55,3)="ST&gt;",OR(AND('4-man'!BK$56="ST&gt;1",BK173&gt;=100),AND('4-man'!BK$57="ST&gt;1",BK181&gt;=100),AND('4-man'!BK$58="ST&gt;1",BK189&gt;=100))))),'4-man'!BK$54,0)</f>
        <v/>
      </c>
      <c r="BL172">
        <f>IF(OR('4-man'!BL$55="P",'4-man'!BL$55="R",AND('4-man'!BL$54&lt;=IF('4-man'!$BF$37="",999,'4-man'!$BF$37),OR('4-man'!BL$55="D",LEFT('4-man'!BL$55,3)="ST&gt;",OR(AND('4-man'!BL$56="ST&gt;1",BL173&gt;=100),AND('4-man'!BL$57="ST&gt;1",BL181&gt;=100),AND('4-man'!BL$58="ST&gt;1",BL189&gt;=100))))),'4-man'!BL$54,0)</f>
        <v/>
      </c>
      <c r="BM172">
        <f>IF(OR('4-man'!BM$55="P",'4-man'!BM$55="R",AND('4-man'!BM$54&lt;=IF('4-man'!$BF$37="",999,'4-man'!$BF$37),OR('4-man'!BM$55="D",LEFT('4-man'!BM$55,3)="ST&gt;",OR(AND('4-man'!BM$56="ST&gt;1",BM173&gt;=100),AND('4-man'!BM$57="ST&gt;1",BM181&gt;=100),AND('4-man'!BM$58="ST&gt;1",BM189&gt;=100))))),'4-man'!BM$54,0)</f>
        <v/>
      </c>
      <c r="BN172">
        <f>IF(OR('4-man'!BN$55="P",'4-man'!BN$55="R",AND('4-man'!BN$54&lt;=IF('4-man'!$BF$37="",999,'4-man'!$BF$37),OR('4-man'!BN$55="D",LEFT('4-man'!BN$55,3)="ST&gt;",OR(AND('4-man'!BN$56="ST&gt;1",BN173&gt;=100),AND('4-man'!BN$57="ST&gt;1",BN181&gt;=100),AND('4-man'!BN$58="ST&gt;1",BN189&gt;=100))))),'4-man'!BN$54,0)</f>
        <v/>
      </c>
      <c r="BO172">
        <f>IF(OR('4-man'!BO$55="P",'4-man'!BO$55="R",AND('4-man'!BO$54&lt;=IF('4-man'!$BF$37="",999,'4-man'!$BF$37),OR('4-man'!BO$55="D",LEFT('4-man'!BO$55,3)="ST&gt;",OR(AND('4-man'!BO$56="ST&gt;1",BO173&gt;=100),AND('4-man'!BO$57="ST&gt;1",BO181&gt;=100),AND('4-man'!BO$58="ST&gt;1",BO189&gt;=100))))),'4-man'!BO$54,0)</f>
        <v/>
      </c>
      <c r="BP172">
        <f>IF(OR('4-man'!BP$55="P",'4-man'!BP$55="R",AND('4-man'!BP$54&lt;=IF('4-man'!$BF$37="",999,'4-man'!$BF$37),OR('4-man'!BP$55="D",LEFT('4-man'!BP$55,3)="ST&gt;",OR(AND('4-man'!BP$56="ST&gt;1",BP173&gt;=100),AND('4-man'!BP$57="ST&gt;1",BP181&gt;=100),AND('4-man'!BP$58="ST&gt;1",BP189&gt;=100))))),'4-man'!BP$54,0)</f>
        <v/>
      </c>
      <c r="BQ172">
        <f>IF(OR('4-man'!BQ$55="P",'4-man'!BQ$55="R",AND('4-man'!BQ$54&lt;=IF('4-man'!$BF$37="",999,'4-man'!$BF$37),OR('4-man'!BQ$55="D",LEFT('4-man'!BQ$55,3)="ST&gt;",OR(AND('4-man'!BQ$56="ST&gt;1",BQ173&gt;=100),AND('4-man'!BQ$57="ST&gt;1",BQ181&gt;=100),AND('4-man'!BQ$58="ST&gt;1",BQ189&gt;=100))))),'4-man'!BQ$54,0)</f>
        <v/>
      </c>
      <c r="BR172">
        <f>IF(OR('4-man'!BR$55="P",'4-man'!BR$55="R",AND('4-man'!BR$54&lt;=IF('4-man'!$BF$37="",999,'4-man'!$BF$37),OR('4-man'!BR$55="D",LEFT('4-man'!BR$55,3)="ST&gt;",OR(AND('4-man'!BR$56="ST&gt;1",BR173&gt;=100),AND('4-man'!BR$57="ST&gt;1",BR181&gt;=100),AND('4-man'!BR$58="ST&gt;1",BR189&gt;=100))))),'4-man'!BR$54,0)</f>
        <v/>
      </c>
      <c r="BS172">
        <f>IF(OR('4-man'!BS$55="P",'4-man'!BS$55="R",AND('4-man'!BS$54&lt;=IF('4-man'!$BF$37="",999,'4-man'!$BF$37),OR('4-man'!BS$55="D",LEFT('4-man'!BS$55,3)="ST&gt;",OR(AND('4-man'!BS$56="ST&gt;1",BS173&gt;=100),AND('4-man'!BS$57="ST&gt;1",BS181&gt;=100),AND('4-man'!BS$58="ST&gt;1",BS189&gt;=100))))),'4-man'!BS$54,0)</f>
        <v/>
      </c>
      <c r="BT172">
        <f>IF(OR('4-man'!BT$55="P",'4-man'!BT$55="R",AND('4-man'!BT$54&lt;=IF('4-man'!$BF$37="",999,'4-man'!$BF$37),OR('4-man'!BT$55="D",LEFT('4-man'!BT$55,3)="ST&gt;",OR(AND('4-man'!BT$56="ST&gt;1",BT173&gt;=100),AND('4-man'!BT$57="ST&gt;1",BT181&gt;=100),AND('4-man'!BT$58="ST&gt;1",BT189&gt;=100))))),'4-man'!BT$54,0)</f>
        <v/>
      </c>
      <c r="BU172">
        <f>IF(OR('4-man'!BU$55="P",'4-man'!BU$55="R",AND('4-man'!BU$54&lt;=IF('4-man'!$BF$37="",999,'4-man'!$BF$37),OR('4-man'!BU$55="D",LEFT('4-man'!BU$55,3)="ST&gt;",OR(AND('4-man'!BU$56="ST&gt;1",BU173&gt;=100),AND('4-man'!BU$57="ST&gt;1",BU181&gt;=100),AND('4-man'!BU$58="ST&gt;1",BU189&gt;=100))))),'4-man'!BU$54,0)</f>
        <v/>
      </c>
      <c r="BV172">
        <f>IF(OR('4-man'!BV$55="P",'4-man'!BV$55="R",AND('4-man'!BV$54&lt;=IF('4-man'!$BF$37="",999,'4-man'!$BF$37),OR('4-man'!BV$55="D",LEFT('4-man'!BV$55,3)="ST&gt;",OR(AND('4-man'!BV$56="ST&gt;1",BV173&gt;=100),AND('4-man'!BV$57="ST&gt;1",BV181&gt;=100),AND('4-man'!BV$58="ST&gt;1",BV189&gt;=100))))),'4-man'!BV$54,0)</f>
        <v/>
      </c>
      <c r="BW172">
        <f>IF(OR('4-man'!BW$55="P",'4-man'!BW$55="R",AND('4-man'!BW$54&lt;=IF('4-man'!$BF$37="",999,'4-man'!$BF$37),OR('4-man'!BW$55="D",LEFT('4-man'!BW$55,3)="ST&gt;",OR(AND('4-man'!BW$56="ST&gt;1",BW173&gt;=100),AND('4-man'!BW$57="ST&gt;1",BW181&gt;=100),AND('4-man'!BW$58="ST&gt;1",BW189&gt;=100))))),'4-man'!BW$54,0)</f>
        <v/>
      </c>
      <c r="BX172">
        <f>IF(OR('4-man'!BX$55="P",'4-man'!BX$55="R",AND('4-man'!BX$54&lt;=IF('4-man'!$BF$37="",999,'4-man'!$BF$37),OR('4-man'!BX$55="D",LEFT('4-man'!BX$55,3)="ST&gt;",OR(AND('4-man'!BX$56="ST&gt;1",BX173&gt;=100),AND('4-man'!BX$57="ST&gt;1",BX181&gt;=100),AND('4-man'!BX$58="ST&gt;1",BX189&gt;=100))))),'4-man'!BX$54,0)</f>
        <v/>
      </c>
      <c r="BY172">
        <f>IF(OR('4-man'!BY$55="P",'4-man'!BY$55="R",AND('4-man'!BY$54&lt;=IF('4-man'!$BF$37="",999,'4-man'!$BF$37),OR('4-man'!BY$55="D",LEFT('4-man'!BY$55,3)="ST&gt;",OR(AND('4-man'!BY$56="ST&gt;1",BY173&gt;=100),AND('4-man'!BY$57="ST&gt;1",BY181&gt;=100),AND('4-man'!BY$58="ST&gt;1",BY189&gt;=100))))),'4-man'!BY$54,0)</f>
        <v/>
      </c>
      <c r="BZ172">
        <f>IF(OR('4-man'!BZ$55="P",'4-man'!BZ$55="R",AND('4-man'!BZ$54&lt;=IF('4-man'!$BF$37="",999,'4-man'!$BF$37),OR('4-man'!BZ$55="D",LEFT('4-man'!BZ$55,3)="ST&gt;",OR(AND('4-man'!BZ$56="ST&gt;1",BZ173&gt;=100),AND('4-man'!BZ$57="ST&gt;1",BZ181&gt;=100),AND('4-man'!BZ$58="ST&gt;1",BZ189&gt;=100))))),'4-man'!BZ$54,0)</f>
        <v/>
      </c>
      <c r="CA172">
        <f>IF(OR('4-man'!CA$55="P",'4-man'!CA$55="R",AND('4-man'!CA$54&lt;=IF('4-man'!$BF$37="",999,'4-man'!$BF$37),OR('4-man'!CA$55="D",LEFT('4-man'!CA$55,3)="ST&gt;",OR(AND('4-man'!CA$56="ST&gt;1",CA173&gt;=100),AND('4-man'!CA$57="ST&gt;1",CA181&gt;=100),AND('4-man'!CA$58="ST&gt;1",CA189&gt;=100))))),'4-man'!CA$54,0)</f>
        <v/>
      </c>
      <c r="CB172">
        <f>IF(OR('4-man'!CB$55="P",'4-man'!CB$55="R",AND('4-man'!CB$54&lt;=IF('4-man'!$BF$37="",999,'4-man'!$BF$37),OR('4-man'!CB$55="D",LEFT('4-man'!CB$55,3)="ST&gt;",OR(AND('4-man'!CB$56="ST&gt;1",CB173&gt;=100),AND('4-man'!CB$57="ST&gt;1",CB181&gt;=100),AND('4-man'!CB$58="ST&gt;1",CB189&gt;=100))))),'4-man'!CB$54,0)</f>
        <v/>
      </c>
      <c r="CC172">
        <f>IF(OR('4-man'!CC$55="P",'4-man'!CC$55="R",AND('4-man'!CC$54&lt;=IF('4-man'!$BF$37="",999,'4-man'!$BF$37),OR('4-man'!CC$55="D",LEFT('4-man'!CC$55,3)="ST&gt;",OR(AND('4-man'!CC$56="ST&gt;1",CC173&gt;=100),AND('4-man'!CC$57="ST&gt;1",CC181&gt;=100),AND('4-man'!CC$58="ST&gt;1",CC189&gt;=100))))),'4-man'!CC$54,0)</f>
        <v/>
      </c>
      <c r="CD172">
        <f>IF(OR('4-man'!CD$55="P",'4-man'!CD$55="R",AND('4-man'!CD$54&lt;=IF('4-man'!$BF$37="",999,'4-man'!$BF$37),OR('4-man'!CD$55="D",LEFT('4-man'!CD$55,3)="ST&gt;",OR(AND('4-man'!CD$56="ST&gt;1",CD173&gt;=100),AND('4-man'!CD$57="ST&gt;1",CD181&gt;=100),AND('4-man'!CD$58="ST&gt;1",CD189&gt;=100))))),'4-man'!CD$54,0)</f>
        <v/>
      </c>
    </row>
    <row r="173">
      <c r="A173" t="inlineStr">
        <is>
          <t>P2 s1</t>
        </is>
      </c>
      <c r="C173">
        <f>MIN(100,B174+IF(AND(B174&lt;100,B175+1&gt;=IF(OR('4-man'!$F$38=TRUE,'4-man'!$F$38="TRUE",'4-man'!$F$38="Yes"),25,50)),10,0)+IF('4-man'!C$54=$Q$179,25,0))</f>
        <v/>
      </c>
      <c r="D173">
        <f>MIN(100,C174+IF(AND(C174&lt;100,C175+1&gt;=IF(OR('4-man'!$F$38=TRUE,'4-man'!$F$38="TRUE",'4-man'!$F$38="Yes"),25,50)),10,0)+IF('4-man'!D$54=$Q$179,25,0))</f>
        <v/>
      </c>
      <c r="E173">
        <f>MIN(100,D174+IF(AND(D174&lt;100,D175+1&gt;=IF(OR('4-man'!$F$38=TRUE,'4-man'!$F$38="TRUE",'4-man'!$F$38="Yes"),25,50)),10,0)+IF('4-man'!E$54=$Q$179,25,0))</f>
        <v/>
      </c>
      <c r="F173">
        <f>MIN(100,E174+IF(AND(E174&lt;100,E175+1&gt;=IF(OR('4-man'!$F$38=TRUE,'4-man'!$F$38="TRUE",'4-man'!$F$38="Yes"),25,50)),10,0)+IF('4-man'!F$54=$Q$179,25,0))</f>
        <v/>
      </c>
      <c r="G173">
        <f>MIN(100,F174+IF(AND(F174&lt;100,F175+1&gt;=IF(OR('4-man'!$F$38=TRUE,'4-man'!$F$38="TRUE",'4-man'!$F$38="Yes"),25,50)),10,0)+IF('4-man'!G$54=$Q$179,25,0))</f>
        <v/>
      </c>
      <c r="H173">
        <f>MIN(100,G174+IF(AND(G174&lt;100,G175+1&gt;=IF(OR('4-man'!$F$38=TRUE,'4-man'!$F$38="TRUE",'4-man'!$F$38="Yes"),25,50)),10,0)+IF('4-man'!H$54=$Q$179,25,0))</f>
        <v/>
      </c>
      <c r="I173">
        <f>MIN(100,H174+IF(AND(H174&lt;100,H175+1&gt;=IF(OR('4-man'!$F$38=TRUE,'4-man'!$F$38="TRUE",'4-man'!$F$38="Yes"),25,50)),10,0)+IF('4-man'!I$54=$Q$179,25,0))</f>
        <v/>
      </c>
      <c r="J173">
        <f>MIN(100,I174+IF(AND(I174&lt;100,I175+1&gt;=IF(OR('4-man'!$F$38=TRUE,'4-man'!$F$38="TRUE",'4-man'!$F$38="Yes"),25,50)),10,0)+IF('4-man'!J$54=$Q$179,25,0))</f>
        <v/>
      </c>
      <c r="K173">
        <f>MIN(100,J174+IF(AND(J174&lt;100,J175+1&gt;=IF(OR('4-man'!$F$38=TRUE,'4-man'!$F$38="TRUE",'4-man'!$F$38="Yes"),25,50)),10,0)+IF('4-man'!K$54=$Q$179,25,0))</f>
        <v/>
      </c>
      <c r="L173">
        <f>MIN(100,K174+IF(AND(K174&lt;100,K175+1&gt;=IF(OR('4-man'!$F$38=TRUE,'4-man'!$F$38="TRUE",'4-man'!$F$38="Yes"),25,50)),10,0)+IF('4-man'!L$54=$Q$179,25,0))</f>
        <v/>
      </c>
      <c r="M173">
        <f>MIN(100,L174+IF(AND(L174&lt;100,L175+1&gt;=IF(OR('4-man'!$F$38=TRUE,'4-man'!$F$38="TRUE",'4-man'!$F$38="Yes"),25,50)),10,0)+IF('4-man'!M$54=$Q$179,25,0))</f>
        <v/>
      </c>
      <c r="N173">
        <f>MIN(100,M174+IF(AND(M174&lt;100,M175+1&gt;=IF(OR('4-man'!$F$38=TRUE,'4-man'!$F$38="TRUE",'4-man'!$F$38="Yes"),25,50)),10,0)+IF('4-man'!N$54=$Q$179,25,0))</f>
        <v/>
      </c>
      <c r="O173">
        <f>MIN(100,N174+IF(AND(N174&lt;100,N175+1&gt;=IF(OR('4-man'!$F$38=TRUE,'4-man'!$F$38="TRUE",'4-man'!$F$38="Yes"),25,50)),10,0)+IF('4-man'!O$54=$Q$179,25,0))</f>
        <v/>
      </c>
      <c r="P173">
        <f>MIN(100,O174+IF(AND(O174&lt;100,O175+1&gt;=IF(OR('4-man'!$F$38=TRUE,'4-man'!$F$38="TRUE",'4-man'!$F$38="Yes"),25,50)),10,0)+IF('4-man'!P$54=$Q$179,25,0))</f>
        <v/>
      </c>
      <c r="Q173">
        <f>MIN(100,P174+IF(AND(P174&lt;100,P175+1&gt;=IF(OR('4-man'!$F$38=TRUE,'4-man'!$F$38="TRUE",'4-man'!$F$38="Yes"),25,50)),10,0)+IF('4-man'!Q$54=$Q$179,25,0))</f>
        <v/>
      </c>
      <c r="R173">
        <f>MIN(100,Q174+IF(AND(Q174&lt;100,Q175+1&gt;=IF(OR('4-man'!$F$38=TRUE,'4-man'!$F$38="TRUE",'4-man'!$F$38="Yes"),25,50)),10,0)+IF('4-man'!R$54=$Q$179,25,0))</f>
        <v/>
      </c>
      <c r="S173">
        <f>MIN(100,R174+IF(AND(R174&lt;100,R175+1&gt;=IF(OR('4-man'!$F$38=TRUE,'4-man'!$F$38="TRUE",'4-man'!$F$38="Yes"),25,50)),10,0)+IF('4-man'!S$54=$Q$179,25,0))</f>
        <v/>
      </c>
      <c r="T173">
        <f>MIN(100,S174+IF(AND(S174&lt;100,S175+1&gt;=IF(OR('4-man'!$F$38=TRUE,'4-man'!$F$38="TRUE",'4-man'!$F$38="Yes"),25,50)),10,0)+IF('4-man'!T$54=$Q$179,25,0))</f>
        <v/>
      </c>
      <c r="U173">
        <f>MIN(100,T174+IF(AND(T174&lt;100,T175+1&gt;=IF(OR('4-man'!$F$38=TRUE,'4-man'!$F$38="TRUE",'4-man'!$F$38="Yes"),25,50)),10,0)+IF('4-man'!U$54=$Q$179,25,0))</f>
        <v/>
      </c>
      <c r="V173">
        <f>MIN(100,U174+IF(AND(U174&lt;100,U175+1&gt;=IF(OR('4-man'!$F$38=TRUE,'4-man'!$F$38="TRUE",'4-man'!$F$38="Yes"),25,50)),10,0)+IF('4-man'!V$54=$Q$179,25,0))</f>
        <v/>
      </c>
      <c r="W173">
        <f>MIN(100,V174+IF(AND(V174&lt;100,V175+1&gt;=IF(OR('4-man'!$F$38=TRUE,'4-man'!$F$38="TRUE",'4-man'!$F$38="Yes"),25,50)),10,0)+IF('4-man'!W$54=$Q$179,25,0))</f>
        <v/>
      </c>
      <c r="X173">
        <f>MIN(100,W174+IF(AND(W174&lt;100,W175+1&gt;=IF(OR('4-man'!$F$38=TRUE,'4-man'!$F$38="TRUE",'4-man'!$F$38="Yes"),25,50)),10,0)+IF('4-man'!X$54=$Q$179,25,0))</f>
        <v/>
      </c>
      <c r="Y173">
        <f>MIN(100,X174+IF(AND(X174&lt;100,X175+1&gt;=IF(OR('4-man'!$F$38=TRUE,'4-man'!$F$38="TRUE",'4-man'!$F$38="Yes"),25,50)),10,0)+IF('4-man'!Y$54=$Q$179,25,0))</f>
        <v/>
      </c>
      <c r="Z173">
        <f>MIN(100,Y174+IF(AND(Y174&lt;100,Y175+1&gt;=IF(OR('4-man'!$F$38=TRUE,'4-man'!$F$38="TRUE",'4-man'!$F$38="Yes"),25,50)),10,0)+IF('4-man'!Z$54=$Q$179,25,0))</f>
        <v/>
      </c>
      <c r="AA173">
        <f>MIN(100,Z174+IF(AND(Z174&lt;100,Z175+1&gt;=IF(OR('4-man'!$F$38=TRUE,'4-man'!$F$38="TRUE",'4-man'!$F$38="Yes"),25,50)),10,0)+IF('4-man'!AA$54=$Q$179,25,0))</f>
        <v/>
      </c>
      <c r="AB173">
        <f>MIN(100,AA174+IF(AND(AA174&lt;100,AA175+1&gt;=IF(OR('4-man'!$F$38=TRUE,'4-man'!$F$38="TRUE",'4-man'!$F$38="Yes"),25,50)),10,0)+IF('4-man'!AB$54=$Q$179,25,0))</f>
        <v/>
      </c>
      <c r="AC173">
        <f>MIN(100,AB174+IF(AND(AB174&lt;100,AB175+1&gt;=IF(OR('4-man'!$F$38=TRUE,'4-man'!$F$38="TRUE",'4-man'!$F$38="Yes"),25,50)),10,0)+IF('4-man'!AC$54=$Q$179,25,0))</f>
        <v/>
      </c>
      <c r="AD173">
        <f>MIN(100,AC174+IF(AND(AC174&lt;100,AC175+1&gt;=IF(OR('4-man'!$F$38=TRUE,'4-man'!$F$38="TRUE",'4-man'!$F$38="Yes"),25,50)),10,0)+IF('4-man'!AD$54=$Q$179,25,0))</f>
        <v/>
      </c>
      <c r="AE173">
        <f>MIN(100,AD174+IF(AND(AD174&lt;100,AD175+1&gt;=IF(OR('4-man'!$F$38=TRUE,'4-man'!$F$38="TRUE",'4-man'!$F$38="Yes"),25,50)),10,0)+IF('4-man'!AE$54=$Q$179,25,0))</f>
        <v/>
      </c>
      <c r="AF173">
        <f>MIN(100,AE174+IF(AND(AE174&lt;100,AE175+1&gt;=IF(OR('4-man'!$F$38=TRUE,'4-man'!$F$38="TRUE",'4-man'!$F$38="Yes"),25,50)),10,0)+IF('4-man'!AF$54=$Q$179,25,0))</f>
        <v/>
      </c>
      <c r="AG173">
        <f>MIN(100,AF174+IF(AND(AF174&lt;100,AF175+1&gt;=IF(OR('4-man'!$F$38=TRUE,'4-man'!$F$38="TRUE",'4-man'!$F$38="Yes"),25,50)),10,0)+IF('4-man'!AG$54=$Q$179,25,0))</f>
        <v/>
      </c>
      <c r="AH173">
        <f>MIN(100,AG174+IF(AND(AG174&lt;100,AG175+1&gt;=IF(OR('4-man'!$F$38=TRUE,'4-man'!$F$38="TRUE",'4-man'!$F$38="Yes"),25,50)),10,0)+IF('4-man'!AH$54=$Q$179,25,0))</f>
        <v/>
      </c>
      <c r="AI173">
        <f>MIN(100,AH174+IF(AND(AH174&lt;100,AH175+1&gt;=IF(OR('4-man'!$F$38=TRUE,'4-man'!$F$38="TRUE",'4-man'!$F$38="Yes"),25,50)),10,0)+IF('4-man'!AI$54=$Q$179,25,0))</f>
        <v/>
      </c>
      <c r="AJ173">
        <f>MIN(100,AI174+IF(AND(AI174&lt;100,AI175+1&gt;=IF(OR('4-man'!$F$38=TRUE,'4-man'!$F$38="TRUE",'4-man'!$F$38="Yes"),25,50)),10,0)+IF('4-man'!AJ$54=$Q$179,25,0))</f>
        <v/>
      </c>
      <c r="AK173">
        <f>MIN(100,AJ174+IF(AND(AJ174&lt;100,AJ175+1&gt;=IF(OR('4-man'!$F$38=TRUE,'4-man'!$F$38="TRUE",'4-man'!$F$38="Yes"),25,50)),10,0)+IF('4-man'!AK$54=$Q$179,25,0))</f>
        <v/>
      </c>
      <c r="AL173">
        <f>MIN(100,AK174+IF(AND(AK174&lt;100,AK175+1&gt;=IF(OR('4-man'!$F$38=TRUE,'4-man'!$F$38="TRUE",'4-man'!$F$38="Yes"),25,50)),10,0)+IF('4-man'!AL$54=$Q$179,25,0))</f>
        <v/>
      </c>
      <c r="AM173">
        <f>MIN(100,AL174+IF(AND(AL174&lt;100,AL175+1&gt;=IF(OR('4-man'!$F$38=TRUE,'4-man'!$F$38="TRUE",'4-man'!$F$38="Yes"),25,50)),10,0)+IF('4-man'!AM$54=$Q$179,25,0))</f>
        <v/>
      </c>
      <c r="AN173">
        <f>MIN(100,AM174+IF(AND(AM174&lt;100,AM175+1&gt;=IF(OR('4-man'!$F$38=TRUE,'4-man'!$F$38="TRUE",'4-man'!$F$38="Yes"),25,50)),10,0)+IF('4-man'!AN$54=$Q$179,25,0))</f>
        <v/>
      </c>
      <c r="AO173">
        <f>MIN(100,AN174+IF(AND(AN174&lt;100,AN175+1&gt;=IF(OR('4-man'!$F$38=TRUE,'4-man'!$F$38="TRUE",'4-man'!$F$38="Yes"),25,50)),10,0)+IF('4-man'!AO$54=$Q$179,25,0))</f>
        <v/>
      </c>
      <c r="AP173">
        <f>MIN(100,AO174+IF(AND(AO174&lt;100,AO175+1&gt;=IF(OR('4-man'!$F$38=TRUE,'4-man'!$F$38="TRUE",'4-man'!$F$38="Yes"),25,50)),10,0)+IF('4-man'!AP$54=$Q$179,25,0))</f>
        <v/>
      </c>
      <c r="AQ173">
        <f>MIN(100,AP174+IF(AND(AP174&lt;100,AP175+1&gt;=IF(OR('4-man'!$F$38=TRUE,'4-man'!$F$38="TRUE",'4-man'!$F$38="Yes"),25,50)),10,0)+IF('4-man'!AQ$54=$Q$179,25,0))</f>
        <v/>
      </c>
      <c r="AR173">
        <f>MIN(100,AQ174+IF(AND(AQ174&lt;100,AQ175+1&gt;=IF(OR('4-man'!$F$38=TRUE,'4-man'!$F$38="TRUE",'4-man'!$F$38="Yes"),25,50)),10,0)+IF('4-man'!AR$54=$Q$179,25,0))</f>
        <v/>
      </c>
      <c r="AS173">
        <f>MIN(100,AR174+IF(AND(AR174&lt;100,AR175+1&gt;=IF(OR('4-man'!$F$38=TRUE,'4-man'!$F$38="TRUE",'4-man'!$F$38="Yes"),25,50)),10,0)+IF('4-man'!AS$54=$Q$179,25,0))</f>
        <v/>
      </c>
      <c r="AT173">
        <f>MIN(100,AS174+IF(AND(AS174&lt;100,AS175+1&gt;=IF(OR('4-man'!$F$38=TRUE,'4-man'!$F$38="TRUE",'4-man'!$F$38="Yes"),25,50)),10,0)+IF('4-man'!AT$54=$Q$179,25,0))</f>
        <v/>
      </c>
      <c r="AU173">
        <f>MIN(100,AT174+IF(AND(AT174&lt;100,AT175+1&gt;=IF(OR('4-man'!$F$38=TRUE,'4-man'!$F$38="TRUE",'4-man'!$F$38="Yes"),25,50)),10,0)+IF('4-man'!AU$54=$Q$179,25,0))</f>
        <v/>
      </c>
      <c r="AV173">
        <f>MIN(100,AU174+IF(AND(AU174&lt;100,AU175+1&gt;=IF(OR('4-man'!$F$38=TRUE,'4-man'!$F$38="TRUE",'4-man'!$F$38="Yes"),25,50)),10,0)+IF('4-man'!AV$54=$Q$179,25,0))</f>
        <v/>
      </c>
      <c r="AW173">
        <f>MIN(100,AV174+IF(AND(AV174&lt;100,AV175+1&gt;=IF(OR('4-man'!$F$38=TRUE,'4-man'!$F$38="TRUE",'4-man'!$F$38="Yes"),25,50)),10,0)+IF('4-man'!AW$54=$Q$179,25,0))</f>
        <v/>
      </c>
      <c r="AX173">
        <f>MIN(100,AW174+IF(AND(AW174&lt;100,AW175+1&gt;=IF(OR('4-man'!$F$38=TRUE,'4-man'!$F$38="TRUE",'4-man'!$F$38="Yes"),25,50)),10,0)+IF('4-man'!AX$54=$Q$179,25,0))</f>
        <v/>
      </c>
      <c r="AY173">
        <f>MIN(100,AX174+IF(AND(AX174&lt;100,AX175+1&gt;=IF(OR('4-man'!$F$38=TRUE,'4-man'!$F$38="TRUE",'4-man'!$F$38="Yes"),25,50)),10,0)+IF('4-man'!AY$54=$Q$179,25,0))</f>
        <v/>
      </c>
      <c r="AZ173">
        <f>MIN(100,AY174+IF(AND(AY174&lt;100,AY175+1&gt;=IF(OR('4-man'!$F$38=TRUE,'4-man'!$F$38="TRUE",'4-man'!$F$38="Yes"),25,50)),10,0)+IF('4-man'!AZ$54=$Q$179,25,0))</f>
        <v/>
      </c>
      <c r="BA173">
        <f>MIN(100,AZ174+IF(AND(AZ174&lt;100,AZ175+1&gt;=IF(OR('4-man'!$F$38=TRUE,'4-man'!$F$38="TRUE",'4-man'!$F$38="Yes"),25,50)),10,0)+IF('4-man'!BA$54=$Q$179,25,0))</f>
        <v/>
      </c>
      <c r="BB173">
        <f>MIN(100,BA174+IF(AND(BA174&lt;100,BA175+1&gt;=IF(OR('4-man'!$F$38=TRUE,'4-man'!$F$38="TRUE",'4-man'!$F$38="Yes"),25,50)),10,0)+IF('4-man'!BB$54=$Q$179,25,0))</f>
        <v/>
      </c>
      <c r="BC173">
        <f>MIN(100,BB174+IF(AND(BB174&lt;100,BB175+1&gt;=IF(OR('4-man'!$F$38=TRUE,'4-man'!$F$38="TRUE",'4-man'!$F$38="Yes"),25,50)),10,0)+IF('4-man'!BC$54=$Q$179,25,0))</f>
        <v/>
      </c>
      <c r="BD173">
        <f>MIN(100,BC174+IF(AND(BC174&lt;100,BC175+1&gt;=IF(OR('4-man'!$F$38=TRUE,'4-man'!$F$38="TRUE",'4-man'!$F$38="Yes"),25,50)),10,0)+IF('4-man'!BD$54=$Q$179,25,0))</f>
        <v/>
      </c>
      <c r="BE173">
        <f>MIN(100,BD174+IF(AND(BD174&lt;100,BD175+1&gt;=IF(OR('4-man'!$F$38=TRUE,'4-man'!$F$38="TRUE",'4-man'!$F$38="Yes"),25,50)),10,0)+IF('4-man'!BE$54=$Q$179,25,0))</f>
        <v/>
      </c>
      <c r="BF173">
        <f>MIN(100,BE174+IF(AND(BE174&lt;100,BE175+1&gt;=IF(OR('4-man'!$F$38=TRUE,'4-man'!$F$38="TRUE",'4-man'!$F$38="Yes"),25,50)),10,0)+IF('4-man'!BF$54=$Q$179,25,0))</f>
        <v/>
      </c>
      <c r="BG173">
        <f>MIN(100,BF174+IF(AND(BF174&lt;100,BF175+1&gt;=IF(OR('4-man'!$F$38=TRUE,'4-man'!$F$38="TRUE",'4-man'!$F$38="Yes"),25,50)),10,0)+IF('4-man'!BG$54=$Q$179,25,0))</f>
        <v/>
      </c>
      <c r="BH173">
        <f>MIN(100,BG174+IF(AND(BG174&lt;100,BG175+1&gt;=IF(OR('4-man'!$F$38=TRUE,'4-man'!$F$38="TRUE",'4-man'!$F$38="Yes"),25,50)),10,0)+IF('4-man'!BH$54=$Q$179,25,0))</f>
        <v/>
      </c>
      <c r="BI173">
        <f>MIN(100,BH174+IF(AND(BH174&lt;100,BH175+1&gt;=IF(OR('4-man'!$F$38=TRUE,'4-man'!$F$38="TRUE",'4-man'!$F$38="Yes"),25,50)),10,0)+IF('4-man'!BI$54=$Q$179,25,0))</f>
        <v/>
      </c>
      <c r="BJ173">
        <f>MIN(100,BI174+IF(AND(BI174&lt;100,BI175+1&gt;=IF(OR('4-man'!$F$38=TRUE,'4-man'!$F$38="TRUE",'4-man'!$F$38="Yes"),25,50)),10,0)+IF('4-man'!BJ$54=$Q$179,25,0))</f>
        <v/>
      </c>
      <c r="BK173">
        <f>MIN(100,BJ174+IF(AND(BJ174&lt;100,BJ175+1&gt;=IF(OR('4-man'!$F$38=TRUE,'4-man'!$F$38="TRUE",'4-man'!$F$38="Yes"),25,50)),10,0)+IF('4-man'!BK$54=$Q$179,25,0))</f>
        <v/>
      </c>
      <c r="BL173">
        <f>MIN(100,BK174+IF(AND(BK174&lt;100,BK175+1&gt;=IF(OR('4-man'!$F$38=TRUE,'4-man'!$F$38="TRUE",'4-man'!$F$38="Yes"),25,50)),10,0)+IF('4-man'!BL$54=$Q$179,25,0))</f>
        <v/>
      </c>
      <c r="BM173">
        <f>MIN(100,BL174+IF(AND(BL174&lt;100,BL175+1&gt;=IF(OR('4-man'!$F$38=TRUE,'4-man'!$F$38="TRUE",'4-man'!$F$38="Yes"),25,50)),10,0)+IF('4-man'!BM$54=$Q$179,25,0))</f>
        <v/>
      </c>
      <c r="BN173">
        <f>MIN(100,BM174+IF(AND(BM174&lt;100,BM175+1&gt;=IF(OR('4-man'!$F$38=TRUE,'4-man'!$F$38="TRUE",'4-man'!$F$38="Yes"),25,50)),10,0)+IF('4-man'!BN$54=$Q$179,25,0))</f>
        <v/>
      </c>
      <c r="BO173">
        <f>MIN(100,BN174+IF(AND(BN174&lt;100,BN175+1&gt;=IF(OR('4-man'!$F$38=TRUE,'4-man'!$F$38="TRUE",'4-man'!$F$38="Yes"),25,50)),10,0)+IF('4-man'!BO$54=$Q$179,25,0))</f>
        <v/>
      </c>
      <c r="BP173">
        <f>MIN(100,BO174+IF(AND(BO174&lt;100,BO175+1&gt;=IF(OR('4-man'!$F$38=TRUE,'4-man'!$F$38="TRUE",'4-man'!$F$38="Yes"),25,50)),10,0)+IF('4-man'!BP$54=$Q$179,25,0))</f>
        <v/>
      </c>
      <c r="BQ173">
        <f>MIN(100,BP174+IF(AND(BP174&lt;100,BP175+1&gt;=IF(OR('4-man'!$F$38=TRUE,'4-man'!$F$38="TRUE",'4-man'!$F$38="Yes"),25,50)),10,0)+IF('4-man'!BQ$54=$Q$179,25,0))</f>
        <v/>
      </c>
      <c r="BR173">
        <f>MIN(100,BQ174+IF(AND(BQ174&lt;100,BQ175+1&gt;=IF(OR('4-man'!$F$38=TRUE,'4-man'!$F$38="TRUE",'4-man'!$F$38="Yes"),25,50)),10,0)+IF('4-man'!BR$54=$Q$179,25,0))</f>
        <v/>
      </c>
      <c r="BS173">
        <f>MIN(100,BR174+IF(AND(BR174&lt;100,BR175+1&gt;=IF(OR('4-man'!$F$38=TRUE,'4-man'!$F$38="TRUE",'4-man'!$F$38="Yes"),25,50)),10,0)+IF('4-man'!BS$54=$Q$179,25,0))</f>
        <v/>
      </c>
      <c r="BT173">
        <f>MIN(100,BS174+IF(AND(BS174&lt;100,BS175+1&gt;=IF(OR('4-man'!$F$38=TRUE,'4-man'!$F$38="TRUE",'4-man'!$F$38="Yes"),25,50)),10,0)+IF('4-man'!BT$54=$Q$179,25,0))</f>
        <v/>
      </c>
      <c r="BU173">
        <f>MIN(100,BT174+IF(AND(BT174&lt;100,BT175+1&gt;=IF(OR('4-man'!$F$38=TRUE,'4-man'!$F$38="TRUE",'4-man'!$F$38="Yes"),25,50)),10,0)+IF('4-man'!BU$54=$Q$179,25,0))</f>
        <v/>
      </c>
      <c r="BV173">
        <f>MIN(100,BU174+IF(AND(BU174&lt;100,BU175+1&gt;=IF(OR('4-man'!$F$38=TRUE,'4-man'!$F$38="TRUE",'4-man'!$F$38="Yes"),25,50)),10,0)+IF('4-man'!BV$54=$Q$179,25,0))</f>
        <v/>
      </c>
      <c r="BW173">
        <f>MIN(100,BV174+IF(AND(BV174&lt;100,BV175+1&gt;=IF(OR('4-man'!$F$38=TRUE,'4-man'!$F$38="TRUE",'4-man'!$F$38="Yes"),25,50)),10,0)+IF('4-man'!BW$54=$Q$179,25,0))</f>
        <v/>
      </c>
      <c r="BX173">
        <f>MIN(100,BW174+IF(AND(BW174&lt;100,BW175+1&gt;=IF(OR('4-man'!$F$38=TRUE,'4-man'!$F$38="TRUE",'4-man'!$F$38="Yes"),25,50)),10,0)+IF('4-man'!BX$54=$Q$179,25,0))</f>
        <v/>
      </c>
      <c r="BY173">
        <f>MIN(100,BX174+IF(AND(BX174&lt;100,BX175+1&gt;=IF(OR('4-man'!$F$38=TRUE,'4-man'!$F$38="TRUE",'4-man'!$F$38="Yes"),25,50)),10,0)+IF('4-man'!BY$54=$Q$179,25,0))</f>
        <v/>
      </c>
      <c r="BZ173">
        <f>MIN(100,BY174+IF(AND(BY174&lt;100,BY175+1&gt;=IF(OR('4-man'!$F$38=TRUE,'4-man'!$F$38="TRUE",'4-man'!$F$38="Yes"),25,50)),10,0)+IF('4-man'!BZ$54=$Q$179,25,0))</f>
        <v/>
      </c>
      <c r="CA173">
        <f>MIN(100,BZ174+IF(AND(BZ174&lt;100,BZ175+1&gt;=IF(OR('4-man'!$F$38=TRUE,'4-man'!$F$38="TRUE",'4-man'!$F$38="Yes"),25,50)),10,0)+IF('4-man'!CA$54=$Q$179,25,0))</f>
        <v/>
      </c>
      <c r="CB173">
        <f>MIN(100,CA174+IF(AND(CA174&lt;100,CA175+1&gt;=IF(OR('4-man'!$F$38=TRUE,'4-man'!$F$38="TRUE",'4-man'!$F$38="Yes"),25,50)),10,0)+IF('4-man'!CB$54=$Q$179,25,0))</f>
        <v/>
      </c>
      <c r="CC173">
        <f>MIN(100,CB174+IF(AND(CB174&lt;100,CB175+1&gt;=IF(OR('4-man'!$F$38=TRUE,'4-man'!$F$38="TRUE",'4-man'!$F$38="Yes"),25,50)),10,0)+IF('4-man'!CC$54=$Q$179,25,0))</f>
        <v/>
      </c>
      <c r="CD173">
        <f>MIN(100,CC174+IF(AND(CC174&lt;100,CC175+1&gt;=IF(OR('4-man'!$F$38=TRUE,'4-man'!$F$38="TRUE",'4-man'!$F$38="Yes"),25,50)),10,0)+IF('4-man'!CD$54=$Q$179,25,0))</f>
        <v/>
      </c>
    </row>
    <row r="174">
      <c r="A174" t="inlineStr">
        <is>
          <t>P2 spec</t>
        </is>
      </c>
      <c r="B174">
        <f>IF('4-man'!$C$38="",100,'4-man'!$C$38)</f>
        <v/>
      </c>
      <c r="C174">
        <f>IF('4-man'!C$56="R",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4-man'!D$56="R",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4-man'!E$56="R",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4-man'!F$56="R",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4-man'!G$56="R",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4-man'!H$56="R",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4-man'!I$56="R",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4-man'!J$56="R",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4-man'!K$56="R",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4-man'!L$56="R",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4-man'!M$56="R",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4-man'!N$56="R",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4-man'!O$56="R",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4-man'!P$56="R",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4-man'!Q$56="R",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4-man'!R$56="R",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4-man'!S$56="R",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4-man'!T$56="R",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4-man'!U$56="R",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4-man'!V$56="R",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4-man'!W$56="R",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4-man'!X$56="R",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4-man'!Y$56="R",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4-man'!Z$56="R",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4-man'!AA$56="R",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4-man'!AB$56="R",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4-man'!AC$56="R",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4-man'!AD$56="R",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4-man'!AE$56="R",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4-man'!AF$56="R",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4-man'!AG$56="R",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4-man'!AH$56="R",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4-man'!AI$56="R",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4-man'!AJ$56="R",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4-man'!AK$56="R",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4-man'!AL$56="R",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4-man'!AM$56="R",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4-man'!AN$56="R",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4-man'!AO$56="R",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4-man'!AP$56="R",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4-man'!AQ$56="R",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4-man'!AR$56="R",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4-man'!AS$56="R",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4-man'!AT$56="R",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4-man'!AU$56="R",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4-man'!AV$56="R",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4-man'!AW$56="R",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4-man'!AX$56="R",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4-man'!AY$56="R",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4-man'!AZ$56="R",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4-man'!BA$56="R",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4-man'!BB$56="R",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4-man'!BC$56="R",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4-man'!BD$56="R",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4-man'!BE$56="R",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4-man'!BF$56="R",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4-man'!BG$56="R",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4-man'!BH$56="R",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4-man'!BI$56="R",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4-man'!BJ$56="R",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4-man'!BK$56="R",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4-man'!BL$56="R",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4-man'!BM$56="R",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4-man'!BN$56="R",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4-man'!BO$56="R",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4-man'!BP$56="R",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4-man'!BQ$56="R",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4-man'!BR$56="R",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4-man'!BS$56="R",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4-man'!BT$56="R",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4-man'!BU$56="R",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4-man'!BV$56="R",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4-man'!BW$56="R",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4-man'!BX$56="R",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4-man'!BY$56="R",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4-man'!BZ$56="R",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4-man'!CA$56="R",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4-man'!CB$56="R",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4-man'!CC$56="R",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4-man'!CD$56="R",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IF('4-man'!C$56="R",0,IF(B174&gt;=100,0,IF(B175+1&gt;=IF(OR('4-man'!$F$38=TRUE,'4-man'!$F$38="TRUE",'4-man'!$F$38="Yes"),25,50),0,B175+1)))</f>
        <v/>
      </c>
      <c r="D175">
        <f>IF('4-man'!D$56="R",0,IF(C174&gt;=100,0,IF(C175+1&gt;=IF(OR('4-man'!$F$38=TRUE,'4-man'!$F$38="TRUE",'4-man'!$F$38="Yes"),25,50),0,C175+1)))</f>
        <v/>
      </c>
      <c r="E175">
        <f>IF('4-man'!E$56="R",0,IF(D174&gt;=100,0,IF(D175+1&gt;=IF(OR('4-man'!$F$38=TRUE,'4-man'!$F$38="TRUE",'4-man'!$F$38="Yes"),25,50),0,D175+1)))</f>
        <v/>
      </c>
      <c r="F175">
        <f>IF('4-man'!F$56="R",0,IF(E174&gt;=100,0,IF(E175+1&gt;=IF(OR('4-man'!$F$38=TRUE,'4-man'!$F$38="TRUE",'4-man'!$F$38="Yes"),25,50),0,E175+1)))</f>
        <v/>
      </c>
      <c r="G175">
        <f>IF('4-man'!G$56="R",0,IF(F174&gt;=100,0,IF(F175+1&gt;=IF(OR('4-man'!$F$38=TRUE,'4-man'!$F$38="TRUE",'4-man'!$F$38="Yes"),25,50),0,F175+1)))</f>
        <v/>
      </c>
      <c r="H175">
        <f>IF('4-man'!H$56="R",0,IF(G174&gt;=100,0,IF(G175+1&gt;=IF(OR('4-man'!$F$38=TRUE,'4-man'!$F$38="TRUE",'4-man'!$F$38="Yes"),25,50),0,G175+1)))</f>
        <v/>
      </c>
      <c r="I175">
        <f>IF('4-man'!I$56="R",0,IF(H174&gt;=100,0,IF(H175+1&gt;=IF(OR('4-man'!$F$38=TRUE,'4-man'!$F$38="TRUE",'4-man'!$F$38="Yes"),25,50),0,H175+1)))</f>
        <v/>
      </c>
      <c r="J175">
        <f>IF('4-man'!J$56="R",0,IF(I174&gt;=100,0,IF(I175+1&gt;=IF(OR('4-man'!$F$38=TRUE,'4-man'!$F$38="TRUE",'4-man'!$F$38="Yes"),25,50),0,I175+1)))</f>
        <v/>
      </c>
      <c r="K175">
        <f>IF('4-man'!K$56="R",0,IF(J174&gt;=100,0,IF(J175+1&gt;=IF(OR('4-man'!$F$38=TRUE,'4-man'!$F$38="TRUE",'4-man'!$F$38="Yes"),25,50),0,J175+1)))</f>
        <v/>
      </c>
      <c r="L175">
        <f>IF('4-man'!L$56="R",0,IF(K174&gt;=100,0,IF(K175+1&gt;=IF(OR('4-man'!$F$38=TRUE,'4-man'!$F$38="TRUE",'4-man'!$F$38="Yes"),25,50),0,K175+1)))</f>
        <v/>
      </c>
      <c r="M175">
        <f>IF('4-man'!M$56="R",0,IF(L174&gt;=100,0,IF(L175+1&gt;=IF(OR('4-man'!$F$38=TRUE,'4-man'!$F$38="TRUE",'4-man'!$F$38="Yes"),25,50),0,L175+1)))</f>
        <v/>
      </c>
      <c r="N175">
        <f>IF('4-man'!N$56="R",0,IF(M174&gt;=100,0,IF(M175+1&gt;=IF(OR('4-man'!$F$38=TRUE,'4-man'!$F$38="TRUE",'4-man'!$F$38="Yes"),25,50),0,M175+1)))</f>
        <v/>
      </c>
      <c r="O175">
        <f>IF('4-man'!O$56="R",0,IF(N174&gt;=100,0,IF(N175+1&gt;=IF(OR('4-man'!$F$38=TRUE,'4-man'!$F$38="TRUE",'4-man'!$F$38="Yes"),25,50),0,N175+1)))</f>
        <v/>
      </c>
      <c r="P175">
        <f>IF('4-man'!P$56="R",0,IF(O174&gt;=100,0,IF(O175+1&gt;=IF(OR('4-man'!$F$38=TRUE,'4-man'!$F$38="TRUE",'4-man'!$F$38="Yes"),25,50),0,O175+1)))</f>
        <v/>
      </c>
      <c r="Q175">
        <f>IF('4-man'!Q$56="R",0,IF(P174&gt;=100,0,IF(P175+1&gt;=IF(OR('4-man'!$F$38=TRUE,'4-man'!$F$38="TRUE",'4-man'!$F$38="Yes"),25,50),0,P175+1)))</f>
        <v/>
      </c>
      <c r="R175">
        <f>IF('4-man'!R$56="R",0,IF(Q174&gt;=100,0,IF(Q175+1&gt;=IF(OR('4-man'!$F$38=TRUE,'4-man'!$F$38="TRUE",'4-man'!$F$38="Yes"),25,50),0,Q175+1)))</f>
        <v/>
      </c>
      <c r="S175">
        <f>IF('4-man'!S$56="R",0,IF(R174&gt;=100,0,IF(R175+1&gt;=IF(OR('4-man'!$F$38=TRUE,'4-man'!$F$38="TRUE",'4-man'!$F$38="Yes"),25,50),0,R175+1)))</f>
        <v/>
      </c>
      <c r="T175">
        <f>IF('4-man'!T$56="R",0,IF(S174&gt;=100,0,IF(S175+1&gt;=IF(OR('4-man'!$F$38=TRUE,'4-man'!$F$38="TRUE",'4-man'!$F$38="Yes"),25,50),0,S175+1)))</f>
        <v/>
      </c>
      <c r="U175">
        <f>IF('4-man'!U$56="R",0,IF(T174&gt;=100,0,IF(T175+1&gt;=IF(OR('4-man'!$F$38=TRUE,'4-man'!$F$38="TRUE",'4-man'!$F$38="Yes"),25,50),0,T175+1)))</f>
        <v/>
      </c>
      <c r="V175">
        <f>IF('4-man'!V$56="R",0,IF(U174&gt;=100,0,IF(U175+1&gt;=IF(OR('4-man'!$F$38=TRUE,'4-man'!$F$38="TRUE",'4-man'!$F$38="Yes"),25,50),0,U175+1)))</f>
        <v/>
      </c>
      <c r="W175">
        <f>IF('4-man'!W$56="R",0,IF(V174&gt;=100,0,IF(V175+1&gt;=IF(OR('4-man'!$F$38=TRUE,'4-man'!$F$38="TRUE",'4-man'!$F$38="Yes"),25,50),0,V175+1)))</f>
        <v/>
      </c>
      <c r="X175">
        <f>IF('4-man'!X$56="R",0,IF(W174&gt;=100,0,IF(W175+1&gt;=IF(OR('4-man'!$F$38=TRUE,'4-man'!$F$38="TRUE",'4-man'!$F$38="Yes"),25,50),0,W175+1)))</f>
        <v/>
      </c>
      <c r="Y175">
        <f>IF('4-man'!Y$56="R",0,IF(X174&gt;=100,0,IF(X175+1&gt;=IF(OR('4-man'!$F$38=TRUE,'4-man'!$F$38="TRUE",'4-man'!$F$38="Yes"),25,50),0,X175+1)))</f>
        <v/>
      </c>
      <c r="Z175">
        <f>IF('4-man'!Z$56="R",0,IF(Y174&gt;=100,0,IF(Y175+1&gt;=IF(OR('4-man'!$F$38=TRUE,'4-man'!$F$38="TRUE",'4-man'!$F$38="Yes"),25,50),0,Y175+1)))</f>
        <v/>
      </c>
      <c r="AA175">
        <f>IF('4-man'!AA$56="R",0,IF(Z174&gt;=100,0,IF(Z175+1&gt;=IF(OR('4-man'!$F$38=TRUE,'4-man'!$F$38="TRUE",'4-man'!$F$38="Yes"),25,50),0,Z175+1)))</f>
        <v/>
      </c>
      <c r="AB175">
        <f>IF('4-man'!AB$56="R",0,IF(AA174&gt;=100,0,IF(AA175+1&gt;=IF(OR('4-man'!$F$38=TRUE,'4-man'!$F$38="TRUE",'4-man'!$F$38="Yes"),25,50),0,AA175+1)))</f>
        <v/>
      </c>
      <c r="AC175">
        <f>IF('4-man'!AC$56="R",0,IF(AB174&gt;=100,0,IF(AB175+1&gt;=IF(OR('4-man'!$F$38=TRUE,'4-man'!$F$38="TRUE",'4-man'!$F$38="Yes"),25,50),0,AB175+1)))</f>
        <v/>
      </c>
      <c r="AD175">
        <f>IF('4-man'!AD$56="R",0,IF(AC174&gt;=100,0,IF(AC175+1&gt;=IF(OR('4-man'!$F$38=TRUE,'4-man'!$F$38="TRUE",'4-man'!$F$38="Yes"),25,50),0,AC175+1)))</f>
        <v/>
      </c>
      <c r="AE175">
        <f>IF('4-man'!AE$56="R",0,IF(AD174&gt;=100,0,IF(AD175+1&gt;=IF(OR('4-man'!$F$38=TRUE,'4-man'!$F$38="TRUE",'4-man'!$F$38="Yes"),25,50),0,AD175+1)))</f>
        <v/>
      </c>
      <c r="AF175">
        <f>IF('4-man'!AF$56="R",0,IF(AE174&gt;=100,0,IF(AE175+1&gt;=IF(OR('4-man'!$F$38=TRUE,'4-man'!$F$38="TRUE",'4-man'!$F$38="Yes"),25,50),0,AE175+1)))</f>
        <v/>
      </c>
      <c r="AG175">
        <f>IF('4-man'!AG$56="R",0,IF(AF174&gt;=100,0,IF(AF175+1&gt;=IF(OR('4-man'!$F$38=TRUE,'4-man'!$F$38="TRUE",'4-man'!$F$38="Yes"),25,50),0,AF175+1)))</f>
        <v/>
      </c>
      <c r="AH175">
        <f>IF('4-man'!AH$56="R",0,IF(AG174&gt;=100,0,IF(AG175+1&gt;=IF(OR('4-man'!$F$38=TRUE,'4-man'!$F$38="TRUE",'4-man'!$F$38="Yes"),25,50),0,AG175+1)))</f>
        <v/>
      </c>
      <c r="AI175">
        <f>IF('4-man'!AI$56="R",0,IF(AH174&gt;=100,0,IF(AH175+1&gt;=IF(OR('4-man'!$F$38=TRUE,'4-man'!$F$38="TRUE",'4-man'!$F$38="Yes"),25,50),0,AH175+1)))</f>
        <v/>
      </c>
      <c r="AJ175">
        <f>IF('4-man'!AJ$56="R",0,IF(AI174&gt;=100,0,IF(AI175+1&gt;=IF(OR('4-man'!$F$38=TRUE,'4-man'!$F$38="TRUE",'4-man'!$F$38="Yes"),25,50),0,AI175+1)))</f>
        <v/>
      </c>
      <c r="AK175">
        <f>IF('4-man'!AK$56="R",0,IF(AJ174&gt;=100,0,IF(AJ175+1&gt;=IF(OR('4-man'!$F$38=TRUE,'4-man'!$F$38="TRUE",'4-man'!$F$38="Yes"),25,50),0,AJ175+1)))</f>
        <v/>
      </c>
      <c r="AL175">
        <f>IF('4-man'!AL$56="R",0,IF(AK174&gt;=100,0,IF(AK175+1&gt;=IF(OR('4-man'!$F$38=TRUE,'4-man'!$F$38="TRUE",'4-man'!$F$38="Yes"),25,50),0,AK175+1)))</f>
        <v/>
      </c>
      <c r="AM175">
        <f>IF('4-man'!AM$56="R",0,IF(AL174&gt;=100,0,IF(AL175+1&gt;=IF(OR('4-man'!$F$38=TRUE,'4-man'!$F$38="TRUE",'4-man'!$F$38="Yes"),25,50),0,AL175+1)))</f>
        <v/>
      </c>
      <c r="AN175">
        <f>IF('4-man'!AN$56="R",0,IF(AM174&gt;=100,0,IF(AM175+1&gt;=IF(OR('4-man'!$F$38=TRUE,'4-man'!$F$38="TRUE",'4-man'!$F$38="Yes"),25,50),0,AM175+1)))</f>
        <v/>
      </c>
      <c r="AO175">
        <f>IF('4-man'!AO$56="R",0,IF(AN174&gt;=100,0,IF(AN175+1&gt;=IF(OR('4-man'!$F$38=TRUE,'4-man'!$F$38="TRUE",'4-man'!$F$38="Yes"),25,50),0,AN175+1)))</f>
        <v/>
      </c>
      <c r="AP175">
        <f>IF('4-man'!AP$56="R",0,IF(AO174&gt;=100,0,IF(AO175+1&gt;=IF(OR('4-man'!$F$38=TRUE,'4-man'!$F$38="TRUE",'4-man'!$F$38="Yes"),25,50),0,AO175+1)))</f>
        <v/>
      </c>
      <c r="AQ175">
        <f>IF('4-man'!AQ$56="R",0,IF(AP174&gt;=100,0,IF(AP175+1&gt;=IF(OR('4-man'!$F$38=TRUE,'4-man'!$F$38="TRUE",'4-man'!$F$38="Yes"),25,50),0,AP175+1)))</f>
        <v/>
      </c>
      <c r="AR175">
        <f>IF('4-man'!AR$56="R",0,IF(AQ174&gt;=100,0,IF(AQ175+1&gt;=IF(OR('4-man'!$F$38=TRUE,'4-man'!$F$38="TRUE",'4-man'!$F$38="Yes"),25,50),0,AQ175+1)))</f>
        <v/>
      </c>
      <c r="AS175">
        <f>IF('4-man'!AS$56="R",0,IF(AR174&gt;=100,0,IF(AR175+1&gt;=IF(OR('4-man'!$F$38=TRUE,'4-man'!$F$38="TRUE",'4-man'!$F$38="Yes"),25,50),0,AR175+1)))</f>
        <v/>
      </c>
      <c r="AT175">
        <f>IF('4-man'!AT$56="R",0,IF(AS174&gt;=100,0,IF(AS175+1&gt;=IF(OR('4-man'!$F$38=TRUE,'4-man'!$F$38="TRUE",'4-man'!$F$38="Yes"),25,50),0,AS175+1)))</f>
        <v/>
      </c>
      <c r="AU175">
        <f>IF('4-man'!AU$56="R",0,IF(AT174&gt;=100,0,IF(AT175+1&gt;=IF(OR('4-man'!$F$38=TRUE,'4-man'!$F$38="TRUE",'4-man'!$F$38="Yes"),25,50),0,AT175+1)))</f>
        <v/>
      </c>
      <c r="AV175">
        <f>IF('4-man'!AV$56="R",0,IF(AU174&gt;=100,0,IF(AU175+1&gt;=IF(OR('4-man'!$F$38=TRUE,'4-man'!$F$38="TRUE",'4-man'!$F$38="Yes"),25,50),0,AU175+1)))</f>
        <v/>
      </c>
      <c r="AW175">
        <f>IF('4-man'!AW$56="R",0,IF(AV174&gt;=100,0,IF(AV175+1&gt;=IF(OR('4-man'!$F$38=TRUE,'4-man'!$F$38="TRUE",'4-man'!$F$38="Yes"),25,50),0,AV175+1)))</f>
        <v/>
      </c>
      <c r="AX175">
        <f>IF('4-man'!AX$56="R",0,IF(AW174&gt;=100,0,IF(AW175+1&gt;=IF(OR('4-man'!$F$38=TRUE,'4-man'!$F$38="TRUE",'4-man'!$F$38="Yes"),25,50),0,AW175+1)))</f>
        <v/>
      </c>
      <c r="AY175">
        <f>IF('4-man'!AY$56="R",0,IF(AX174&gt;=100,0,IF(AX175+1&gt;=IF(OR('4-man'!$F$38=TRUE,'4-man'!$F$38="TRUE",'4-man'!$F$38="Yes"),25,50),0,AX175+1)))</f>
        <v/>
      </c>
      <c r="AZ175">
        <f>IF('4-man'!AZ$56="R",0,IF(AY174&gt;=100,0,IF(AY175+1&gt;=IF(OR('4-man'!$F$38=TRUE,'4-man'!$F$38="TRUE",'4-man'!$F$38="Yes"),25,50),0,AY175+1)))</f>
        <v/>
      </c>
      <c r="BA175">
        <f>IF('4-man'!BA$56="R",0,IF(AZ174&gt;=100,0,IF(AZ175+1&gt;=IF(OR('4-man'!$F$38=TRUE,'4-man'!$F$38="TRUE",'4-man'!$F$38="Yes"),25,50),0,AZ175+1)))</f>
        <v/>
      </c>
      <c r="BB175">
        <f>IF('4-man'!BB$56="R",0,IF(BA174&gt;=100,0,IF(BA175+1&gt;=IF(OR('4-man'!$F$38=TRUE,'4-man'!$F$38="TRUE",'4-man'!$F$38="Yes"),25,50),0,BA175+1)))</f>
        <v/>
      </c>
      <c r="BC175">
        <f>IF('4-man'!BC$56="R",0,IF(BB174&gt;=100,0,IF(BB175+1&gt;=IF(OR('4-man'!$F$38=TRUE,'4-man'!$F$38="TRUE",'4-man'!$F$38="Yes"),25,50),0,BB175+1)))</f>
        <v/>
      </c>
      <c r="BD175">
        <f>IF('4-man'!BD$56="R",0,IF(BC174&gt;=100,0,IF(BC175+1&gt;=IF(OR('4-man'!$F$38=TRUE,'4-man'!$F$38="TRUE",'4-man'!$F$38="Yes"),25,50),0,BC175+1)))</f>
        <v/>
      </c>
      <c r="BE175">
        <f>IF('4-man'!BE$56="R",0,IF(BD174&gt;=100,0,IF(BD175+1&gt;=IF(OR('4-man'!$F$38=TRUE,'4-man'!$F$38="TRUE",'4-man'!$F$38="Yes"),25,50),0,BD175+1)))</f>
        <v/>
      </c>
      <c r="BF175">
        <f>IF('4-man'!BF$56="R",0,IF(BE174&gt;=100,0,IF(BE175+1&gt;=IF(OR('4-man'!$F$38=TRUE,'4-man'!$F$38="TRUE",'4-man'!$F$38="Yes"),25,50),0,BE175+1)))</f>
        <v/>
      </c>
      <c r="BG175">
        <f>IF('4-man'!BG$56="R",0,IF(BF174&gt;=100,0,IF(BF175+1&gt;=IF(OR('4-man'!$F$38=TRUE,'4-man'!$F$38="TRUE",'4-man'!$F$38="Yes"),25,50),0,BF175+1)))</f>
        <v/>
      </c>
      <c r="BH175">
        <f>IF('4-man'!BH$56="R",0,IF(BG174&gt;=100,0,IF(BG175+1&gt;=IF(OR('4-man'!$F$38=TRUE,'4-man'!$F$38="TRUE",'4-man'!$F$38="Yes"),25,50),0,BG175+1)))</f>
        <v/>
      </c>
      <c r="BI175">
        <f>IF('4-man'!BI$56="R",0,IF(BH174&gt;=100,0,IF(BH175+1&gt;=IF(OR('4-man'!$F$38=TRUE,'4-man'!$F$38="TRUE",'4-man'!$F$38="Yes"),25,50),0,BH175+1)))</f>
        <v/>
      </c>
      <c r="BJ175">
        <f>IF('4-man'!BJ$56="R",0,IF(BI174&gt;=100,0,IF(BI175+1&gt;=IF(OR('4-man'!$F$38=TRUE,'4-man'!$F$38="TRUE",'4-man'!$F$38="Yes"),25,50),0,BI175+1)))</f>
        <v/>
      </c>
      <c r="BK175">
        <f>IF('4-man'!BK$56="R",0,IF(BJ174&gt;=100,0,IF(BJ175+1&gt;=IF(OR('4-man'!$F$38=TRUE,'4-man'!$F$38="TRUE",'4-man'!$F$38="Yes"),25,50),0,BJ175+1)))</f>
        <v/>
      </c>
      <c r="BL175">
        <f>IF('4-man'!BL$56="R",0,IF(BK174&gt;=100,0,IF(BK175+1&gt;=IF(OR('4-man'!$F$38=TRUE,'4-man'!$F$38="TRUE",'4-man'!$F$38="Yes"),25,50),0,BK175+1)))</f>
        <v/>
      </c>
      <c r="BM175">
        <f>IF('4-man'!BM$56="R",0,IF(BL174&gt;=100,0,IF(BL175+1&gt;=IF(OR('4-man'!$F$38=TRUE,'4-man'!$F$38="TRUE",'4-man'!$F$38="Yes"),25,50),0,BL175+1)))</f>
        <v/>
      </c>
      <c r="BN175">
        <f>IF('4-man'!BN$56="R",0,IF(BM174&gt;=100,0,IF(BM175+1&gt;=IF(OR('4-man'!$F$38=TRUE,'4-man'!$F$38="TRUE",'4-man'!$F$38="Yes"),25,50),0,BM175+1)))</f>
        <v/>
      </c>
      <c r="BO175">
        <f>IF('4-man'!BO$56="R",0,IF(BN174&gt;=100,0,IF(BN175+1&gt;=IF(OR('4-man'!$F$38=TRUE,'4-man'!$F$38="TRUE",'4-man'!$F$38="Yes"),25,50),0,BN175+1)))</f>
        <v/>
      </c>
      <c r="BP175">
        <f>IF('4-man'!BP$56="R",0,IF(BO174&gt;=100,0,IF(BO175+1&gt;=IF(OR('4-man'!$F$38=TRUE,'4-man'!$F$38="TRUE",'4-man'!$F$38="Yes"),25,50),0,BO175+1)))</f>
        <v/>
      </c>
      <c r="BQ175">
        <f>IF('4-man'!BQ$56="R",0,IF(BP174&gt;=100,0,IF(BP175+1&gt;=IF(OR('4-man'!$F$38=TRUE,'4-man'!$F$38="TRUE",'4-man'!$F$38="Yes"),25,50),0,BP175+1)))</f>
        <v/>
      </c>
      <c r="BR175">
        <f>IF('4-man'!BR$56="R",0,IF(BQ174&gt;=100,0,IF(BQ175+1&gt;=IF(OR('4-man'!$F$38=TRUE,'4-man'!$F$38="TRUE",'4-man'!$F$38="Yes"),25,50),0,BQ175+1)))</f>
        <v/>
      </c>
      <c r="BS175">
        <f>IF('4-man'!BS$56="R",0,IF(BR174&gt;=100,0,IF(BR175+1&gt;=IF(OR('4-man'!$F$38=TRUE,'4-man'!$F$38="TRUE",'4-man'!$F$38="Yes"),25,50),0,BR175+1)))</f>
        <v/>
      </c>
      <c r="BT175">
        <f>IF('4-man'!BT$56="R",0,IF(BS174&gt;=100,0,IF(BS175+1&gt;=IF(OR('4-man'!$F$38=TRUE,'4-man'!$F$38="TRUE",'4-man'!$F$38="Yes"),25,50),0,BS175+1)))</f>
        <v/>
      </c>
      <c r="BU175">
        <f>IF('4-man'!BU$56="R",0,IF(BT174&gt;=100,0,IF(BT175+1&gt;=IF(OR('4-man'!$F$38=TRUE,'4-man'!$F$38="TRUE",'4-man'!$F$38="Yes"),25,50),0,BT175+1)))</f>
        <v/>
      </c>
      <c r="BV175">
        <f>IF('4-man'!BV$56="R",0,IF(BU174&gt;=100,0,IF(BU175+1&gt;=IF(OR('4-man'!$F$38=TRUE,'4-man'!$F$38="TRUE",'4-man'!$F$38="Yes"),25,50),0,BU175+1)))</f>
        <v/>
      </c>
      <c r="BW175">
        <f>IF('4-man'!BW$56="R",0,IF(BV174&gt;=100,0,IF(BV175+1&gt;=IF(OR('4-man'!$F$38=TRUE,'4-man'!$F$38="TRUE",'4-man'!$F$38="Yes"),25,50),0,BV175+1)))</f>
        <v/>
      </c>
      <c r="BX175">
        <f>IF('4-man'!BX$56="R",0,IF(BW174&gt;=100,0,IF(BW175+1&gt;=IF(OR('4-man'!$F$38=TRUE,'4-man'!$F$38="TRUE",'4-man'!$F$38="Yes"),25,50),0,BW175+1)))</f>
        <v/>
      </c>
      <c r="BY175">
        <f>IF('4-man'!BY$56="R",0,IF(BX174&gt;=100,0,IF(BX175+1&gt;=IF(OR('4-man'!$F$38=TRUE,'4-man'!$F$38="TRUE",'4-man'!$F$38="Yes"),25,50),0,BX175+1)))</f>
        <v/>
      </c>
      <c r="BZ175">
        <f>IF('4-man'!BZ$56="R",0,IF(BY174&gt;=100,0,IF(BY175+1&gt;=IF(OR('4-man'!$F$38=TRUE,'4-man'!$F$38="TRUE",'4-man'!$F$38="Yes"),25,50),0,BY175+1)))</f>
        <v/>
      </c>
      <c r="CA175">
        <f>IF('4-man'!CA$56="R",0,IF(BZ174&gt;=100,0,IF(BZ175+1&gt;=IF(OR('4-man'!$F$38=TRUE,'4-man'!$F$38="TRUE",'4-man'!$F$38="Yes"),25,50),0,BZ175+1)))</f>
        <v/>
      </c>
      <c r="CB175">
        <f>IF('4-man'!CB$56="R",0,IF(CA174&gt;=100,0,IF(CA175+1&gt;=IF(OR('4-man'!$F$38=TRUE,'4-man'!$F$38="TRUE",'4-man'!$F$38="Yes"),25,50),0,CA175+1)))</f>
        <v/>
      </c>
      <c r="CC175">
        <f>IF('4-man'!CC$56="R",0,IF(CB174&gt;=100,0,IF(CB175+1&gt;=IF(OR('4-man'!$F$38=TRUE,'4-man'!$F$38="TRUE",'4-man'!$F$38="Yes"),25,50),0,CB175+1)))</f>
        <v/>
      </c>
      <c r="CD175">
        <f>IF('4-man'!CD$56="R",0,IF(CC174&gt;=100,0,IF(CC175+1&gt;=IF(OR('4-man'!$F$38=TRUE,'4-man'!$F$38="TRUE",'4-man'!$F$38="Yes"),25,50),0,CC175+1)))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row>
    <row r="180">
      <c r="A180" t="inlineStr">
        <is>
          <t>P2 act</t>
        </is>
      </c>
      <c r="C180">
        <f>IF(OR('4-man'!C$56="P",'4-man'!C$56="R",AND('4-man'!C$54&lt;=IF('4-man'!$BF$37="",999,'4-man'!$BF$37),OR('4-man'!C$56="D",LEFT('4-man'!C$56,3)="ST&gt;",OR(AND('4-man'!C$55="ST&gt;2",C165&gt;=100),AND('4-man'!C$57="ST&gt;2",C181&gt;=100),AND('4-man'!C$58="ST&gt;2",C189&gt;=100))))),'4-man'!C$54,0)</f>
        <v/>
      </c>
      <c r="D180">
        <f>IF(OR('4-man'!D$56="P",'4-man'!D$56="R",AND('4-man'!D$54&lt;=IF('4-man'!$BF$37="",999,'4-man'!$BF$37),OR('4-man'!D$56="D",LEFT('4-man'!D$56,3)="ST&gt;",OR(AND('4-man'!D$55="ST&gt;2",D165&gt;=100),AND('4-man'!D$57="ST&gt;2",D181&gt;=100),AND('4-man'!D$58="ST&gt;2",D189&gt;=100))))),'4-man'!D$54,0)</f>
        <v/>
      </c>
      <c r="E180">
        <f>IF(OR('4-man'!E$56="P",'4-man'!E$56="R",AND('4-man'!E$54&lt;=IF('4-man'!$BF$37="",999,'4-man'!$BF$37),OR('4-man'!E$56="D",LEFT('4-man'!E$56,3)="ST&gt;",OR(AND('4-man'!E$55="ST&gt;2",E165&gt;=100),AND('4-man'!E$57="ST&gt;2",E181&gt;=100),AND('4-man'!E$58="ST&gt;2",E189&gt;=100))))),'4-man'!E$54,0)</f>
        <v/>
      </c>
      <c r="F180">
        <f>IF(OR('4-man'!F$56="P",'4-man'!F$56="R",AND('4-man'!F$54&lt;=IF('4-man'!$BF$37="",999,'4-man'!$BF$37),OR('4-man'!F$56="D",LEFT('4-man'!F$56,3)="ST&gt;",OR(AND('4-man'!F$55="ST&gt;2",F165&gt;=100),AND('4-man'!F$57="ST&gt;2",F181&gt;=100),AND('4-man'!F$58="ST&gt;2",F189&gt;=100))))),'4-man'!F$54,0)</f>
        <v/>
      </c>
      <c r="G180">
        <f>IF(OR('4-man'!G$56="P",'4-man'!G$56="R",AND('4-man'!G$54&lt;=IF('4-man'!$BF$37="",999,'4-man'!$BF$37),OR('4-man'!G$56="D",LEFT('4-man'!G$56,3)="ST&gt;",OR(AND('4-man'!G$55="ST&gt;2",G165&gt;=100),AND('4-man'!G$57="ST&gt;2",G181&gt;=100),AND('4-man'!G$58="ST&gt;2",G189&gt;=100))))),'4-man'!G$54,0)</f>
        <v/>
      </c>
      <c r="H180">
        <f>IF(OR('4-man'!H$56="P",'4-man'!H$56="R",AND('4-man'!H$54&lt;=IF('4-man'!$BF$37="",999,'4-man'!$BF$37),OR('4-man'!H$56="D",LEFT('4-man'!H$56,3)="ST&gt;",OR(AND('4-man'!H$55="ST&gt;2",H165&gt;=100),AND('4-man'!H$57="ST&gt;2",H181&gt;=100),AND('4-man'!H$58="ST&gt;2",H189&gt;=100))))),'4-man'!H$54,0)</f>
        <v/>
      </c>
      <c r="I180">
        <f>IF(OR('4-man'!I$56="P",'4-man'!I$56="R",AND('4-man'!I$54&lt;=IF('4-man'!$BF$37="",999,'4-man'!$BF$37),OR('4-man'!I$56="D",LEFT('4-man'!I$56,3)="ST&gt;",OR(AND('4-man'!I$55="ST&gt;2",I165&gt;=100),AND('4-man'!I$57="ST&gt;2",I181&gt;=100),AND('4-man'!I$58="ST&gt;2",I189&gt;=100))))),'4-man'!I$54,0)</f>
        <v/>
      </c>
      <c r="J180">
        <f>IF(OR('4-man'!J$56="P",'4-man'!J$56="R",AND('4-man'!J$54&lt;=IF('4-man'!$BF$37="",999,'4-man'!$BF$37),OR('4-man'!J$56="D",LEFT('4-man'!J$56,3)="ST&gt;",OR(AND('4-man'!J$55="ST&gt;2",J165&gt;=100),AND('4-man'!J$57="ST&gt;2",J181&gt;=100),AND('4-man'!J$58="ST&gt;2",J189&gt;=100))))),'4-man'!J$54,0)</f>
        <v/>
      </c>
      <c r="K180">
        <f>IF(OR('4-man'!K$56="P",'4-man'!K$56="R",AND('4-man'!K$54&lt;=IF('4-man'!$BF$37="",999,'4-man'!$BF$37),OR('4-man'!K$56="D",LEFT('4-man'!K$56,3)="ST&gt;",OR(AND('4-man'!K$55="ST&gt;2",K165&gt;=100),AND('4-man'!K$57="ST&gt;2",K181&gt;=100),AND('4-man'!K$58="ST&gt;2",K189&gt;=100))))),'4-man'!K$54,0)</f>
        <v/>
      </c>
      <c r="L180">
        <f>IF(OR('4-man'!L$56="P",'4-man'!L$56="R",AND('4-man'!L$54&lt;=IF('4-man'!$BF$37="",999,'4-man'!$BF$37),OR('4-man'!L$56="D",LEFT('4-man'!L$56,3)="ST&gt;",OR(AND('4-man'!L$55="ST&gt;2",L165&gt;=100),AND('4-man'!L$57="ST&gt;2",L181&gt;=100),AND('4-man'!L$58="ST&gt;2",L189&gt;=100))))),'4-man'!L$54,0)</f>
        <v/>
      </c>
      <c r="M180">
        <f>IF(OR('4-man'!M$56="P",'4-man'!M$56="R",AND('4-man'!M$54&lt;=IF('4-man'!$BF$37="",999,'4-man'!$BF$37),OR('4-man'!M$56="D",LEFT('4-man'!M$56,3)="ST&gt;",OR(AND('4-man'!M$55="ST&gt;2",M165&gt;=100),AND('4-man'!M$57="ST&gt;2",M181&gt;=100),AND('4-man'!M$58="ST&gt;2",M189&gt;=100))))),'4-man'!M$54,0)</f>
        <v/>
      </c>
      <c r="N180">
        <f>IF(OR('4-man'!N$56="P",'4-man'!N$56="R",AND('4-man'!N$54&lt;=IF('4-man'!$BF$37="",999,'4-man'!$BF$37),OR('4-man'!N$56="D",LEFT('4-man'!N$56,3)="ST&gt;",OR(AND('4-man'!N$55="ST&gt;2",N165&gt;=100),AND('4-man'!N$57="ST&gt;2",N181&gt;=100),AND('4-man'!N$58="ST&gt;2",N189&gt;=100))))),'4-man'!N$54,0)</f>
        <v/>
      </c>
      <c r="O180">
        <f>IF(OR('4-man'!O$56="P",'4-man'!O$56="R",AND('4-man'!O$54&lt;=IF('4-man'!$BF$37="",999,'4-man'!$BF$37),OR('4-man'!O$56="D",LEFT('4-man'!O$56,3)="ST&gt;",OR(AND('4-man'!O$55="ST&gt;2",O165&gt;=100),AND('4-man'!O$57="ST&gt;2",O181&gt;=100),AND('4-man'!O$58="ST&gt;2",O189&gt;=100))))),'4-man'!O$54,0)</f>
        <v/>
      </c>
      <c r="P180">
        <f>IF(OR('4-man'!P$56="P",'4-man'!P$56="R",AND('4-man'!P$54&lt;=IF('4-man'!$BF$37="",999,'4-man'!$BF$37),OR('4-man'!P$56="D",LEFT('4-man'!P$56,3)="ST&gt;",OR(AND('4-man'!P$55="ST&gt;2",P165&gt;=100),AND('4-man'!P$57="ST&gt;2",P181&gt;=100),AND('4-man'!P$58="ST&gt;2",P189&gt;=100))))),'4-man'!P$54,0)</f>
        <v/>
      </c>
      <c r="Q180">
        <f>IF(OR('4-man'!Q$56="P",'4-man'!Q$56="R",AND('4-man'!Q$54&lt;=IF('4-man'!$BF$37="",999,'4-man'!$BF$37),OR('4-man'!Q$56="D",LEFT('4-man'!Q$56,3)="ST&gt;",OR(AND('4-man'!Q$55="ST&gt;2",Q165&gt;=100),AND('4-man'!Q$57="ST&gt;2",Q181&gt;=100),AND('4-man'!Q$58="ST&gt;2",Q189&gt;=100))))),'4-man'!Q$54,0)</f>
        <v/>
      </c>
      <c r="R180">
        <f>IF(OR('4-man'!R$56="P",'4-man'!R$56="R",AND('4-man'!R$54&lt;=IF('4-man'!$BF$37="",999,'4-man'!$BF$37),OR('4-man'!R$56="D",LEFT('4-man'!R$56,3)="ST&gt;",OR(AND('4-man'!R$55="ST&gt;2",R165&gt;=100),AND('4-man'!R$57="ST&gt;2",R181&gt;=100),AND('4-man'!R$58="ST&gt;2",R189&gt;=100))))),'4-man'!R$54,0)</f>
        <v/>
      </c>
      <c r="S180">
        <f>IF(OR('4-man'!S$56="P",'4-man'!S$56="R",AND('4-man'!S$54&lt;=IF('4-man'!$BF$37="",999,'4-man'!$BF$37),OR('4-man'!S$56="D",LEFT('4-man'!S$56,3)="ST&gt;",OR(AND('4-man'!S$55="ST&gt;2",S165&gt;=100),AND('4-man'!S$57="ST&gt;2",S181&gt;=100),AND('4-man'!S$58="ST&gt;2",S189&gt;=100))))),'4-man'!S$54,0)</f>
        <v/>
      </c>
      <c r="T180">
        <f>IF(OR('4-man'!T$56="P",'4-man'!T$56="R",AND('4-man'!T$54&lt;=IF('4-man'!$BF$37="",999,'4-man'!$BF$37),OR('4-man'!T$56="D",LEFT('4-man'!T$56,3)="ST&gt;",OR(AND('4-man'!T$55="ST&gt;2",T165&gt;=100),AND('4-man'!T$57="ST&gt;2",T181&gt;=100),AND('4-man'!T$58="ST&gt;2",T189&gt;=100))))),'4-man'!T$54,0)</f>
        <v/>
      </c>
      <c r="U180">
        <f>IF(OR('4-man'!U$56="P",'4-man'!U$56="R",AND('4-man'!U$54&lt;=IF('4-man'!$BF$37="",999,'4-man'!$BF$37),OR('4-man'!U$56="D",LEFT('4-man'!U$56,3)="ST&gt;",OR(AND('4-man'!U$55="ST&gt;2",U165&gt;=100),AND('4-man'!U$57="ST&gt;2",U181&gt;=100),AND('4-man'!U$58="ST&gt;2",U189&gt;=100))))),'4-man'!U$54,0)</f>
        <v/>
      </c>
      <c r="V180">
        <f>IF(OR('4-man'!V$56="P",'4-man'!V$56="R",AND('4-man'!V$54&lt;=IF('4-man'!$BF$37="",999,'4-man'!$BF$37),OR('4-man'!V$56="D",LEFT('4-man'!V$56,3)="ST&gt;",OR(AND('4-man'!V$55="ST&gt;2",V165&gt;=100),AND('4-man'!V$57="ST&gt;2",V181&gt;=100),AND('4-man'!V$58="ST&gt;2",V189&gt;=100))))),'4-man'!V$54,0)</f>
        <v/>
      </c>
      <c r="W180">
        <f>IF(OR('4-man'!W$56="P",'4-man'!W$56="R",AND('4-man'!W$54&lt;=IF('4-man'!$BF$37="",999,'4-man'!$BF$37),OR('4-man'!W$56="D",LEFT('4-man'!W$56,3)="ST&gt;",OR(AND('4-man'!W$55="ST&gt;2",W165&gt;=100),AND('4-man'!W$57="ST&gt;2",W181&gt;=100),AND('4-man'!W$58="ST&gt;2",W189&gt;=100))))),'4-man'!W$54,0)</f>
        <v/>
      </c>
      <c r="X180">
        <f>IF(OR('4-man'!X$56="P",'4-man'!X$56="R",AND('4-man'!X$54&lt;=IF('4-man'!$BF$37="",999,'4-man'!$BF$37),OR('4-man'!X$56="D",LEFT('4-man'!X$56,3)="ST&gt;",OR(AND('4-man'!X$55="ST&gt;2",X165&gt;=100),AND('4-man'!X$57="ST&gt;2",X181&gt;=100),AND('4-man'!X$58="ST&gt;2",X189&gt;=100))))),'4-man'!X$54,0)</f>
        <v/>
      </c>
      <c r="Y180">
        <f>IF(OR('4-man'!Y$56="P",'4-man'!Y$56="R",AND('4-man'!Y$54&lt;=IF('4-man'!$BF$37="",999,'4-man'!$BF$37),OR('4-man'!Y$56="D",LEFT('4-man'!Y$56,3)="ST&gt;",OR(AND('4-man'!Y$55="ST&gt;2",Y165&gt;=100),AND('4-man'!Y$57="ST&gt;2",Y181&gt;=100),AND('4-man'!Y$58="ST&gt;2",Y189&gt;=100))))),'4-man'!Y$54,0)</f>
        <v/>
      </c>
      <c r="Z180">
        <f>IF(OR('4-man'!Z$56="P",'4-man'!Z$56="R",AND('4-man'!Z$54&lt;=IF('4-man'!$BF$37="",999,'4-man'!$BF$37),OR('4-man'!Z$56="D",LEFT('4-man'!Z$56,3)="ST&gt;",OR(AND('4-man'!Z$55="ST&gt;2",Z165&gt;=100),AND('4-man'!Z$57="ST&gt;2",Z181&gt;=100),AND('4-man'!Z$58="ST&gt;2",Z189&gt;=100))))),'4-man'!Z$54,0)</f>
        <v/>
      </c>
      <c r="AA180">
        <f>IF(OR('4-man'!AA$56="P",'4-man'!AA$56="R",AND('4-man'!AA$54&lt;=IF('4-man'!$BF$37="",999,'4-man'!$BF$37),OR('4-man'!AA$56="D",LEFT('4-man'!AA$56,3)="ST&gt;",OR(AND('4-man'!AA$55="ST&gt;2",AA165&gt;=100),AND('4-man'!AA$57="ST&gt;2",AA181&gt;=100),AND('4-man'!AA$58="ST&gt;2",AA189&gt;=100))))),'4-man'!AA$54,0)</f>
        <v/>
      </c>
      <c r="AB180">
        <f>IF(OR('4-man'!AB$56="P",'4-man'!AB$56="R",AND('4-man'!AB$54&lt;=IF('4-man'!$BF$37="",999,'4-man'!$BF$37),OR('4-man'!AB$56="D",LEFT('4-man'!AB$56,3)="ST&gt;",OR(AND('4-man'!AB$55="ST&gt;2",AB165&gt;=100),AND('4-man'!AB$57="ST&gt;2",AB181&gt;=100),AND('4-man'!AB$58="ST&gt;2",AB189&gt;=100))))),'4-man'!AB$54,0)</f>
        <v/>
      </c>
      <c r="AC180">
        <f>IF(OR('4-man'!AC$56="P",'4-man'!AC$56="R",AND('4-man'!AC$54&lt;=IF('4-man'!$BF$37="",999,'4-man'!$BF$37),OR('4-man'!AC$56="D",LEFT('4-man'!AC$56,3)="ST&gt;",OR(AND('4-man'!AC$55="ST&gt;2",AC165&gt;=100),AND('4-man'!AC$57="ST&gt;2",AC181&gt;=100),AND('4-man'!AC$58="ST&gt;2",AC189&gt;=100))))),'4-man'!AC$54,0)</f>
        <v/>
      </c>
      <c r="AD180">
        <f>IF(OR('4-man'!AD$56="P",'4-man'!AD$56="R",AND('4-man'!AD$54&lt;=IF('4-man'!$BF$37="",999,'4-man'!$BF$37),OR('4-man'!AD$56="D",LEFT('4-man'!AD$56,3)="ST&gt;",OR(AND('4-man'!AD$55="ST&gt;2",AD165&gt;=100),AND('4-man'!AD$57="ST&gt;2",AD181&gt;=100),AND('4-man'!AD$58="ST&gt;2",AD189&gt;=100))))),'4-man'!AD$54,0)</f>
        <v/>
      </c>
      <c r="AE180">
        <f>IF(OR('4-man'!AE$56="P",'4-man'!AE$56="R",AND('4-man'!AE$54&lt;=IF('4-man'!$BF$37="",999,'4-man'!$BF$37),OR('4-man'!AE$56="D",LEFT('4-man'!AE$56,3)="ST&gt;",OR(AND('4-man'!AE$55="ST&gt;2",AE165&gt;=100),AND('4-man'!AE$57="ST&gt;2",AE181&gt;=100),AND('4-man'!AE$58="ST&gt;2",AE189&gt;=100))))),'4-man'!AE$54,0)</f>
        <v/>
      </c>
      <c r="AF180">
        <f>IF(OR('4-man'!AF$56="P",'4-man'!AF$56="R",AND('4-man'!AF$54&lt;=IF('4-man'!$BF$37="",999,'4-man'!$BF$37),OR('4-man'!AF$56="D",LEFT('4-man'!AF$56,3)="ST&gt;",OR(AND('4-man'!AF$55="ST&gt;2",AF165&gt;=100),AND('4-man'!AF$57="ST&gt;2",AF181&gt;=100),AND('4-man'!AF$58="ST&gt;2",AF189&gt;=100))))),'4-man'!AF$54,0)</f>
        <v/>
      </c>
      <c r="AG180">
        <f>IF(OR('4-man'!AG$56="P",'4-man'!AG$56="R",AND('4-man'!AG$54&lt;=IF('4-man'!$BF$37="",999,'4-man'!$BF$37),OR('4-man'!AG$56="D",LEFT('4-man'!AG$56,3)="ST&gt;",OR(AND('4-man'!AG$55="ST&gt;2",AG165&gt;=100),AND('4-man'!AG$57="ST&gt;2",AG181&gt;=100),AND('4-man'!AG$58="ST&gt;2",AG189&gt;=100))))),'4-man'!AG$54,0)</f>
        <v/>
      </c>
      <c r="AH180">
        <f>IF(OR('4-man'!AH$56="P",'4-man'!AH$56="R",AND('4-man'!AH$54&lt;=IF('4-man'!$BF$37="",999,'4-man'!$BF$37),OR('4-man'!AH$56="D",LEFT('4-man'!AH$56,3)="ST&gt;",OR(AND('4-man'!AH$55="ST&gt;2",AH165&gt;=100),AND('4-man'!AH$57="ST&gt;2",AH181&gt;=100),AND('4-man'!AH$58="ST&gt;2",AH189&gt;=100))))),'4-man'!AH$54,0)</f>
        <v/>
      </c>
      <c r="AI180">
        <f>IF(OR('4-man'!AI$56="P",'4-man'!AI$56="R",AND('4-man'!AI$54&lt;=IF('4-man'!$BF$37="",999,'4-man'!$BF$37),OR('4-man'!AI$56="D",LEFT('4-man'!AI$56,3)="ST&gt;",OR(AND('4-man'!AI$55="ST&gt;2",AI165&gt;=100),AND('4-man'!AI$57="ST&gt;2",AI181&gt;=100),AND('4-man'!AI$58="ST&gt;2",AI189&gt;=100))))),'4-man'!AI$54,0)</f>
        <v/>
      </c>
      <c r="AJ180">
        <f>IF(OR('4-man'!AJ$56="P",'4-man'!AJ$56="R",AND('4-man'!AJ$54&lt;=IF('4-man'!$BF$37="",999,'4-man'!$BF$37),OR('4-man'!AJ$56="D",LEFT('4-man'!AJ$56,3)="ST&gt;",OR(AND('4-man'!AJ$55="ST&gt;2",AJ165&gt;=100),AND('4-man'!AJ$57="ST&gt;2",AJ181&gt;=100),AND('4-man'!AJ$58="ST&gt;2",AJ189&gt;=100))))),'4-man'!AJ$54,0)</f>
        <v/>
      </c>
      <c r="AK180">
        <f>IF(OR('4-man'!AK$56="P",'4-man'!AK$56="R",AND('4-man'!AK$54&lt;=IF('4-man'!$BF$37="",999,'4-man'!$BF$37),OR('4-man'!AK$56="D",LEFT('4-man'!AK$56,3)="ST&gt;",OR(AND('4-man'!AK$55="ST&gt;2",AK165&gt;=100),AND('4-man'!AK$57="ST&gt;2",AK181&gt;=100),AND('4-man'!AK$58="ST&gt;2",AK189&gt;=100))))),'4-man'!AK$54,0)</f>
        <v/>
      </c>
      <c r="AL180">
        <f>IF(OR('4-man'!AL$56="P",'4-man'!AL$56="R",AND('4-man'!AL$54&lt;=IF('4-man'!$BF$37="",999,'4-man'!$BF$37),OR('4-man'!AL$56="D",LEFT('4-man'!AL$56,3)="ST&gt;",OR(AND('4-man'!AL$55="ST&gt;2",AL165&gt;=100),AND('4-man'!AL$57="ST&gt;2",AL181&gt;=100),AND('4-man'!AL$58="ST&gt;2",AL189&gt;=100))))),'4-man'!AL$54,0)</f>
        <v/>
      </c>
      <c r="AM180">
        <f>IF(OR('4-man'!AM$56="P",'4-man'!AM$56="R",AND('4-man'!AM$54&lt;=IF('4-man'!$BF$37="",999,'4-man'!$BF$37),OR('4-man'!AM$56="D",LEFT('4-man'!AM$56,3)="ST&gt;",OR(AND('4-man'!AM$55="ST&gt;2",AM165&gt;=100),AND('4-man'!AM$57="ST&gt;2",AM181&gt;=100),AND('4-man'!AM$58="ST&gt;2",AM189&gt;=100))))),'4-man'!AM$54,0)</f>
        <v/>
      </c>
      <c r="AN180">
        <f>IF(OR('4-man'!AN$56="P",'4-man'!AN$56="R",AND('4-man'!AN$54&lt;=IF('4-man'!$BF$37="",999,'4-man'!$BF$37),OR('4-man'!AN$56="D",LEFT('4-man'!AN$56,3)="ST&gt;",OR(AND('4-man'!AN$55="ST&gt;2",AN165&gt;=100),AND('4-man'!AN$57="ST&gt;2",AN181&gt;=100),AND('4-man'!AN$58="ST&gt;2",AN189&gt;=100))))),'4-man'!AN$54,0)</f>
        <v/>
      </c>
      <c r="AO180">
        <f>IF(OR('4-man'!AO$56="P",'4-man'!AO$56="R",AND('4-man'!AO$54&lt;=IF('4-man'!$BF$37="",999,'4-man'!$BF$37),OR('4-man'!AO$56="D",LEFT('4-man'!AO$56,3)="ST&gt;",OR(AND('4-man'!AO$55="ST&gt;2",AO165&gt;=100),AND('4-man'!AO$57="ST&gt;2",AO181&gt;=100),AND('4-man'!AO$58="ST&gt;2",AO189&gt;=100))))),'4-man'!AO$54,0)</f>
        <v/>
      </c>
      <c r="AP180">
        <f>IF(OR('4-man'!AP$56="P",'4-man'!AP$56="R",AND('4-man'!AP$54&lt;=IF('4-man'!$BF$37="",999,'4-man'!$BF$37),OR('4-man'!AP$56="D",LEFT('4-man'!AP$56,3)="ST&gt;",OR(AND('4-man'!AP$55="ST&gt;2",AP165&gt;=100),AND('4-man'!AP$57="ST&gt;2",AP181&gt;=100),AND('4-man'!AP$58="ST&gt;2",AP189&gt;=100))))),'4-man'!AP$54,0)</f>
        <v/>
      </c>
      <c r="AQ180">
        <f>IF(OR('4-man'!AQ$56="P",'4-man'!AQ$56="R",AND('4-man'!AQ$54&lt;=IF('4-man'!$BF$37="",999,'4-man'!$BF$37),OR('4-man'!AQ$56="D",LEFT('4-man'!AQ$56,3)="ST&gt;",OR(AND('4-man'!AQ$55="ST&gt;2",AQ165&gt;=100),AND('4-man'!AQ$57="ST&gt;2",AQ181&gt;=100),AND('4-man'!AQ$58="ST&gt;2",AQ189&gt;=100))))),'4-man'!AQ$54,0)</f>
        <v/>
      </c>
      <c r="AR180">
        <f>IF(OR('4-man'!AR$56="P",'4-man'!AR$56="R",AND('4-man'!AR$54&lt;=IF('4-man'!$BF$37="",999,'4-man'!$BF$37),OR('4-man'!AR$56="D",LEFT('4-man'!AR$56,3)="ST&gt;",OR(AND('4-man'!AR$55="ST&gt;2",AR165&gt;=100),AND('4-man'!AR$57="ST&gt;2",AR181&gt;=100),AND('4-man'!AR$58="ST&gt;2",AR189&gt;=100))))),'4-man'!AR$54,0)</f>
        <v/>
      </c>
      <c r="AS180">
        <f>IF(OR('4-man'!AS$56="P",'4-man'!AS$56="R",AND('4-man'!AS$54&lt;=IF('4-man'!$BF$37="",999,'4-man'!$BF$37),OR('4-man'!AS$56="D",LEFT('4-man'!AS$56,3)="ST&gt;",OR(AND('4-man'!AS$55="ST&gt;2",AS165&gt;=100),AND('4-man'!AS$57="ST&gt;2",AS181&gt;=100),AND('4-man'!AS$58="ST&gt;2",AS189&gt;=100))))),'4-man'!AS$54,0)</f>
        <v/>
      </c>
      <c r="AT180">
        <f>IF(OR('4-man'!AT$56="P",'4-man'!AT$56="R",AND('4-man'!AT$54&lt;=IF('4-man'!$BF$37="",999,'4-man'!$BF$37),OR('4-man'!AT$56="D",LEFT('4-man'!AT$56,3)="ST&gt;",OR(AND('4-man'!AT$55="ST&gt;2",AT165&gt;=100),AND('4-man'!AT$57="ST&gt;2",AT181&gt;=100),AND('4-man'!AT$58="ST&gt;2",AT189&gt;=100))))),'4-man'!AT$54,0)</f>
        <v/>
      </c>
      <c r="AU180">
        <f>IF(OR('4-man'!AU$56="P",'4-man'!AU$56="R",AND('4-man'!AU$54&lt;=IF('4-man'!$BF$37="",999,'4-man'!$BF$37),OR('4-man'!AU$56="D",LEFT('4-man'!AU$56,3)="ST&gt;",OR(AND('4-man'!AU$55="ST&gt;2",AU165&gt;=100),AND('4-man'!AU$57="ST&gt;2",AU181&gt;=100),AND('4-man'!AU$58="ST&gt;2",AU189&gt;=100))))),'4-man'!AU$54,0)</f>
        <v/>
      </c>
      <c r="AV180">
        <f>IF(OR('4-man'!AV$56="P",'4-man'!AV$56="R",AND('4-man'!AV$54&lt;=IF('4-man'!$BF$37="",999,'4-man'!$BF$37),OR('4-man'!AV$56="D",LEFT('4-man'!AV$56,3)="ST&gt;",OR(AND('4-man'!AV$55="ST&gt;2",AV165&gt;=100),AND('4-man'!AV$57="ST&gt;2",AV181&gt;=100),AND('4-man'!AV$58="ST&gt;2",AV189&gt;=100))))),'4-man'!AV$54,0)</f>
        <v/>
      </c>
      <c r="AW180">
        <f>IF(OR('4-man'!AW$56="P",'4-man'!AW$56="R",AND('4-man'!AW$54&lt;=IF('4-man'!$BF$37="",999,'4-man'!$BF$37),OR('4-man'!AW$56="D",LEFT('4-man'!AW$56,3)="ST&gt;",OR(AND('4-man'!AW$55="ST&gt;2",AW165&gt;=100),AND('4-man'!AW$57="ST&gt;2",AW181&gt;=100),AND('4-man'!AW$58="ST&gt;2",AW189&gt;=100))))),'4-man'!AW$54,0)</f>
        <v/>
      </c>
      <c r="AX180">
        <f>IF(OR('4-man'!AX$56="P",'4-man'!AX$56="R",AND('4-man'!AX$54&lt;=IF('4-man'!$BF$37="",999,'4-man'!$BF$37),OR('4-man'!AX$56="D",LEFT('4-man'!AX$56,3)="ST&gt;",OR(AND('4-man'!AX$55="ST&gt;2",AX165&gt;=100),AND('4-man'!AX$57="ST&gt;2",AX181&gt;=100),AND('4-man'!AX$58="ST&gt;2",AX189&gt;=100))))),'4-man'!AX$54,0)</f>
        <v/>
      </c>
      <c r="AY180">
        <f>IF(OR('4-man'!AY$56="P",'4-man'!AY$56="R",AND('4-man'!AY$54&lt;=IF('4-man'!$BF$37="",999,'4-man'!$BF$37),OR('4-man'!AY$56="D",LEFT('4-man'!AY$56,3)="ST&gt;",OR(AND('4-man'!AY$55="ST&gt;2",AY165&gt;=100),AND('4-man'!AY$57="ST&gt;2",AY181&gt;=100),AND('4-man'!AY$58="ST&gt;2",AY189&gt;=100))))),'4-man'!AY$54,0)</f>
        <v/>
      </c>
      <c r="AZ180">
        <f>IF(OR('4-man'!AZ$56="P",'4-man'!AZ$56="R",AND('4-man'!AZ$54&lt;=IF('4-man'!$BF$37="",999,'4-man'!$BF$37),OR('4-man'!AZ$56="D",LEFT('4-man'!AZ$56,3)="ST&gt;",OR(AND('4-man'!AZ$55="ST&gt;2",AZ165&gt;=100),AND('4-man'!AZ$57="ST&gt;2",AZ181&gt;=100),AND('4-man'!AZ$58="ST&gt;2",AZ189&gt;=100))))),'4-man'!AZ$54,0)</f>
        <v/>
      </c>
      <c r="BA180">
        <f>IF(OR('4-man'!BA$56="P",'4-man'!BA$56="R",AND('4-man'!BA$54&lt;=IF('4-man'!$BF$37="",999,'4-man'!$BF$37),OR('4-man'!BA$56="D",LEFT('4-man'!BA$56,3)="ST&gt;",OR(AND('4-man'!BA$55="ST&gt;2",BA165&gt;=100),AND('4-man'!BA$57="ST&gt;2",BA181&gt;=100),AND('4-man'!BA$58="ST&gt;2",BA189&gt;=100))))),'4-man'!BA$54,0)</f>
        <v/>
      </c>
      <c r="BB180">
        <f>IF(OR('4-man'!BB$56="P",'4-man'!BB$56="R",AND('4-man'!BB$54&lt;=IF('4-man'!$BF$37="",999,'4-man'!$BF$37),OR('4-man'!BB$56="D",LEFT('4-man'!BB$56,3)="ST&gt;",OR(AND('4-man'!BB$55="ST&gt;2",BB165&gt;=100),AND('4-man'!BB$57="ST&gt;2",BB181&gt;=100),AND('4-man'!BB$58="ST&gt;2",BB189&gt;=100))))),'4-man'!BB$54,0)</f>
        <v/>
      </c>
      <c r="BC180">
        <f>IF(OR('4-man'!BC$56="P",'4-man'!BC$56="R",AND('4-man'!BC$54&lt;=IF('4-man'!$BF$37="",999,'4-man'!$BF$37),OR('4-man'!BC$56="D",LEFT('4-man'!BC$56,3)="ST&gt;",OR(AND('4-man'!BC$55="ST&gt;2",BC165&gt;=100),AND('4-man'!BC$57="ST&gt;2",BC181&gt;=100),AND('4-man'!BC$58="ST&gt;2",BC189&gt;=100))))),'4-man'!BC$54,0)</f>
        <v/>
      </c>
      <c r="BD180">
        <f>IF(OR('4-man'!BD$56="P",'4-man'!BD$56="R",AND('4-man'!BD$54&lt;=IF('4-man'!$BF$37="",999,'4-man'!$BF$37),OR('4-man'!BD$56="D",LEFT('4-man'!BD$56,3)="ST&gt;",OR(AND('4-man'!BD$55="ST&gt;2",BD165&gt;=100),AND('4-man'!BD$57="ST&gt;2",BD181&gt;=100),AND('4-man'!BD$58="ST&gt;2",BD189&gt;=100))))),'4-man'!BD$54,0)</f>
        <v/>
      </c>
      <c r="BE180">
        <f>IF(OR('4-man'!BE$56="P",'4-man'!BE$56="R",AND('4-man'!BE$54&lt;=IF('4-man'!$BF$37="",999,'4-man'!$BF$37),OR('4-man'!BE$56="D",LEFT('4-man'!BE$56,3)="ST&gt;",OR(AND('4-man'!BE$55="ST&gt;2",BE165&gt;=100),AND('4-man'!BE$57="ST&gt;2",BE181&gt;=100),AND('4-man'!BE$58="ST&gt;2",BE189&gt;=100))))),'4-man'!BE$54,0)</f>
        <v/>
      </c>
      <c r="BF180">
        <f>IF(OR('4-man'!BF$56="P",'4-man'!BF$56="R",AND('4-man'!BF$54&lt;=IF('4-man'!$BF$37="",999,'4-man'!$BF$37),OR('4-man'!BF$56="D",LEFT('4-man'!BF$56,3)="ST&gt;",OR(AND('4-man'!BF$55="ST&gt;2",BF165&gt;=100),AND('4-man'!BF$57="ST&gt;2",BF181&gt;=100),AND('4-man'!BF$58="ST&gt;2",BF189&gt;=100))))),'4-man'!BF$54,0)</f>
        <v/>
      </c>
      <c r="BG180">
        <f>IF(OR('4-man'!BG$56="P",'4-man'!BG$56="R",AND('4-man'!BG$54&lt;=IF('4-man'!$BF$37="",999,'4-man'!$BF$37),OR('4-man'!BG$56="D",LEFT('4-man'!BG$56,3)="ST&gt;",OR(AND('4-man'!BG$55="ST&gt;2",BG165&gt;=100),AND('4-man'!BG$57="ST&gt;2",BG181&gt;=100),AND('4-man'!BG$58="ST&gt;2",BG189&gt;=100))))),'4-man'!BG$54,0)</f>
        <v/>
      </c>
      <c r="BH180">
        <f>IF(OR('4-man'!BH$56="P",'4-man'!BH$56="R",AND('4-man'!BH$54&lt;=IF('4-man'!$BF$37="",999,'4-man'!$BF$37),OR('4-man'!BH$56="D",LEFT('4-man'!BH$56,3)="ST&gt;",OR(AND('4-man'!BH$55="ST&gt;2",BH165&gt;=100),AND('4-man'!BH$57="ST&gt;2",BH181&gt;=100),AND('4-man'!BH$58="ST&gt;2",BH189&gt;=100))))),'4-man'!BH$54,0)</f>
        <v/>
      </c>
      <c r="BI180">
        <f>IF(OR('4-man'!BI$56="P",'4-man'!BI$56="R",AND('4-man'!BI$54&lt;=IF('4-man'!$BF$37="",999,'4-man'!$BF$37),OR('4-man'!BI$56="D",LEFT('4-man'!BI$56,3)="ST&gt;",OR(AND('4-man'!BI$55="ST&gt;2",BI165&gt;=100),AND('4-man'!BI$57="ST&gt;2",BI181&gt;=100),AND('4-man'!BI$58="ST&gt;2",BI189&gt;=100))))),'4-man'!BI$54,0)</f>
        <v/>
      </c>
      <c r="BJ180">
        <f>IF(OR('4-man'!BJ$56="P",'4-man'!BJ$56="R",AND('4-man'!BJ$54&lt;=IF('4-man'!$BF$37="",999,'4-man'!$BF$37),OR('4-man'!BJ$56="D",LEFT('4-man'!BJ$56,3)="ST&gt;",OR(AND('4-man'!BJ$55="ST&gt;2",BJ165&gt;=100),AND('4-man'!BJ$57="ST&gt;2",BJ181&gt;=100),AND('4-man'!BJ$58="ST&gt;2",BJ189&gt;=100))))),'4-man'!BJ$54,0)</f>
        <v/>
      </c>
      <c r="BK180">
        <f>IF(OR('4-man'!BK$56="P",'4-man'!BK$56="R",AND('4-man'!BK$54&lt;=IF('4-man'!$BF$37="",999,'4-man'!$BF$37),OR('4-man'!BK$56="D",LEFT('4-man'!BK$56,3)="ST&gt;",OR(AND('4-man'!BK$55="ST&gt;2",BK165&gt;=100),AND('4-man'!BK$57="ST&gt;2",BK181&gt;=100),AND('4-man'!BK$58="ST&gt;2",BK189&gt;=100))))),'4-man'!BK$54,0)</f>
        <v/>
      </c>
      <c r="BL180">
        <f>IF(OR('4-man'!BL$56="P",'4-man'!BL$56="R",AND('4-man'!BL$54&lt;=IF('4-man'!$BF$37="",999,'4-man'!$BF$37),OR('4-man'!BL$56="D",LEFT('4-man'!BL$56,3)="ST&gt;",OR(AND('4-man'!BL$55="ST&gt;2",BL165&gt;=100),AND('4-man'!BL$57="ST&gt;2",BL181&gt;=100),AND('4-man'!BL$58="ST&gt;2",BL189&gt;=100))))),'4-man'!BL$54,0)</f>
        <v/>
      </c>
      <c r="BM180">
        <f>IF(OR('4-man'!BM$56="P",'4-man'!BM$56="R",AND('4-man'!BM$54&lt;=IF('4-man'!$BF$37="",999,'4-man'!$BF$37),OR('4-man'!BM$56="D",LEFT('4-man'!BM$56,3)="ST&gt;",OR(AND('4-man'!BM$55="ST&gt;2",BM165&gt;=100),AND('4-man'!BM$57="ST&gt;2",BM181&gt;=100),AND('4-man'!BM$58="ST&gt;2",BM189&gt;=100))))),'4-man'!BM$54,0)</f>
        <v/>
      </c>
      <c r="BN180">
        <f>IF(OR('4-man'!BN$56="P",'4-man'!BN$56="R",AND('4-man'!BN$54&lt;=IF('4-man'!$BF$37="",999,'4-man'!$BF$37),OR('4-man'!BN$56="D",LEFT('4-man'!BN$56,3)="ST&gt;",OR(AND('4-man'!BN$55="ST&gt;2",BN165&gt;=100),AND('4-man'!BN$57="ST&gt;2",BN181&gt;=100),AND('4-man'!BN$58="ST&gt;2",BN189&gt;=100))))),'4-man'!BN$54,0)</f>
        <v/>
      </c>
      <c r="BO180">
        <f>IF(OR('4-man'!BO$56="P",'4-man'!BO$56="R",AND('4-man'!BO$54&lt;=IF('4-man'!$BF$37="",999,'4-man'!$BF$37),OR('4-man'!BO$56="D",LEFT('4-man'!BO$56,3)="ST&gt;",OR(AND('4-man'!BO$55="ST&gt;2",BO165&gt;=100),AND('4-man'!BO$57="ST&gt;2",BO181&gt;=100),AND('4-man'!BO$58="ST&gt;2",BO189&gt;=100))))),'4-man'!BO$54,0)</f>
        <v/>
      </c>
      <c r="BP180">
        <f>IF(OR('4-man'!BP$56="P",'4-man'!BP$56="R",AND('4-man'!BP$54&lt;=IF('4-man'!$BF$37="",999,'4-man'!$BF$37),OR('4-man'!BP$56="D",LEFT('4-man'!BP$56,3)="ST&gt;",OR(AND('4-man'!BP$55="ST&gt;2",BP165&gt;=100),AND('4-man'!BP$57="ST&gt;2",BP181&gt;=100),AND('4-man'!BP$58="ST&gt;2",BP189&gt;=100))))),'4-man'!BP$54,0)</f>
        <v/>
      </c>
      <c r="BQ180">
        <f>IF(OR('4-man'!BQ$56="P",'4-man'!BQ$56="R",AND('4-man'!BQ$54&lt;=IF('4-man'!$BF$37="",999,'4-man'!$BF$37),OR('4-man'!BQ$56="D",LEFT('4-man'!BQ$56,3)="ST&gt;",OR(AND('4-man'!BQ$55="ST&gt;2",BQ165&gt;=100),AND('4-man'!BQ$57="ST&gt;2",BQ181&gt;=100),AND('4-man'!BQ$58="ST&gt;2",BQ189&gt;=100))))),'4-man'!BQ$54,0)</f>
        <v/>
      </c>
      <c r="BR180">
        <f>IF(OR('4-man'!BR$56="P",'4-man'!BR$56="R",AND('4-man'!BR$54&lt;=IF('4-man'!$BF$37="",999,'4-man'!$BF$37),OR('4-man'!BR$56="D",LEFT('4-man'!BR$56,3)="ST&gt;",OR(AND('4-man'!BR$55="ST&gt;2",BR165&gt;=100),AND('4-man'!BR$57="ST&gt;2",BR181&gt;=100),AND('4-man'!BR$58="ST&gt;2",BR189&gt;=100))))),'4-man'!BR$54,0)</f>
        <v/>
      </c>
      <c r="BS180">
        <f>IF(OR('4-man'!BS$56="P",'4-man'!BS$56="R",AND('4-man'!BS$54&lt;=IF('4-man'!$BF$37="",999,'4-man'!$BF$37),OR('4-man'!BS$56="D",LEFT('4-man'!BS$56,3)="ST&gt;",OR(AND('4-man'!BS$55="ST&gt;2",BS165&gt;=100),AND('4-man'!BS$57="ST&gt;2",BS181&gt;=100),AND('4-man'!BS$58="ST&gt;2",BS189&gt;=100))))),'4-man'!BS$54,0)</f>
        <v/>
      </c>
      <c r="BT180">
        <f>IF(OR('4-man'!BT$56="P",'4-man'!BT$56="R",AND('4-man'!BT$54&lt;=IF('4-man'!$BF$37="",999,'4-man'!$BF$37),OR('4-man'!BT$56="D",LEFT('4-man'!BT$56,3)="ST&gt;",OR(AND('4-man'!BT$55="ST&gt;2",BT165&gt;=100),AND('4-man'!BT$57="ST&gt;2",BT181&gt;=100),AND('4-man'!BT$58="ST&gt;2",BT189&gt;=100))))),'4-man'!BT$54,0)</f>
        <v/>
      </c>
      <c r="BU180">
        <f>IF(OR('4-man'!BU$56="P",'4-man'!BU$56="R",AND('4-man'!BU$54&lt;=IF('4-man'!$BF$37="",999,'4-man'!$BF$37),OR('4-man'!BU$56="D",LEFT('4-man'!BU$56,3)="ST&gt;",OR(AND('4-man'!BU$55="ST&gt;2",BU165&gt;=100),AND('4-man'!BU$57="ST&gt;2",BU181&gt;=100),AND('4-man'!BU$58="ST&gt;2",BU189&gt;=100))))),'4-man'!BU$54,0)</f>
        <v/>
      </c>
      <c r="BV180">
        <f>IF(OR('4-man'!BV$56="P",'4-man'!BV$56="R",AND('4-man'!BV$54&lt;=IF('4-man'!$BF$37="",999,'4-man'!$BF$37),OR('4-man'!BV$56="D",LEFT('4-man'!BV$56,3)="ST&gt;",OR(AND('4-man'!BV$55="ST&gt;2",BV165&gt;=100),AND('4-man'!BV$57="ST&gt;2",BV181&gt;=100),AND('4-man'!BV$58="ST&gt;2",BV189&gt;=100))))),'4-man'!BV$54,0)</f>
        <v/>
      </c>
      <c r="BW180">
        <f>IF(OR('4-man'!BW$56="P",'4-man'!BW$56="R",AND('4-man'!BW$54&lt;=IF('4-man'!$BF$37="",999,'4-man'!$BF$37),OR('4-man'!BW$56="D",LEFT('4-man'!BW$56,3)="ST&gt;",OR(AND('4-man'!BW$55="ST&gt;2",BW165&gt;=100),AND('4-man'!BW$57="ST&gt;2",BW181&gt;=100),AND('4-man'!BW$58="ST&gt;2",BW189&gt;=100))))),'4-man'!BW$54,0)</f>
        <v/>
      </c>
      <c r="BX180">
        <f>IF(OR('4-man'!BX$56="P",'4-man'!BX$56="R",AND('4-man'!BX$54&lt;=IF('4-man'!$BF$37="",999,'4-man'!$BF$37),OR('4-man'!BX$56="D",LEFT('4-man'!BX$56,3)="ST&gt;",OR(AND('4-man'!BX$55="ST&gt;2",BX165&gt;=100),AND('4-man'!BX$57="ST&gt;2",BX181&gt;=100),AND('4-man'!BX$58="ST&gt;2",BX189&gt;=100))))),'4-man'!BX$54,0)</f>
        <v/>
      </c>
      <c r="BY180">
        <f>IF(OR('4-man'!BY$56="P",'4-man'!BY$56="R",AND('4-man'!BY$54&lt;=IF('4-man'!$BF$37="",999,'4-man'!$BF$37),OR('4-man'!BY$56="D",LEFT('4-man'!BY$56,3)="ST&gt;",OR(AND('4-man'!BY$55="ST&gt;2",BY165&gt;=100),AND('4-man'!BY$57="ST&gt;2",BY181&gt;=100),AND('4-man'!BY$58="ST&gt;2",BY189&gt;=100))))),'4-man'!BY$54,0)</f>
        <v/>
      </c>
      <c r="BZ180">
        <f>IF(OR('4-man'!BZ$56="P",'4-man'!BZ$56="R",AND('4-man'!BZ$54&lt;=IF('4-man'!$BF$37="",999,'4-man'!$BF$37),OR('4-man'!BZ$56="D",LEFT('4-man'!BZ$56,3)="ST&gt;",OR(AND('4-man'!BZ$55="ST&gt;2",BZ165&gt;=100),AND('4-man'!BZ$57="ST&gt;2",BZ181&gt;=100),AND('4-man'!BZ$58="ST&gt;2",BZ189&gt;=100))))),'4-man'!BZ$54,0)</f>
        <v/>
      </c>
      <c r="CA180">
        <f>IF(OR('4-man'!CA$56="P",'4-man'!CA$56="R",AND('4-man'!CA$54&lt;=IF('4-man'!$BF$37="",999,'4-man'!$BF$37),OR('4-man'!CA$56="D",LEFT('4-man'!CA$56,3)="ST&gt;",OR(AND('4-man'!CA$55="ST&gt;2",CA165&gt;=100),AND('4-man'!CA$57="ST&gt;2",CA181&gt;=100),AND('4-man'!CA$58="ST&gt;2",CA189&gt;=100))))),'4-man'!CA$54,0)</f>
        <v/>
      </c>
      <c r="CB180">
        <f>IF(OR('4-man'!CB$56="P",'4-man'!CB$56="R",AND('4-man'!CB$54&lt;=IF('4-man'!$BF$37="",999,'4-man'!$BF$37),OR('4-man'!CB$56="D",LEFT('4-man'!CB$56,3)="ST&gt;",OR(AND('4-man'!CB$55="ST&gt;2",CB165&gt;=100),AND('4-man'!CB$57="ST&gt;2",CB181&gt;=100),AND('4-man'!CB$58="ST&gt;2",CB189&gt;=100))))),'4-man'!CB$54,0)</f>
        <v/>
      </c>
      <c r="CC180">
        <f>IF(OR('4-man'!CC$56="P",'4-man'!CC$56="R",AND('4-man'!CC$54&lt;=IF('4-man'!$BF$37="",999,'4-man'!$BF$37),OR('4-man'!CC$56="D",LEFT('4-man'!CC$56,3)="ST&gt;",OR(AND('4-man'!CC$55="ST&gt;2",CC165&gt;=100),AND('4-man'!CC$57="ST&gt;2",CC181&gt;=100),AND('4-man'!CC$58="ST&gt;2",CC189&gt;=100))))),'4-man'!CC$54,0)</f>
        <v/>
      </c>
      <c r="CD180">
        <f>IF(OR('4-man'!CD$56="P",'4-man'!CD$56="R",AND('4-man'!CD$54&lt;=IF('4-man'!$BF$37="",999,'4-man'!$BF$37),OR('4-man'!CD$56="D",LEFT('4-man'!CD$56,3)="ST&gt;",OR(AND('4-man'!CD$55="ST&gt;2",CD165&gt;=100),AND('4-man'!CD$57="ST&gt;2",CD181&gt;=100),AND('4-man'!CD$58="ST&gt;2",CD189&gt;=100))))),'4-man'!CD$54,0)</f>
        <v/>
      </c>
    </row>
    <row r="181">
      <c r="A181" t="inlineStr">
        <is>
          <t>P3 s1</t>
        </is>
      </c>
      <c r="C181">
        <f>MIN(100,B182+IF(AND(B182&lt;100,B183+1&gt;=IF(OR('4-man'!$F$39=TRUE,'4-man'!$F$39="TRUE",'4-man'!$F$39="Yes"),25,50)),10,0)+IF('4-man'!C$54=$Q$187,25,0))</f>
        <v/>
      </c>
      <c r="D181">
        <f>MIN(100,C182+IF(AND(C182&lt;100,C183+1&gt;=IF(OR('4-man'!$F$39=TRUE,'4-man'!$F$39="TRUE",'4-man'!$F$39="Yes"),25,50)),10,0)+IF('4-man'!D$54=$Q$187,25,0))</f>
        <v/>
      </c>
      <c r="E181">
        <f>MIN(100,D182+IF(AND(D182&lt;100,D183+1&gt;=IF(OR('4-man'!$F$39=TRUE,'4-man'!$F$39="TRUE",'4-man'!$F$39="Yes"),25,50)),10,0)+IF('4-man'!E$54=$Q$187,25,0))</f>
        <v/>
      </c>
      <c r="F181">
        <f>MIN(100,E182+IF(AND(E182&lt;100,E183+1&gt;=IF(OR('4-man'!$F$39=TRUE,'4-man'!$F$39="TRUE",'4-man'!$F$39="Yes"),25,50)),10,0)+IF('4-man'!F$54=$Q$187,25,0))</f>
        <v/>
      </c>
      <c r="G181">
        <f>MIN(100,F182+IF(AND(F182&lt;100,F183+1&gt;=IF(OR('4-man'!$F$39=TRUE,'4-man'!$F$39="TRUE",'4-man'!$F$39="Yes"),25,50)),10,0)+IF('4-man'!G$54=$Q$187,25,0))</f>
        <v/>
      </c>
      <c r="H181">
        <f>MIN(100,G182+IF(AND(G182&lt;100,G183+1&gt;=IF(OR('4-man'!$F$39=TRUE,'4-man'!$F$39="TRUE",'4-man'!$F$39="Yes"),25,50)),10,0)+IF('4-man'!H$54=$Q$187,25,0))</f>
        <v/>
      </c>
      <c r="I181">
        <f>MIN(100,H182+IF(AND(H182&lt;100,H183+1&gt;=IF(OR('4-man'!$F$39=TRUE,'4-man'!$F$39="TRUE",'4-man'!$F$39="Yes"),25,50)),10,0)+IF('4-man'!I$54=$Q$187,25,0))</f>
        <v/>
      </c>
      <c r="J181">
        <f>MIN(100,I182+IF(AND(I182&lt;100,I183+1&gt;=IF(OR('4-man'!$F$39=TRUE,'4-man'!$F$39="TRUE",'4-man'!$F$39="Yes"),25,50)),10,0)+IF('4-man'!J$54=$Q$187,25,0))</f>
        <v/>
      </c>
      <c r="K181">
        <f>MIN(100,J182+IF(AND(J182&lt;100,J183+1&gt;=IF(OR('4-man'!$F$39=TRUE,'4-man'!$F$39="TRUE",'4-man'!$F$39="Yes"),25,50)),10,0)+IF('4-man'!K$54=$Q$187,25,0))</f>
        <v/>
      </c>
      <c r="L181">
        <f>MIN(100,K182+IF(AND(K182&lt;100,K183+1&gt;=IF(OR('4-man'!$F$39=TRUE,'4-man'!$F$39="TRUE",'4-man'!$F$39="Yes"),25,50)),10,0)+IF('4-man'!L$54=$Q$187,25,0))</f>
        <v/>
      </c>
      <c r="M181">
        <f>MIN(100,L182+IF(AND(L182&lt;100,L183+1&gt;=IF(OR('4-man'!$F$39=TRUE,'4-man'!$F$39="TRUE",'4-man'!$F$39="Yes"),25,50)),10,0)+IF('4-man'!M$54=$Q$187,25,0))</f>
        <v/>
      </c>
      <c r="N181">
        <f>MIN(100,M182+IF(AND(M182&lt;100,M183+1&gt;=IF(OR('4-man'!$F$39=TRUE,'4-man'!$F$39="TRUE",'4-man'!$F$39="Yes"),25,50)),10,0)+IF('4-man'!N$54=$Q$187,25,0))</f>
        <v/>
      </c>
      <c r="O181">
        <f>MIN(100,N182+IF(AND(N182&lt;100,N183+1&gt;=IF(OR('4-man'!$F$39=TRUE,'4-man'!$F$39="TRUE",'4-man'!$F$39="Yes"),25,50)),10,0)+IF('4-man'!O$54=$Q$187,25,0))</f>
        <v/>
      </c>
      <c r="P181">
        <f>MIN(100,O182+IF(AND(O182&lt;100,O183+1&gt;=IF(OR('4-man'!$F$39=TRUE,'4-man'!$F$39="TRUE",'4-man'!$F$39="Yes"),25,50)),10,0)+IF('4-man'!P$54=$Q$187,25,0))</f>
        <v/>
      </c>
      <c r="Q181">
        <f>MIN(100,P182+IF(AND(P182&lt;100,P183+1&gt;=IF(OR('4-man'!$F$39=TRUE,'4-man'!$F$39="TRUE",'4-man'!$F$39="Yes"),25,50)),10,0)+IF('4-man'!Q$54=$Q$187,25,0))</f>
        <v/>
      </c>
      <c r="R181">
        <f>MIN(100,Q182+IF(AND(Q182&lt;100,Q183+1&gt;=IF(OR('4-man'!$F$39=TRUE,'4-man'!$F$39="TRUE",'4-man'!$F$39="Yes"),25,50)),10,0)+IF('4-man'!R$54=$Q$187,25,0))</f>
        <v/>
      </c>
      <c r="S181">
        <f>MIN(100,R182+IF(AND(R182&lt;100,R183+1&gt;=IF(OR('4-man'!$F$39=TRUE,'4-man'!$F$39="TRUE",'4-man'!$F$39="Yes"),25,50)),10,0)+IF('4-man'!S$54=$Q$187,25,0))</f>
        <v/>
      </c>
      <c r="T181">
        <f>MIN(100,S182+IF(AND(S182&lt;100,S183+1&gt;=IF(OR('4-man'!$F$39=TRUE,'4-man'!$F$39="TRUE",'4-man'!$F$39="Yes"),25,50)),10,0)+IF('4-man'!T$54=$Q$187,25,0))</f>
        <v/>
      </c>
      <c r="U181">
        <f>MIN(100,T182+IF(AND(T182&lt;100,T183+1&gt;=IF(OR('4-man'!$F$39=TRUE,'4-man'!$F$39="TRUE",'4-man'!$F$39="Yes"),25,50)),10,0)+IF('4-man'!U$54=$Q$187,25,0))</f>
        <v/>
      </c>
      <c r="V181">
        <f>MIN(100,U182+IF(AND(U182&lt;100,U183+1&gt;=IF(OR('4-man'!$F$39=TRUE,'4-man'!$F$39="TRUE",'4-man'!$F$39="Yes"),25,50)),10,0)+IF('4-man'!V$54=$Q$187,25,0))</f>
        <v/>
      </c>
      <c r="W181">
        <f>MIN(100,V182+IF(AND(V182&lt;100,V183+1&gt;=IF(OR('4-man'!$F$39=TRUE,'4-man'!$F$39="TRUE",'4-man'!$F$39="Yes"),25,50)),10,0)+IF('4-man'!W$54=$Q$187,25,0))</f>
        <v/>
      </c>
      <c r="X181">
        <f>MIN(100,W182+IF(AND(W182&lt;100,W183+1&gt;=IF(OR('4-man'!$F$39=TRUE,'4-man'!$F$39="TRUE",'4-man'!$F$39="Yes"),25,50)),10,0)+IF('4-man'!X$54=$Q$187,25,0))</f>
        <v/>
      </c>
      <c r="Y181">
        <f>MIN(100,X182+IF(AND(X182&lt;100,X183+1&gt;=IF(OR('4-man'!$F$39=TRUE,'4-man'!$F$39="TRUE",'4-man'!$F$39="Yes"),25,50)),10,0)+IF('4-man'!Y$54=$Q$187,25,0))</f>
        <v/>
      </c>
      <c r="Z181">
        <f>MIN(100,Y182+IF(AND(Y182&lt;100,Y183+1&gt;=IF(OR('4-man'!$F$39=TRUE,'4-man'!$F$39="TRUE",'4-man'!$F$39="Yes"),25,50)),10,0)+IF('4-man'!Z$54=$Q$187,25,0))</f>
        <v/>
      </c>
      <c r="AA181">
        <f>MIN(100,Z182+IF(AND(Z182&lt;100,Z183+1&gt;=IF(OR('4-man'!$F$39=TRUE,'4-man'!$F$39="TRUE",'4-man'!$F$39="Yes"),25,50)),10,0)+IF('4-man'!AA$54=$Q$187,25,0))</f>
        <v/>
      </c>
      <c r="AB181">
        <f>MIN(100,AA182+IF(AND(AA182&lt;100,AA183+1&gt;=IF(OR('4-man'!$F$39=TRUE,'4-man'!$F$39="TRUE",'4-man'!$F$39="Yes"),25,50)),10,0)+IF('4-man'!AB$54=$Q$187,25,0))</f>
        <v/>
      </c>
      <c r="AC181">
        <f>MIN(100,AB182+IF(AND(AB182&lt;100,AB183+1&gt;=IF(OR('4-man'!$F$39=TRUE,'4-man'!$F$39="TRUE",'4-man'!$F$39="Yes"),25,50)),10,0)+IF('4-man'!AC$54=$Q$187,25,0))</f>
        <v/>
      </c>
      <c r="AD181">
        <f>MIN(100,AC182+IF(AND(AC182&lt;100,AC183+1&gt;=IF(OR('4-man'!$F$39=TRUE,'4-man'!$F$39="TRUE",'4-man'!$F$39="Yes"),25,50)),10,0)+IF('4-man'!AD$54=$Q$187,25,0))</f>
        <v/>
      </c>
      <c r="AE181">
        <f>MIN(100,AD182+IF(AND(AD182&lt;100,AD183+1&gt;=IF(OR('4-man'!$F$39=TRUE,'4-man'!$F$39="TRUE",'4-man'!$F$39="Yes"),25,50)),10,0)+IF('4-man'!AE$54=$Q$187,25,0))</f>
        <v/>
      </c>
      <c r="AF181">
        <f>MIN(100,AE182+IF(AND(AE182&lt;100,AE183+1&gt;=IF(OR('4-man'!$F$39=TRUE,'4-man'!$F$39="TRUE",'4-man'!$F$39="Yes"),25,50)),10,0)+IF('4-man'!AF$54=$Q$187,25,0))</f>
        <v/>
      </c>
      <c r="AG181">
        <f>MIN(100,AF182+IF(AND(AF182&lt;100,AF183+1&gt;=IF(OR('4-man'!$F$39=TRUE,'4-man'!$F$39="TRUE",'4-man'!$F$39="Yes"),25,50)),10,0)+IF('4-man'!AG$54=$Q$187,25,0))</f>
        <v/>
      </c>
      <c r="AH181">
        <f>MIN(100,AG182+IF(AND(AG182&lt;100,AG183+1&gt;=IF(OR('4-man'!$F$39=TRUE,'4-man'!$F$39="TRUE",'4-man'!$F$39="Yes"),25,50)),10,0)+IF('4-man'!AH$54=$Q$187,25,0))</f>
        <v/>
      </c>
      <c r="AI181">
        <f>MIN(100,AH182+IF(AND(AH182&lt;100,AH183+1&gt;=IF(OR('4-man'!$F$39=TRUE,'4-man'!$F$39="TRUE",'4-man'!$F$39="Yes"),25,50)),10,0)+IF('4-man'!AI$54=$Q$187,25,0))</f>
        <v/>
      </c>
      <c r="AJ181">
        <f>MIN(100,AI182+IF(AND(AI182&lt;100,AI183+1&gt;=IF(OR('4-man'!$F$39=TRUE,'4-man'!$F$39="TRUE",'4-man'!$F$39="Yes"),25,50)),10,0)+IF('4-man'!AJ$54=$Q$187,25,0))</f>
        <v/>
      </c>
      <c r="AK181">
        <f>MIN(100,AJ182+IF(AND(AJ182&lt;100,AJ183+1&gt;=IF(OR('4-man'!$F$39=TRUE,'4-man'!$F$39="TRUE",'4-man'!$F$39="Yes"),25,50)),10,0)+IF('4-man'!AK$54=$Q$187,25,0))</f>
        <v/>
      </c>
      <c r="AL181">
        <f>MIN(100,AK182+IF(AND(AK182&lt;100,AK183+1&gt;=IF(OR('4-man'!$F$39=TRUE,'4-man'!$F$39="TRUE",'4-man'!$F$39="Yes"),25,50)),10,0)+IF('4-man'!AL$54=$Q$187,25,0))</f>
        <v/>
      </c>
      <c r="AM181">
        <f>MIN(100,AL182+IF(AND(AL182&lt;100,AL183+1&gt;=IF(OR('4-man'!$F$39=TRUE,'4-man'!$F$39="TRUE",'4-man'!$F$39="Yes"),25,50)),10,0)+IF('4-man'!AM$54=$Q$187,25,0))</f>
        <v/>
      </c>
      <c r="AN181">
        <f>MIN(100,AM182+IF(AND(AM182&lt;100,AM183+1&gt;=IF(OR('4-man'!$F$39=TRUE,'4-man'!$F$39="TRUE",'4-man'!$F$39="Yes"),25,50)),10,0)+IF('4-man'!AN$54=$Q$187,25,0))</f>
        <v/>
      </c>
      <c r="AO181">
        <f>MIN(100,AN182+IF(AND(AN182&lt;100,AN183+1&gt;=IF(OR('4-man'!$F$39=TRUE,'4-man'!$F$39="TRUE",'4-man'!$F$39="Yes"),25,50)),10,0)+IF('4-man'!AO$54=$Q$187,25,0))</f>
        <v/>
      </c>
      <c r="AP181">
        <f>MIN(100,AO182+IF(AND(AO182&lt;100,AO183+1&gt;=IF(OR('4-man'!$F$39=TRUE,'4-man'!$F$39="TRUE",'4-man'!$F$39="Yes"),25,50)),10,0)+IF('4-man'!AP$54=$Q$187,25,0))</f>
        <v/>
      </c>
      <c r="AQ181">
        <f>MIN(100,AP182+IF(AND(AP182&lt;100,AP183+1&gt;=IF(OR('4-man'!$F$39=TRUE,'4-man'!$F$39="TRUE",'4-man'!$F$39="Yes"),25,50)),10,0)+IF('4-man'!AQ$54=$Q$187,25,0))</f>
        <v/>
      </c>
      <c r="AR181">
        <f>MIN(100,AQ182+IF(AND(AQ182&lt;100,AQ183+1&gt;=IF(OR('4-man'!$F$39=TRUE,'4-man'!$F$39="TRUE",'4-man'!$F$39="Yes"),25,50)),10,0)+IF('4-man'!AR$54=$Q$187,25,0))</f>
        <v/>
      </c>
      <c r="AS181">
        <f>MIN(100,AR182+IF(AND(AR182&lt;100,AR183+1&gt;=IF(OR('4-man'!$F$39=TRUE,'4-man'!$F$39="TRUE",'4-man'!$F$39="Yes"),25,50)),10,0)+IF('4-man'!AS$54=$Q$187,25,0))</f>
        <v/>
      </c>
      <c r="AT181">
        <f>MIN(100,AS182+IF(AND(AS182&lt;100,AS183+1&gt;=IF(OR('4-man'!$F$39=TRUE,'4-man'!$F$39="TRUE",'4-man'!$F$39="Yes"),25,50)),10,0)+IF('4-man'!AT$54=$Q$187,25,0))</f>
        <v/>
      </c>
      <c r="AU181">
        <f>MIN(100,AT182+IF(AND(AT182&lt;100,AT183+1&gt;=IF(OR('4-man'!$F$39=TRUE,'4-man'!$F$39="TRUE",'4-man'!$F$39="Yes"),25,50)),10,0)+IF('4-man'!AU$54=$Q$187,25,0))</f>
        <v/>
      </c>
      <c r="AV181">
        <f>MIN(100,AU182+IF(AND(AU182&lt;100,AU183+1&gt;=IF(OR('4-man'!$F$39=TRUE,'4-man'!$F$39="TRUE",'4-man'!$F$39="Yes"),25,50)),10,0)+IF('4-man'!AV$54=$Q$187,25,0))</f>
        <v/>
      </c>
      <c r="AW181">
        <f>MIN(100,AV182+IF(AND(AV182&lt;100,AV183+1&gt;=IF(OR('4-man'!$F$39=TRUE,'4-man'!$F$39="TRUE",'4-man'!$F$39="Yes"),25,50)),10,0)+IF('4-man'!AW$54=$Q$187,25,0))</f>
        <v/>
      </c>
      <c r="AX181">
        <f>MIN(100,AW182+IF(AND(AW182&lt;100,AW183+1&gt;=IF(OR('4-man'!$F$39=TRUE,'4-man'!$F$39="TRUE",'4-man'!$F$39="Yes"),25,50)),10,0)+IF('4-man'!AX$54=$Q$187,25,0))</f>
        <v/>
      </c>
      <c r="AY181">
        <f>MIN(100,AX182+IF(AND(AX182&lt;100,AX183+1&gt;=IF(OR('4-man'!$F$39=TRUE,'4-man'!$F$39="TRUE",'4-man'!$F$39="Yes"),25,50)),10,0)+IF('4-man'!AY$54=$Q$187,25,0))</f>
        <v/>
      </c>
      <c r="AZ181">
        <f>MIN(100,AY182+IF(AND(AY182&lt;100,AY183+1&gt;=IF(OR('4-man'!$F$39=TRUE,'4-man'!$F$39="TRUE",'4-man'!$F$39="Yes"),25,50)),10,0)+IF('4-man'!AZ$54=$Q$187,25,0))</f>
        <v/>
      </c>
      <c r="BA181">
        <f>MIN(100,AZ182+IF(AND(AZ182&lt;100,AZ183+1&gt;=IF(OR('4-man'!$F$39=TRUE,'4-man'!$F$39="TRUE",'4-man'!$F$39="Yes"),25,50)),10,0)+IF('4-man'!BA$54=$Q$187,25,0))</f>
        <v/>
      </c>
      <c r="BB181">
        <f>MIN(100,BA182+IF(AND(BA182&lt;100,BA183+1&gt;=IF(OR('4-man'!$F$39=TRUE,'4-man'!$F$39="TRUE",'4-man'!$F$39="Yes"),25,50)),10,0)+IF('4-man'!BB$54=$Q$187,25,0))</f>
        <v/>
      </c>
      <c r="BC181">
        <f>MIN(100,BB182+IF(AND(BB182&lt;100,BB183+1&gt;=IF(OR('4-man'!$F$39=TRUE,'4-man'!$F$39="TRUE",'4-man'!$F$39="Yes"),25,50)),10,0)+IF('4-man'!BC$54=$Q$187,25,0))</f>
        <v/>
      </c>
      <c r="BD181">
        <f>MIN(100,BC182+IF(AND(BC182&lt;100,BC183+1&gt;=IF(OR('4-man'!$F$39=TRUE,'4-man'!$F$39="TRUE",'4-man'!$F$39="Yes"),25,50)),10,0)+IF('4-man'!BD$54=$Q$187,25,0))</f>
        <v/>
      </c>
      <c r="BE181">
        <f>MIN(100,BD182+IF(AND(BD182&lt;100,BD183+1&gt;=IF(OR('4-man'!$F$39=TRUE,'4-man'!$F$39="TRUE",'4-man'!$F$39="Yes"),25,50)),10,0)+IF('4-man'!BE$54=$Q$187,25,0))</f>
        <v/>
      </c>
      <c r="BF181">
        <f>MIN(100,BE182+IF(AND(BE182&lt;100,BE183+1&gt;=IF(OR('4-man'!$F$39=TRUE,'4-man'!$F$39="TRUE",'4-man'!$F$39="Yes"),25,50)),10,0)+IF('4-man'!BF$54=$Q$187,25,0))</f>
        <v/>
      </c>
      <c r="BG181">
        <f>MIN(100,BF182+IF(AND(BF182&lt;100,BF183+1&gt;=IF(OR('4-man'!$F$39=TRUE,'4-man'!$F$39="TRUE",'4-man'!$F$39="Yes"),25,50)),10,0)+IF('4-man'!BG$54=$Q$187,25,0))</f>
        <v/>
      </c>
      <c r="BH181">
        <f>MIN(100,BG182+IF(AND(BG182&lt;100,BG183+1&gt;=IF(OR('4-man'!$F$39=TRUE,'4-man'!$F$39="TRUE",'4-man'!$F$39="Yes"),25,50)),10,0)+IF('4-man'!BH$54=$Q$187,25,0))</f>
        <v/>
      </c>
      <c r="BI181">
        <f>MIN(100,BH182+IF(AND(BH182&lt;100,BH183+1&gt;=IF(OR('4-man'!$F$39=TRUE,'4-man'!$F$39="TRUE",'4-man'!$F$39="Yes"),25,50)),10,0)+IF('4-man'!BI$54=$Q$187,25,0))</f>
        <v/>
      </c>
      <c r="BJ181">
        <f>MIN(100,BI182+IF(AND(BI182&lt;100,BI183+1&gt;=IF(OR('4-man'!$F$39=TRUE,'4-man'!$F$39="TRUE",'4-man'!$F$39="Yes"),25,50)),10,0)+IF('4-man'!BJ$54=$Q$187,25,0))</f>
        <v/>
      </c>
      <c r="BK181">
        <f>MIN(100,BJ182+IF(AND(BJ182&lt;100,BJ183+1&gt;=IF(OR('4-man'!$F$39=TRUE,'4-man'!$F$39="TRUE",'4-man'!$F$39="Yes"),25,50)),10,0)+IF('4-man'!BK$54=$Q$187,25,0))</f>
        <v/>
      </c>
      <c r="BL181">
        <f>MIN(100,BK182+IF(AND(BK182&lt;100,BK183+1&gt;=IF(OR('4-man'!$F$39=TRUE,'4-man'!$F$39="TRUE",'4-man'!$F$39="Yes"),25,50)),10,0)+IF('4-man'!BL$54=$Q$187,25,0))</f>
        <v/>
      </c>
      <c r="BM181">
        <f>MIN(100,BL182+IF(AND(BL182&lt;100,BL183+1&gt;=IF(OR('4-man'!$F$39=TRUE,'4-man'!$F$39="TRUE",'4-man'!$F$39="Yes"),25,50)),10,0)+IF('4-man'!BM$54=$Q$187,25,0))</f>
        <v/>
      </c>
      <c r="BN181">
        <f>MIN(100,BM182+IF(AND(BM182&lt;100,BM183+1&gt;=IF(OR('4-man'!$F$39=TRUE,'4-man'!$F$39="TRUE",'4-man'!$F$39="Yes"),25,50)),10,0)+IF('4-man'!BN$54=$Q$187,25,0))</f>
        <v/>
      </c>
      <c r="BO181">
        <f>MIN(100,BN182+IF(AND(BN182&lt;100,BN183+1&gt;=IF(OR('4-man'!$F$39=TRUE,'4-man'!$F$39="TRUE",'4-man'!$F$39="Yes"),25,50)),10,0)+IF('4-man'!BO$54=$Q$187,25,0))</f>
        <v/>
      </c>
      <c r="BP181">
        <f>MIN(100,BO182+IF(AND(BO182&lt;100,BO183+1&gt;=IF(OR('4-man'!$F$39=TRUE,'4-man'!$F$39="TRUE",'4-man'!$F$39="Yes"),25,50)),10,0)+IF('4-man'!BP$54=$Q$187,25,0))</f>
        <v/>
      </c>
      <c r="BQ181">
        <f>MIN(100,BP182+IF(AND(BP182&lt;100,BP183+1&gt;=IF(OR('4-man'!$F$39=TRUE,'4-man'!$F$39="TRUE",'4-man'!$F$39="Yes"),25,50)),10,0)+IF('4-man'!BQ$54=$Q$187,25,0))</f>
        <v/>
      </c>
      <c r="BR181">
        <f>MIN(100,BQ182+IF(AND(BQ182&lt;100,BQ183+1&gt;=IF(OR('4-man'!$F$39=TRUE,'4-man'!$F$39="TRUE",'4-man'!$F$39="Yes"),25,50)),10,0)+IF('4-man'!BR$54=$Q$187,25,0))</f>
        <v/>
      </c>
      <c r="BS181">
        <f>MIN(100,BR182+IF(AND(BR182&lt;100,BR183+1&gt;=IF(OR('4-man'!$F$39=TRUE,'4-man'!$F$39="TRUE",'4-man'!$F$39="Yes"),25,50)),10,0)+IF('4-man'!BS$54=$Q$187,25,0))</f>
        <v/>
      </c>
      <c r="BT181">
        <f>MIN(100,BS182+IF(AND(BS182&lt;100,BS183+1&gt;=IF(OR('4-man'!$F$39=TRUE,'4-man'!$F$39="TRUE",'4-man'!$F$39="Yes"),25,50)),10,0)+IF('4-man'!BT$54=$Q$187,25,0))</f>
        <v/>
      </c>
      <c r="BU181">
        <f>MIN(100,BT182+IF(AND(BT182&lt;100,BT183+1&gt;=IF(OR('4-man'!$F$39=TRUE,'4-man'!$F$39="TRUE",'4-man'!$F$39="Yes"),25,50)),10,0)+IF('4-man'!BU$54=$Q$187,25,0))</f>
        <v/>
      </c>
      <c r="BV181">
        <f>MIN(100,BU182+IF(AND(BU182&lt;100,BU183+1&gt;=IF(OR('4-man'!$F$39=TRUE,'4-man'!$F$39="TRUE",'4-man'!$F$39="Yes"),25,50)),10,0)+IF('4-man'!BV$54=$Q$187,25,0))</f>
        <v/>
      </c>
      <c r="BW181">
        <f>MIN(100,BV182+IF(AND(BV182&lt;100,BV183+1&gt;=IF(OR('4-man'!$F$39=TRUE,'4-man'!$F$39="TRUE",'4-man'!$F$39="Yes"),25,50)),10,0)+IF('4-man'!BW$54=$Q$187,25,0))</f>
        <v/>
      </c>
      <c r="BX181">
        <f>MIN(100,BW182+IF(AND(BW182&lt;100,BW183+1&gt;=IF(OR('4-man'!$F$39=TRUE,'4-man'!$F$39="TRUE",'4-man'!$F$39="Yes"),25,50)),10,0)+IF('4-man'!BX$54=$Q$187,25,0))</f>
        <v/>
      </c>
      <c r="BY181">
        <f>MIN(100,BX182+IF(AND(BX182&lt;100,BX183+1&gt;=IF(OR('4-man'!$F$39=TRUE,'4-man'!$F$39="TRUE",'4-man'!$F$39="Yes"),25,50)),10,0)+IF('4-man'!BY$54=$Q$187,25,0))</f>
        <v/>
      </c>
      <c r="BZ181">
        <f>MIN(100,BY182+IF(AND(BY182&lt;100,BY183+1&gt;=IF(OR('4-man'!$F$39=TRUE,'4-man'!$F$39="TRUE",'4-man'!$F$39="Yes"),25,50)),10,0)+IF('4-man'!BZ$54=$Q$187,25,0))</f>
        <v/>
      </c>
      <c r="CA181">
        <f>MIN(100,BZ182+IF(AND(BZ182&lt;100,BZ183+1&gt;=IF(OR('4-man'!$F$39=TRUE,'4-man'!$F$39="TRUE",'4-man'!$F$39="Yes"),25,50)),10,0)+IF('4-man'!CA$54=$Q$187,25,0))</f>
        <v/>
      </c>
      <c r="CB181">
        <f>MIN(100,CA182+IF(AND(CA182&lt;100,CA183+1&gt;=IF(OR('4-man'!$F$39=TRUE,'4-man'!$F$39="TRUE",'4-man'!$F$39="Yes"),25,50)),10,0)+IF('4-man'!CB$54=$Q$187,25,0))</f>
        <v/>
      </c>
      <c r="CC181">
        <f>MIN(100,CB182+IF(AND(CB182&lt;100,CB183+1&gt;=IF(OR('4-man'!$F$39=TRUE,'4-man'!$F$39="TRUE",'4-man'!$F$39="Yes"),25,50)),10,0)+IF('4-man'!CC$54=$Q$187,25,0))</f>
        <v/>
      </c>
      <c r="CD181">
        <f>MIN(100,CC182+IF(AND(CC182&lt;100,CC183+1&gt;=IF(OR('4-man'!$F$39=TRUE,'4-man'!$F$39="TRUE",'4-man'!$F$39="Yes"),25,50)),10,0)+IF('4-man'!CD$54=$Q$187,25,0))</f>
        <v/>
      </c>
    </row>
    <row r="182">
      <c r="A182" t="inlineStr">
        <is>
          <t>P3 spec</t>
        </is>
      </c>
      <c r="B182">
        <f>IF('4-man'!$C$39="",100,'4-man'!$C$39)</f>
        <v/>
      </c>
      <c r="C182">
        <f>IF('4-man'!C$57="R",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4-man'!D$57="R",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4-man'!E$57="R",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4-man'!F$57="R",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4-man'!G$57="R",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4-man'!H$57="R",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4-man'!I$57="R",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4-man'!J$57="R",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4-man'!K$57="R",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4-man'!L$57="R",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4-man'!M$57="R",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4-man'!N$57="R",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4-man'!O$57="R",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4-man'!P$57="R",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4-man'!Q$57="R",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4-man'!R$57="R",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4-man'!S$57="R",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4-man'!T$57="R",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4-man'!U$57="R",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4-man'!V$57="R",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4-man'!W$57="R",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4-man'!X$57="R",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4-man'!Y$57="R",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4-man'!Z$57="R",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4-man'!AA$57="R",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4-man'!AB$57="R",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4-man'!AC$57="R",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4-man'!AD$57="R",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4-man'!AE$57="R",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4-man'!AF$57="R",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4-man'!AG$57="R",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4-man'!AH$57="R",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4-man'!AI$57="R",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4-man'!AJ$57="R",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4-man'!AK$57="R",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4-man'!AL$57="R",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4-man'!AM$57="R",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4-man'!AN$57="R",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4-man'!AO$57="R",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4-man'!AP$57="R",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4-man'!AQ$57="R",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4-man'!AR$57="R",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4-man'!AS$57="R",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4-man'!AT$57="R",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4-man'!AU$57="R",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4-man'!AV$57="R",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4-man'!AW$57="R",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4-man'!AX$57="R",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4-man'!AY$57="R",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4-man'!AZ$57="R",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4-man'!BA$57="R",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4-man'!BB$57="R",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4-man'!BC$57="R",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4-man'!BD$57="R",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4-man'!BE$57="R",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4-man'!BF$57="R",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4-man'!BG$57="R",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4-man'!BH$57="R",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4-man'!BI$57="R",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4-man'!BJ$57="R",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4-man'!BK$57="R",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4-man'!BL$57="R",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4-man'!BM$57="R",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4-man'!BN$57="R",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4-man'!BO$57="R",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4-man'!BP$57="R",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4-man'!BQ$57="R",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4-man'!BR$57="R",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4-man'!BS$57="R",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4-man'!BT$57="R",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4-man'!BU$57="R",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4-man'!BV$57="R",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4-man'!BW$57="R",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4-man'!BX$57="R",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4-man'!BY$57="R",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4-man'!BZ$57="R",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4-man'!CA$57="R",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4-man'!CB$57="R",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4-man'!CC$57="R",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4-man'!CD$57="R",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IF('4-man'!C$57="R",0,IF(B182&gt;=100,0,IF(B183+1&gt;=IF(OR('4-man'!$F$39=TRUE,'4-man'!$F$39="TRUE",'4-man'!$F$39="Yes"),25,50),0,B183+1)))</f>
        <v/>
      </c>
      <c r="D183">
        <f>IF('4-man'!D$57="R",0,IF(C182&gt;=100,0,IF(C183+1&gt;=IF(OR('4-man'!$F$39=TRUE,'4-man'!$F$39="TRUE",'4-man'!$F$39="Yes"),25,50),0,C183+1)))</f>
        <v/>
      </c>
      <c r="E183">
        <f>IF('4-man'!E$57="R",0,IF(D182&gt;=100,0,IF(D183+1&gt;=IF(OR('4-man'!$F$39=TRUE,'4-man'!$F$39="TRUE",'4-man'!$F$39="Yes"),25,50),0,D183+1)))</f>
        <v/>
      </c>
      <c r="F183">
        <f>IF('4-man'!F$57="R",0,IF(E182&gt;=100,0,IF(E183+1&gt;=IF(OR('4-man'!$F$39=TRUE,'4-man'!$F$39="TRUE",'4-man'!$F$39="Yes"),25,50),0,E183+1)))</f>
        <v/>
      </c>
      <c r="G183">
        <f>IF('4-man'!G$57="R",0,IF(F182&gt;=100,0,IF(F183+1&gt;=IF(OR('4-man'!$F$39=TRUE,'4-man'!$F$39="TRUE",'4-man'!$F$39="Yes"),25,50),0,F183+1)))</f>
        <v/>
      </c>
      <c r="H183">
        <f>IF('4-man'!H$57="R",0,IF(G182&gt;=100,0,IF(G183+1&gt;=IF(OR('4-man'!$F$39=TRUE,'4-man'!$F$39="TRUE",'4-man'!$F$39="Yes"),25,50),0,G183+1)))</f>
        <v/>
      </c>
      <c r="I183">
        <f>IF('4-man'!I$57="R",0,IF(H182&gt;=100,0,IF(H183+1&gt;=IF(OR('4-man'!$F$39=TRUE,'4-man'!$F$39="TRUE",'4-man'!$F$39="Yes"),25,50),0,H183+1)))</f>
        <v/>
      </c>
      <c r="J183">
        <f>IF('4-man'!J$57="R",0,IF(I182&gt;=100,0,IF(I183+1&gt;=IF(OR('4-man'!$F$39=TRUE,'4-man'!$F$39="TRUE",'4-man'!$F$39="Yes"),25,50),0,I183+1)))</f>
        <v/>
      </c>
      <c r="K183">
        <f>IF('4-man'!K$57="R",0,IF(J182&gt;=100,0,IF(J183+1&gt;=IF(OR('4-man'!$F$39=TRUE,'4-man'!$F$39="TRUE",'4-man'!$F$39="Yes"),25,50),0,J183+1)))</f>
        <v/>
      </c>
      <c r="L183">
        <f>IF('4-man'!L$57="R",0,IF(K182&gt;=100,0,IF(K183+1&gt;=IF(OR('4-man'!$F$39=TRUE,'4-man'!$F$39="TRUE",'4-man'!$F$39="Yes"),25,50),0,K183+1)))</f>
        <v/>
      </c>
      <c r="M183">
        <f>IF('4-man'!M$57="R",0,IF(L182&gt;=100,0,IF(L183+1&gt;=IF(OR('4-man'!$F$39=TRUE,'4-man'!$F$39="TRUE",'4-man'!$F$39="Yes"),25,50),0,L183+1)))</f>
        <v/>
      </c>
      <c r="N183">
        <f>IF('4-man'!N$57="R",0,IF(M182&gt;=100,0,IF(M183+1&gt;=IF(OR('4-man'!$F$39=TRUE,'4-man'!$F$39="TRUE",'4-man'!$F$39="Yes"),25,50),0,M183+1)))</f>
        <v/>
      </c>
      <c r="O183">
        <f>IF('4-man'!O$57="R",0,IF(N182&gt;=100,0,IF(N183+1&gt;=IF(OR('4-man'!$F$39=TRUE,'4-man'!$F$39="TRUE",'4-man'!$F$39="Yes"),25,50),0,N183+1)))</f>
        <v/>
      </c>
      <c r="P183">
        <f>IF('4-man'!P$57="R",0,IF(O182&gt;=100,0,IF(O183+1&gt;=IF(OR('4-man'!$F$39=TRUE,'4-man'!$F$39="TRUE",'4-man'!$F$39="Yes"),25,50),0,O183+1)))</f>
        <v/>
      </c>
      <c r="Q183">
        <f>IF('4-man'!Q$57="R",0,IF(P182&gt;=100,0,IF(P183+1&gt;=IF(OR('4-man'!$F$39=TRUE,'4-man'!$F$39="TRUE",'4-man'!$F$39="Yes"),25,50),0,P183+1)))</f>
        <v/>
      </c>
      <c r="R183">
        <f>IF('4-man'!R$57="R",0,IF(Q182&gt;=100,0,IF(Q183+1&gt;=IF(OR('4-man'!$F$39=TRUE,'4-man'!$F$39="TRUE",'4-man'!$F$39="Yes"),25,50),0,Q183+1)))</f>
        <v/>
      </c>
      <c r="S183">
        <f>IF('4-man'!S$57="R",0,IF(R182&gt;=100,0,IF(R183+1&gt;=IF(OR('4-man'!$F$39=TRUE,'4-man'!$F$39="TRUE",'4-man'!$F$39="Yes"),25,50),0,R183+1)))</f>
        <v/>
      </c>
      <c r="T183">
        <f>IF('4-man'!T$57="R",0,IF(S182&gt;=100,0,IF(S183+1&gt;=IF(OR('4-man'!$F$39=TRUE,'4-man'!$F$39="TRUE",'4-man'!$F$39="Yes"),25,50),0,S183+1)))</f>
        <v/>
      </c>
      <c r="U183">
        <f>IF('4-man'!U$57="R",0,IF(T182&gt;=100,0,IF(T183+1&gt;=IF(OR('4-man'!$F$39=TRUE,'4-man'!$F$39="TRUE",'4-man'!$F$39="Yes"),25,50),0,T183+1)))</f>
        <v/>
      </c>
      <c r="V183">
        <f>IF('4-man'!V$57="R",0,IF(U182&gt;=100,0,IF(U183+1&gt;=IF(OR('4-man'!$F$39=TRUE,'4-man'!$F$39="TRUE",'4-man'!$F$39="Yes"),25,50),0,U183+1)))</f>
        <v/>
      </c>
      <c r="W183">
        <f>IF('4-man'!W$57="R",0,IF(V182&gt;=100,0,IF(V183+1&gt;=IF(OR('4-man'!$F$39=TRUE,'4-man'!$F$39="TRUE",'4-man'!$F$39="Yes"),25,50),0,V183+1)))</f>
        <v/>
      </c>
      <c r="X183">
        <f>IF('4-man'!X$57="R",0,IF(W182&gt;=100,0,IF(W183+1&gt;=IF(OR('4-man'!$F$39=TRUE,'4-man'!$F$39="TRUE",'4-man'!$F$39="Yes"),25,50),0,W183+1)))</f>
        <v/>
      </c>
      <c r="Y183">
        <f>IF('4-man'!Y$57="R",0,IF(X182&gt;=100,0,IF(X183+1&gt;=IF(OR('4-man'!$F$39=TRUE,'4-man'!$F$39="TRUE",'4-man'!$F$39="Yes"),25,50),0,X183+1)))</f>
        <v/>
      </c>
      <c r="Z183">
        <f>IF('4-man'!Z$57="R",0,IF(Y182&gt;=100,0,IF(Y183+1&gt;=IF(OR('4-man'!$F$39=TRUE,'4-man'!$F$39="TRUE",'4-man'!$F$39="Yes"),25,50),0,Y183+1)))</f>
        <v/>
      </c>
      <c r="AA183">
        <f>IF('4-man'!AA$57="R",0,IF(Z182&gt;=100,0,IF(Z183+1&gt;=IF(OR('4-man'!$F$39=TRUE,'4-man'!$F$39="TRUE",'4-man'!$F$39="Yes"),25,50),0,Z183+1)))</f>
        <v/>
      </c>
      <c r="AB183">
        <f>IF('4-man'!AB$57="R",0,IF(AA182&gt;=100,0,IF(AA183+1&gt;=IF(OR('4-man'!$F$39=TRUE,'4-man'!$F$39="TRUE",'4-man'!$F$39="Yes"),25,50),0,AA183+1)))</f>
        <v/>
      </c>
      <c r="AC183">
        <f>IF('4-man'!AC$57="R",0,IF(AB182&gt;=100,0,IF(AB183+1&gt;=IF(OR('4-man'!$F$39=TRUE,'4-man'!$F$39="TRUE",'4-man'!$F$39="Yes"),25,50),0,AB183+1)))</f>
        <v/>
      </c>
      <c r="AD183">
        <f>IF('4-man'!AD$57="R",0,IF(AC182&gt;=100,0,IF(AC183+1&gt;=IF(OR('4-man'!$F$39=TRUE,'4-man'!$F$39="TRUE",'4-man'!$F$39="Yes"),25,50),0,AC183+1)))</f>
        <v/>
      </c>
      <c r="AE183">
        <f>IF('4-man'!AE$57="R",0,IF(AD182&gt;=100,0,IF(AD183+1&gt;=IF(OR('4-man'!$F$39=TRUE,'4-man'!$F$39="TRUE",'4-man'!$F$39="Yes"),25,50),0,AD183+1)))</f>
        <v/>
      </c>
      <c r="AF183">
        <f>IF('4-man'!AF$57="R",0,IF(AE182&gt;=100,0,IF(AE183+1&gt;=IF(OR('4-man'!$F$39=TRUE,'4-man'!$F$39="TRUE",'4-man'!$F$39="Yes"),25,50),0,AE183+1)))</f>
        <v/>
      </c>
      <c r="AG183">
        <f>IF('4-man'!AG$57="R",0,IF(AF182&gt;=100,0,IF(AF183+1&gt;=IF(OR('4-man'!$F$39=TRUE,'4-man'!$F$39="TRUE",'4-man'!$F$39="Yes"),25,50),0,AF183+1)))</f>
        <v/>
      </c>
      <c r="AH183">
        <f>IF('4-man'!AH$57="R",0,IF(AG182&gt;=100,0,IF(AG183+1&gt;=IF(OR('4-man'!$F$39=TRUE,'4-man'!$F$39="TRUE",'4-man'!$F$39="Yes"),25,50),0,AG183+1)))</f>
        <v/>
      </c>
      <c r="AI183">
        <f>IF('4-man'!AI$57="R",0,IF(AH182&gt;=100,0,IF(AH183+1&gt;=IF(OR('4-man'!$F$39=TRUE,'4-man'!$F$39="TRUE",'4-man'!$F$39="Yes"),25,50),0,AH183+1)))</f>
        <v/>
      </c>
      <c r="AJ183">
        <f>IF('4-man'!AJ$57="R",0,IF(AI182&gt;=100,0,IF(AI183+1&gt;=IF(OR('4-man'!$F$39=TRUE,'4-man'!$F$39="TRUE",'4-man'!$F$39="Yes"),25,50),0,AI183+1)))</f>
        <v/>
      </c>
      <c r="AK183">
        <f>IF('4-man'!AK$57="R",0,IF(AJ182&gt;=100,0,IF(AJ183+1&gt;=IF(OR('4-man'!$F$39=TRUE,'4-man'!$F$39="TRUE",'4-man'!$F$39="Yes"),25,50),0,AJ183+1)))</f>
        <v/>
      </c>
      <c r="AL183">
        <f>IF('4-man'!AL$57="R",0,IF(AK182&gt;=100,0,IF(AK183+1&gt;=IF(OR('4-man'!$F$39=TRUE,'4-man'!$F$39="TRUE",'4-man'!$F$39="Yes"),25,50),0,AK183+1)))</f>
        <v/>
      </c>
      <c r="AM183">
        <f>IF('4-man'!AM$57="R",0,IF(AL182&gt;=100,0,IF(AL183+1&gt;=IF(OR('4-man'!$F$39=TRUE,'4-man'!$F$39="TRUE",'4-man'!$F$39="Yes"),25,50),0,AL183+1)))</f>
        <v/>
      </c>
      <c r="AN183">
        <f>IF('4-man'!AN$57="R",0,IF(AM182&gt;=100,0,IF(AM183+1&gt;=IF(OR('4-man'!$F$39=TRUE,'4-man'!$F$39="TRUE",'4-man'!$F$39="Yes"),25,50),0,AM183+1)))</f>
        <v/>
      </c>
      <c r="AO183">
        <f>IF('4-man'!AO$57="R",0,IF(AN182&gt;=100,0,IF(AN183+1&gt;=IF(OR('4-man'!$F$39=TRUE,'4-man'!$F$39="TRUE",'4-man'!$F$39="Yes"),25,50),0,AN183+1)))</f>
        <v/>
      </c>
      <c r="AP183">
        <f>IF('4-man'!AP$57="R",0,IF(AO182&gt;=100,0,IF(AO183+1&gt;=IF(OR('4-man'!$F$39=TRUE,'4-man'!$F$39="TRUE",'4-man'!$F$39="Yes"),25,50),0,AO183+1)))</f>
        <v/>
      </c>
      <c r="AQ183">
        <f>IF('4-man'!AQ$57="R",0,IF(AP182&gt;=100,0,IF(AP183+1&gt;=IF(OR('4-man'!$F$39=TRUE,'4-man'!$F$39="TRUE",'4-man'!$F$39="Yes"),25,50),0,AP183+1)))</f>
        <v/>
      </c>
      <c r="AR183">
        <f>IF('4-man'!AR$57="R",0,IF(AQ182&gt;=100,0,IF(AQ183+1&gt;=IF(OR('4-man'!$F$39=TRUE,'4-man'!$F$39="TRUE",'4-man'!$F$39="Yes"),25,50),0,AQ183+1)))</f>
        <v/>
      </c>
      <c r="AS183">
        <f>IF('4-man'!AS$57="R",0,IF(AR182&gt;=100,0,IF(AR183+1&gt;=IF(OR('4-man'!$F$39=TRUE,'4-man'!$F$39="TRUE",'4-man'!$F$39="Yes"),25,50),0,AR183+1)))</f>
        <v/>
      </c>
      <c r="AT183">
        <f>IF('4-man'!AT$57="R",0,IF(AS182&gt;=100,0,IF(AS183+1&gt;=IF(OR('4-man'!$F$39=TRUE,'4-man'!$F$39="TRUE",'4-man'!$F$39="Yes"),25,50),0,AS183+1)))</f>
        <v/>
      </c>
      <c r="AU183">
        <f>IF('4-man'!AU$57="R",0,IF(AT182&gt;=100,0,IF(AT183+1&gt;=IF(OR('4-man'!$F$39=TRUE,'4-man'!$F$39="TRUE",'4-man'!$F$39="Yes"),25,50),0,AT183+1)))</f>
        <v/>
      </c>
      <c r="AV183">
        <f>IF('4-man'!AV$57="R",0,IF(AU182&gt;=100,0,IF(AU183+1&gt;=IF(OR('4-man'!$F$39=TRUE,'4-man'!$F$39="TRUE",'4-man'!$F$39="Yes"),25,50),0,AU183+1)))</f>
        <v/>
      </c>
      <c r="AW183">
        <f>IF('4-man'!AW$57="R",0,IF(AV182&gt;=100,0,IF(AV183+1&gt;=IF(OR('4-man'!$F$39=TRUE,'4-man'!$F$39="TRUE",'4-man'!$F$39="Yes"),25,50),0,AV183+1)))</f>
        <v/>
      </c>
      <c r="AX183">
        <f>IF('4-man'!AX$57="R",0,IF(AW182&gt;=100,0,IF(AW183+1&gt;=IF(OR('4-man'!$F$39=TRUE,'4-man'!$F$39="TRUE",'4-man'!$F$39="Yes"),25,50),0,AW183+1)))</f>
        <v/>
      </c>
      <c r="AY183">
        <f>IF('4-man'!AY$57="R",0,IF(AX182&gt;=100,0,IF(AX183+1&gt;=IF(OR('4-man'!$F$39=TRUE,'4-man'!$F$39="TRUE",'4-man'!$F$39="Yes"),25,50),0,AX183+1)))</f>
        <v/>
      </c>
      <c r="AZ183">
        <f>IF('4-man'!AZ$57="R",0,IF(AY182&gt;=100,0,IF(AY183+1&gt;=IF(OR('4-man'!$F$39=TRUE,'4-man'!$F$39="TRUE",'4-man'!$F$39="Yes"),25,50),0,AY183+1)))</f>
        <v/>
      </c>
      <c r="BA183">
        <f>IF('4-man'!BA$57="R",0,IF(AZ182&gt;=100,0,IF(AZ183+1&gt;=IF(OR('4-man'!$F$39=TRUE,'4-man'!$F$39="TRUE",'4-man'!$F$39="Yes"),25,50),0,AZ183+1)))</f>
        <v/>
      </c>
      <c r="BB183">
        <f>IF('4-man'!BB$57="R",0,IF(BA182&gt;=100,0,IF(BA183+1&gt;=IF(OR('4-man'!$F$39=TRUE,'4-man'!$F$39="TRUE",'4-man'!$F$39="Yes"),25,50),0,BA183+1)))</f>
        <v/>
      </c>
      <c r="BC183">
        <f>IF('4-man'!BC$57="R",0,IF(BB182&gt;=100,0,IF(BB183+1&gt;=IF(OR('4-man'!$F$39=TRUE,'4-man'!$F$39="TRUE",'4-man'!$F$39="Yes"),25,50),0,BB183+1)))</f>
        <v/>
      </c>
      <c r="BD183">
        <f>IF('4-man'!BD$57="R",0,IF(BC182&gt;=100,0,IF(BC183+1&gt;=IF(OR('4-man'!$F$39=TRUE,'4-man'!$F$39="TRUE",'4-man'!$F$39="Yes"),25,50),0,BC183+1)))</f>
        <v/>
      </c>
      <c r="BE183">
        <f>IF('4-man'!BE$57="R",0,IF(BD182&gt;=100,0,IF(BD183+1&gt;=IF(OR('4-man'!$F$39=TRUE,'4-man'!$F$39="TRUE",'4-man'!$F$39="Yes"),25,50),0,BD183+1)))</f>
        <v/>
      </c>
      <c r="BF183">
        <f>IF('4-man'!BF$57="R",0,IF(BE182&gt;=100,0,IF(BE183+1&gt;=IF(OR('4-man'!$F$39=TRUE,'4-man'!$F$39="TRUE",'4-man'!$F$39="Yes"),25,50),0,BE183+1)))</f>
        <v/>
      </c>
      <c r="BG183">
        <f>IF('4-man'!BG$57="R",0,IF(BF182&gt;=100,0,IF(BF183+1&gt;=IF(OR('4-man'!$F$39=TRUE,'4-man'!$F$39="TRUE",'4-man'!$F$39="Yes"),25,50),0,BF183+1)))</f>
        <v/>
      </c>
      <c r="BH183">
        <f>IF('4-man'!BH$57="R",0,IF(BG182&gt;=100,0,IF(BG183+1&gt;=IF(OR('4-man'!$F$39=TRUE,'4-man'!$F$39="TRUE",'4-man'!$F$39="Yes"),25,50),0,BG183+1)))</f>
        <v/>
      </c>
      <c r="BI183">
        <f>IF('4-man'!BI$57="R",0,IF(BH182&gt;=100,0,IF(BH183+1&gt;=IF(OR('4-man'!$F$39=TRUE,'4-man'!$F$39="TRUE",'4-man'!$F$39="Yes"),25,50),0,BH183+1)))</f>
        <v/>
      </c>
      <c r="BJ183">
        <f>IF('4-man'!BJ$57="R",0,IF(BI182&gt;=100,0,IF(BI183+1&gt;=IF(OR('4-man'!$F$39=TRUE,'4-man'!$F$39="TRUE",'4-man'!$F$39="Yes"),25,50),0,BI183+1)))</f>
        <v/>
      </c>
      <c r="BK183">
        <f>IF('4-man'!BK$57="R",0,IF(BJ182&gt;=100,0,IF(BJ183+1&gt;=IF(OR('4-man'!$F$39=TRUE,'4-man'!$F$39="TRUE",'4-man'!$F$39="Yes"),25,50),0,BJ183+1)))</f>
        <v/>
      </c>
      <c r="BL183">
        <f>IF('4-man'!BL$57="R",0,IF(BK182&gt;=100,0,IF(BK183+1&gt;=IF(OR('4-man'!$F$39=TRUE,'4-man'!$F$39="TRUE",'4-man'!$F$39="Yes"),25,50),0,BK183+1)))</f>
        <v/>
      </c>
      <c r="BM183">
        <f>IF('4-man'!BM$57="R",0,IF(BL182&gt;=100,0,IF(BL183+1&gt;=IF(OR('4-man'!$F$39=TRUE,'4-man'!$F$39="TRUE",'4-man'!$F$39="Yes"),25,50),0,BL183+1)))</f>
        <v/>
      </c>
      <c r="BN183">
        <f>IF('4-man'!BN$57="R",0,IF(BM182&gt;=100,0,IF(BM183+1&gt;=IF(OR('4-man'!$F$39=TRUE,'4-man'!$F$39="TRUE",'4-man'!$F$39="Yes"),25,50),0,BM183+1)))</f>
        <v/>
      </c>
      <c r="BO183">
        <f>IF('4-man'!BO$57="R",0,IF(BN182&gt;=100,0,IF(BN183+1&gt;=IF(OR('4-man'!$F$39=TRUE,'4-man'!$F$39="TRUE",'4-man'!$F$39="Yes"),25,50),0,BN183+1)))</f>
        <v/>
      </c>
      <c r="BP183">
        <f>IF('4-man'!BP$57="R",0,IF(BO182&gt;=100,0,IF(BO183+1&gt;=IF(OR('4-man'!$F$39=TRUE,'4-man'!$F$39="TRUE",'4-man'!$F$39="Yes"),25,50),0,BO183+1)))</f>
        <v/>
      </c>
      <c r="BQ183">
        <f>IF('4-man'!BQ$57="R",0,IF(BP182&gt;=100,0,IF(BP183+1&gt;=IF(OR('4-man'!$F$39=TRUE,'4-man'!$F$39="TRUE",'4-man'!$F$39="Yes"),25,50),0,BP183+1)))</f>
        <v/>
      </c>
      <c r="BR183">
        <f>IF('4-man'!BR$57="R",0,IF(BQ182&gt;=100,0,IF(BQ183+1&gt;=IF(OR('4-man'!$F$39=TRUE,'4-man'!$F$39="TRUE",'4-man'!$F$39="Yes"),25,50),0,BQ183+1)))</f>
        <v/>
      </c>
      <c r="BS183">
        <f>IF('4-man'!BS$57="R",0,IF(BR182&gt;=100,0,IF(BR183+1&gt;=IF(OR('4-man'!$F$39=TRUE,'4-man'!$F$39="TRUE",'4-man'!$F$39="Yes"),25,50),0,BR183+1)))</f>
        <v/>
      </c>
      <c r="BT183">
        <f>IF('4-man'!BT$57="R",0,IF(BS182&gt;=100,0,IF(BS183+1&gt;=IF(OR('4-man'!$F$39=TRUE,'4-man'!$F$39="TRUE",'4-man'!$F$39="Yes"),25,50),0,BS183+1)))</f>
        <v/>
      </c>
      <c r="BU183">
        <f>IF('4-man'!BU$57="R",0,IF(BT182&gt;=100,0,IF(BT183+1&gt;=IF(OR('4-man'!$F$39=TRUE,'4-man'!$F$39="TRUE",'4-man'!$F$39="Yes"),25,50),0,BT183+1)))</f>
        <v/>
      </c>
      <c r="BV183">
        <f>IF('4-man'!BV$57="R",0,IF(BU182&gt;=100,0,IF(BU183+1&gt;=IF(OR('4-man'!$F$39=TRUE,'4-man'!$F$39="TRUE",'4-man'!$F$39="Yes"),25,50),0,BU183+1)))</f>
        <v/>
      </c>
      <c r="BW183">
        <f>IF('4-man'!BW$57="R",0,IF(BV182&gt;=100,0,IF(BV183+1&gt;=IF(OR('4-man'!$F$39=TRUE,'4-man'!$F$39="TRUE",'4-man'!$F$39="Yes"),25,50),0,BV183+1)))</f>
        <v/>
      </c>
      <c r="BX183">
        <f>IF('4-man'!BX$57="R",0,IF(BW182&gt;=100,0,IF(BW183+1&gt;=IF(OR('4-man'!$F$39=TRUE,'4-man'!$F$39="TRUE",'4-man'!$F$39="Yes"),25,50),0,BW183+1)))</f>
        <v/>
      </c>
      <c r="BY183">
        <f>IF('4-man'!BY$57="R",0,IF(BX182&gt;=100,0,IF(BX183+1&gt;=IF(OR('4-man'!$F$39=TRUE,'4-man'!$F$39="TRUE",'4-man'!$F$39="Yes"),25,50),0,BX183+1)))</f>
        <v/>
      </c>
      <c r="BZ183">
        <f>IF('4-man'!BZ$57="R",0,IF(BY182&gt;=100,0,IF(BY183+1&gt;=IF(OR('4-man'!$F$39=TRUE,'4-man'!$F$39="TRUE",'4-man'!$F$39="Yes"),25,50),0,BY183+1)))</f>
        <v/>
      </c>
      <c r="CA183">
        <f>IF('4-man'!CA$57="R",0,IF(BZ182&gt;=100,0,IF(BZ183+1&gt;=IF(OR('4-man'!$F$39=TRUE,'4-man'!$F$39="TRUE",'4-man'!$F$39="Yes"),25,50),0,BZ183+1)))</f>
        <v/>
      </c>
      <c r="CB183">
        <f>IF('4-man'!CB$57="R",0,IF(CA182&gt;=100,0,IF(CA183+1&gt;=IF(OR('4-man'!$F$39=TRUE,'4-man'!$F$39="TRUE",'4-man'!$F$39="Yes"),25,50),0,CA183+1)))</f>
        <v/>
      </c>
      <c r="CC183">
        <f>IF('4-man'!CC$57="R",0,IF(CB182&gt;=100,0,IF(CB183+1&gt;=IF(OR('4-man'!$F$39=TRUE,'4-man'!$F$39="TRUE",'4-man'!$F$39="Yes"),25,50),0,CB183+1)))</f>
        <v/>
      </c>
      <c r="CD183">
        <f>IF('4-man'!CD$57="R",0,IF(CC182&gt;=100,0,IF(CC183+1&gt;=IF(OR('4-man'!$F$39=TRUE,'4-man'!$F$39="TRUE",'4-man'!$F$39="Yes"),25,50),0,CC183+1)))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row>
    <row r="188">
      <c r="A188" t="inlineStr">
        <is>
          <t>P3 act</t>
        </is>
      </c>
      <c r="C188">
        <f>IF(OR('4-man'!C$57="P",'4-man'!C$57="R",AND('4-man'!C$54&lt;=IF('4-man'!$BF$37="",999,'4-man'!$BF$37),OR('4-man'!C$57="D",LEFT('4-man'!C$57,3)="ST&gt;",OR(AND('4-man'!C$55="ST&gt;3",C165&gt;=100),AND('4-man'!C$56="ST&gt;3",C173&gt;=100),AND('4-man'!C$58="ST&gt;3",C189&gt;=100))))),'4-man'!C$54,0)</f>
        <v/>
      </c>
      <c r="D188">
        <f>IF(OR('4-man'!D$57="P",'4-man'!D$57="R",AND('4-man'!D$54&lt;=IF('4-man'!$BF$37="",999,'4-man'!$BF$37),OR('4-man'!D$57="D",LEFT('4-man'!D$57,3)="ST&gt;",OR(AND('4-man'!D$55="ST&gt;3",D165&gt;=100),AND('4-man'!D$56="ST&gt;3",D173&gt;=100),AND('4-man'!D$58="ST&gt;3",D189&gt;=100))))),'4-man'!D$54,0)</f>
        <v/>
      </c>
      <c r="E188">
        <f>IF(OR('4-man'!E$57="P",'4-man'!E$57="R",AND('4-man'!E$54&lt;=IF('4-man'!$BF$37="",999,'4-man'!$BF$37),OR('4-man'!E$57="D",LEFT('4-man'!E$57,3)="ST&gt;",OR(AND('4-man'!E$55="ST&gt;3",E165&gt;=100),AND('4-man'!E$56="ST&gt;3",E173&gt;=100),AND('4-man'!E$58="ST&gt;3",E189&gt;=100))))),'4-man'!E$54,0)</f>
        <v/>
      </c>
      <c r="F188">
        <f>IF(OR('4-man'!F$57="P",'4-man'!F$57="R",AND('4-man'!F$54&lt;=IF('4-man'!$BF$37="",999,'4-man'!$BF$37),OR('4-man'!F$57="D",LEFT('4-man'!F$57,3)="ST&gt;",OR(AND('4-man'!F$55="ST&gt;3",F165&gt;=100),AND('4-man'!F$56="ST&gt;3",F173&gt;=100),AND('4-man'!F$58="ST&gt;3",F189&gt;=100))))),'4-man'!F$54,0)</f>
        <v/>
      </c>
      <c r="G188">
        <f>IF(OR('4-man'!G$57="P",'4-man'!G$57="R",AND('4-man'!G$54&lt;=IF('4-man'!$BF$37="",999,'4-man'!$BF$37),OR('4-man'!G$57="D",LEFT('4-man'!G$57,3)="ST&gt;",OR(AND('4-man'!G$55="ST&gt;3",G165&gt;=100),AND('4-man'!G$56="ST&gt;3",G173&gt;=100),AND('4-man'!G$58="ST&gt;3",G189&gt;=100))))),'4-man'!G$54,0)</f>
        <v/>
      </c>
      <c r="H188">
        <f>IF(OR('4-man'!H$57="P",'4-man'!H$57="R",AND('4-man'!H$54&lt;=IF('4-man'!$BF$37="",999,'4-man'!$BF$37),OR('4-man'!H$57="D",LEFT('4-man'!H$57,3)="ST&gt;",OR(AND('4-man'!H$55="ST&gt;3",H165&gt;=100),AND('4-man'!H$56="ST&gt;3",H173&gt;=100),AND('4-man'!H$58="ST&gt;3",H189&gt;=100))))),'4-man'!H$54,0)</f>
        <v/>
      </c>
      <c r="I188">
        <f>IF(OR('4-man'!I$57="P",'4-man'!I$57="R",AND('4-man'!I$54&lt;=IF('4-man'!$BF$37="",999,'4-man'!$BF$37),OR('4-man'!I$57="D",LEFT('4-man'!I$57,3)="ST&gt;",OR(AND('4-man'!I$55="ST&gt;3",I165&gt;=100),AND('4-man'!I$56="ST&gt;3",I173&gt;=100),AND('4-man'!I$58="ST&gt;3",I189&gt;=100))))),'4-man'!I$54,0)</f>
        <v/>
      </c>
      <c r="J188">
        <f>IF(OR('4-man'!J$57="P",'4-man'!J$57="R",AND('4-man'!J$54&lt;=IF('4-man'!$BF$37="",999,'4-man'!$BF$37),OR('4-man'!J$57="D",LEFT('4-man'!J$57,3)="ST&gt;",OR(AND('4-man'!J$55="ST&gt;3",J165&gt;=100),AND('4-man'!J$56="ST&gt;3",J173&gt;=100),AND('4-man'!J$58="ST&gt;3",J189&gt;=100))))),'4-man'!J$54,0)</f>
        <v/>
      </c>
      <c r="K188">
        <f>IF(OR('4-man'!K$57="P",'4-man'!K$57="R",AND('4-man'!K$54&lt;=IF('4-man'!$BF$37="",999,'4-man'!$BF$37),OR('4-man'!K$57="D",LEFT('4-man'!K$57,3)="ST&gt;",OR(AND('4-man'!K$55="ST&gt;3",K165&gt;=100),AND('4-man'!K$56="ST&gt;3",K173&gt;=100),AND('4-man'!K$58="ST&gt;3",K189&gt;=100))))),'4-man'!K$54,0)</f>
        <v/>
      </c>
      <c r="L188">
        <f>IF(OR('4-man'!L$57="P",'4-man'!L$57="R",AND('4-man'!L$54&lt;=IF('4-man'!$BF$37="",999,'4-man'!$BF$37),OR('4-man'!L$57="D",LEFT('4-man'!L$57,3)="ST&gt;",OR(AND('4-man'!L$55="ST&gt;3",L165&gt;=100),AND('4-man'!L$56="ST&gt;3",L173&gt;=100),AND('4-man'!L$58="ST&gt;3",L189&gt;=100))))),'4-man'!L$54,0)</f>
        <v/>
      </c>
      <c r="M188">
        <f>IF(OR('4-man'!M$57="P",'4-man'!M$57="R",AND('4-man'!M$54&lt;=IF('4-man'!$BF$37="",999,'4-man'!$BF$37),OR('4-man'!M$57="D",LEFT('4-man'!M$57,3)="ST&gt;",OR(AND('4-man'!M$55="ST&gt;3",M165&gt;=100),AND('4-man'!M$56="ST&gt;3",M173&gt;=100),AND('4-man'!M$58="ST&gt;3",M189&gt;=100))))),'4-man'!M$54,0)</f>
        <v/>
      </c>
      <c r="N188">
        <f>IF(OR('4-man'!N$57="P",'4-man'!N$57="R",AND('4-man'!N$54&lt;=IF('4-man'!$BF$37="",999,'4-man'!$BF$37),OR('4-man'!N$57="D",LEFT('4-man'!N$57,3)="ST&gt;",OR(AND('4-man'!N$55="ST&gt;3",N165&gt;=100),AND('4-man'!N$56="ST&gt;3",N173&gt;=100),AND('4-man'!N$58="ST&gt;3",N189&gt;=100))))),'4-man'!N$54,0)</f>
        <v/>
      </c>
      <c r="O188">
        <f>IF(OR('4-man'!O$57="P",'4-man'!O$57="R",AND('4-man'!O$54&lt;=IF('4-man'!$BF$37="",999,'4-man'!$BF$37),OR('4-man'!O$57="D",LEFT('4-man'!O$57,3)="ST&gt;",OR(AND('4-man'!O$55="ST&gt;3",O165&gt;=100),AND('4-man'!O$56="ST&gt;3",O173&gt;=100),AND('4-man'!O$58="ST&gt;3",O189&gt;=100))))),'4-man'!O$54,0)</f>
        <v/>
      </c>
      <c r="P188">
        <f>IF(OR('4-man'!P$57="P",'4-man'!P$57="R",AND('4-man'!P$54&lt;=IF('4-man'!$BF$37="",999,'4-man'!$BF$37),OR('4-man'!P$57="D",LEFT('4-man'!P$57,3)="ST&gt;",OR(AND('4-man'!P$55="ST&gt;3",P165&gt;=100),AND('4-man'!P$56="ST&gt;3",P173&gt;=100),AND('4-man'!P$58="ST&gt;3",P189&gt;=100))))),'4-man'!P$54,0)</f>
        <v/>
      </c>
      <c r="Q188">
        <f>IF(OR('4-man'!Q$57="P",'4-man'!Q$57="R",AND('4-man'!Q$54&lt;=IF('4-man'!$BF$37="",999,'4-man'!$BF$37),OR('4-man'!Q$57="D",LEFT('4-man'!Q$57,3)="ST&gt;",OR(AND('4-man'!Q$55="ST&gt;3",Q165&gt;=100),AND('4-man'!Q$56="ST&gt;3",Q173&gt;=100),AND('4-man'!Q$58="ST&gt;3",Q189&gt;=100))))),'4-man'!Q$54,0)</f>
        <v/>
      </c>
      <c r="R188">
        <f>IF(OR('4-man'!R$57="P",'4-man'!R$57="R",AND('4-man'!R$54&lt;=IF('4-man'!$BF$37="",999,'4-man'!$BF$37),OR('4-man'!R$57="D",LEFT('4-man'!R$57,3)="ST&gt;",OR(AND('4-man'!R$55="ST&gt;3",R165&gt;=100),AND('4-man'!R$56="ST&gt;3",R173&gt;=100),AND('4-man'!R$58="ST&gt;3",R189&gt;=100))))),'4-man'!R$54,0)</f>
        <v/>
      </c>
      <c r="S188">
        <f>IF(OR('4-man'!S$57="P",'4-man'!S$57="R",AND('4-man'!S$54&lt;=IF('4-man'!$BF$37="",999,'4-man'!$BF$37),OR('4-man'!S$57="D",LEFT('4-man'!S$57,3)="ST&gt;",OR(AND('4-man'!S$55="ST&gt;3",S165&gt;=100),AND('4-man'!S$56="ST&gt;3",S173&gt;=100),AND('4-man'!S$58="ST&gt;3",S189&gt;=100))))),'4-man'!S$54,0)</f>
        <v/>
      </c>
      <c r="T188">
        <f>IF(OR('4-man'!T$57="P",'4-man'!T$57="R",AND('4-man'!T$54&lt;=IF('4-man'!$BF$37="",999,'4-man'!$BF$37),OR('4-man'!T$57="D",LEFT('4-man'!T$57,3)="ST&gt;",OR(AND('4-man'!T$55="ST&gt;3",T165&gt;=100),AND('4-man'!T$56="ST&gt;3",T173&gt;=100),AND('4-man'!T$58="ST&gt;3",T189&gt;=100))))),'4-man'!T$54,0)</f>
        <v/>
      </c>
      <c r="U188">
        <f>IF(OR('4-man'!U$57="P",'4-man'!U$57="R",AND('4-man'!U$54&lt;=IF('4-man'!$BF$37="",999,'4-man'!$BF$37),OR('4-man'!U$57="D",LEFT('4-man'!U$57,3)="ST&gt;",OR(AND('4-man'!U$55="ST&gt;3",U165&gt;=100),AND('4-man'!U$56="ST&gt;3",U173&gt;=100),AND('4-man'!U$58="ST&gt;3",U189&gt;=100))))),'4-man'!U$54,0)</f>
        <v/>
      </c>
      <c r="V188">
        <f>IF(OR('4-man'!V$57="P",'4-man'!V$57="R",AND('4-man'!V$54&lt;=IF('4-man'!$BF$37="",999,'4-man'!$BF$37),OR('4-man'!V$57="D",LEFT('4-man'!V$57,3)="ST&gt;",OR(AND('4-man'!V$55="ST&gt;3",V165&gt;=100),AND('4-man'!V$56="ST&gt;3",V173&gt;=100),AND('4-man'!V$58="ST&gt;3",V189&gt;=100))))),'4-man'!V$54,0)</f>
        <v/>
      </c>
      <c r="W188">
        <f>IF(OR('4-man'!W$57="P",'4-man'!W$57="R",AND('4-man'!W$54&lt;=IF('4-man'!$BF$37="",999,'4-man'!$BF$37),OR('4-man'!W$57="D",LEFT('4-man'!W$57,3)="ST&gt;",OR(AND('4-man'!W$55="ST&gt;3",W165&gt;=100),AND('4-man'!W$56="ST&gt;3",W173&gt;=100),AND('4-man'!W$58="ST&gt;3",W189&gt;=100))))),'4-man'!W$54,0)</f>
        <v/>
      </c>
      <c r="X188">
        <f>IF(OR('4-man'!X$57="P",'4-man'!X$57="R",AND('4-man'!X$54&lt;=IF('4-man'!$BF$37="",999,'4-man'!$BF$37),OR('4-man'!X$57="D",LEFT('4-man'!X$57,3)="ST&gt;",OR(AND('4-man'!X$55="ST&gt;3",X165&gt;=100),AND('4-man'!X$56="ST&gt;3",X173&gt;=100),AND('4-man'!X$58="ST&gt;3",X189&gt;=100))))),'4-man'!X$54,0)</f>
        <v/>
      </c>
      <c r="Y188">
        <f>IF(OR('4-man'!Y$57="P",'4-man'!Y$57="R",AND('4-man'!Y$54&lt;=IF('4-man'!$BF$37="",999,'4-man'!$BF$37),OR('4-man'!Y$57="D",LEFT('4-man'!Y$57,3)="ST&gt;",OR(AND('4-man'!Y$55="ST&gt;3",Y165&gt;=100),AND('4-man'!Y$56="ST&gt;3",Y173&gt;=100),AND('4-man'!Y$58="ST&gt;3",Y189&gt;=100))))),'4-man'!Y$54,0)</f>
        <v/>
      </c>
      <c r="Z188">
        <f>IF(OR('4-man'!Z$57="P",'4-man'!Z$57="R",AND('4-man'!Z$54&lt;=IF('4-man'!$BF$37="",999,'4-man'!$BF$37),OR('4-man'!Z$57="D",LEFT('4-man'!Z$57,3)="ST&gt;",OR(AND('4-man'!Z$55="ST&gt;3",Z165&gt;=100),AND('4-man'!Z$56="ST&gt;3",Z173&gt;=100),AND('4-man'!Z$58="ST&gt;3",Z189&gt;=100))))),'4-man'!Z$54,0)</f>
        <v/>
      </c>
      <c r="AA188">
        <f>IF(OR('4-man'!AA$57="P",'4-man'!AA$57="R",AND('4-man'!AA$54&lt;=IF('4-man'!$BF$37="",999,'4-man'!$BF$37),OR('4-man'!AA$57="D",LEFT('4-man'!AA$57,3)="ST&gt;",OR(AND('4-man'!AA$55="ST&gt;3",AA165&gt;=100),AND('4-man'!AA$56="ST&gt;3",AA173&gt;=100),AND('4-man'!AA$58="ST&gt;3",AA189&gt;=100))))),'4-man'!AA$54,0)</f>
        <v/>
      </c>
      <c r="AB188">
        <f>IF(OR('4-man'!AB$57="P",'4-man'!AB$57="R",AND('4-man'!AB$54&lt;=IF('4-man'!$BF$37="",999,'4-man'!$BF$37),OR('4-man'!AB$57="D",LEFT('4-man'!AB$57,3)="ST&gt;",OR(AND('4-man'!AB$55="ST&gt;3",AB165&gt;=100),AND('4-man'!AB$56="ST&gt;3",AB173&gt;=100),AND('4-man'!AB$58="ST&gt;3",AB189&gt;=100))))),'4-man'!AB$54,0)</f>
        <v/>
      </c>
      <c r="AC188">
        <f>IF(OR('4-man'!AC$57="P",'4-man'!AC$57="R",AND('4-man'!AC$54&lt;=IF('4-man'!$BF$37="",999,'4-man'!$BF$37),OR('4-man'!AC$57="D",LEFT('4-man'!AC$57,3)="ST&gt;",OR(AND('4-man'!AC$55="ST&gt;3",AC165&gt;=100),AND('4-man'!AC$56="ST&gt;3",AC173&gt;=100),AND('4-man'!AC$58="ST&gt;3",AC189&gt;=100))))),'4-man'!AC$54,0)</f>
        <v/>
      </c>
      <c r="AD188">
        <f>IF(OR('4-man'!AD$57="P",'4-man'!AD$57="R",AND('4-man'!AD$54&lt;=IF('4-man'!$BF$37="",999,'4-man'!$BF$37),OR('4-man'!AD$57="D",LEFT('4-man'!AD$57,3)="ST&gt;",OR(AND('4-man'!AD$55="ST&gt;3",AD165&gt;=100),AND('4-man'!AD$56="ST&gt;3",AD173&gt;=100),AND('4-man'!AD$58="ST&gt;3",AD189&gt;=100))))),'4-man'!AD$54,0)</f>
        <v/>
      </c>
      <c r="AE188">
        <f>IF(OR('4-man'!AE$57="P",'4-man'!AE$57="R",AND('4-man'!AE$54&lt;=IF('4-man'!$BF$37="",999,'4-man'!$BF$37),OR('4-man'!AE$57="D",LEFT('4-man'!AE$57,3)="ST&gt;",OR(AND('4-man'!AE$55="ST&gt;3",AE165&gt;=100),AND('4-man'!AE$56="ST&gt;3",AE173&gt;=100),AND('4-man'!AE$58="ST&gt;3",AE189&gt;=100))))),'4-man'!AE$54,0)</f>
        <v/>
      </c>
      <c r="AF188">
        <f>IF(OR('4-man'!AF$57="P",'4-man'!AF$57="R",AND('4-man'!AF$54&lt;=IF('4-man'!$BF$37="",999,'4-man'!$BF$37),OR('4-man'!AF$57="D",LEFT('4-man'!AF$57,3)="ST&gt;",OR(AND('4-man'!AF$55="ST&gt;3",AF165&gt;=100),AND('4-man'!AF$56="ST&gt;3",AF173&gt;=100),AND('4-man'!AF$58="ST&gt;3",AF189&gt;=100))))),'4-man'!AF$54,0)</f>
        <v/>
      </c>
      <c r="AG188">
        <f>IF(OR('4-man'!AG$57="P",'4-man'!AG$57="R",AND('4-man'!AG$54&lt;=IF('4-man'!$BF$37="",999,'4-man'!$BF$37),OR('4-man'!AG$57="D",LEFT('4-man'!AG$57,3)="ST&gt;",OR(AND('4-man'!AG$55="ST&gt;3",AG165&gt;=100),AND('4-man'!AG$56="ST&gt;3",AG173&gt;=100),AND('4-man'!AG$58="ST&gt;3",AG189&gt;=100))))),'4-man'!AG$54,0)</f>
        <v/>
      </c>
      <c r="AH188">
        <f>IF(OR('4-man'!AH$57="P",'4-man'!AH$57="R",AND('4-man'!AH$54&lt;=IF('4-man'!$BF$37="",999,'4-man'!$BF$37),OR('4-man'!AH$57="D",LEFT('4-man'!AH$57,3)="ST&gt;",OR(AND('4-man'!AH$55="ST&gt;3",AH165&gt;=100),AND('4-man'!AH$56="ST&gt;3",AH173&gt;=100),AND('4-man'!AH$58="ST&gt;3",AH189&gt;=100))))),'4-man'!AH$54,0)</f>
        <v/>
      </c>
      <c r="AI188">
        <f>IF(OR('4-man'!AI$57="P",'4-man'!AI$57="R",AND('4-man'!AI$54&lt;=IF('4-man'!$BF$37="",999,'4-man'!$BF$37),OR('4-man'!AI$57="D",LEFT('4-man'!AI$57,3)="ST&gt;",OR(AND('4-man'!AI$55="ST&gt;3",AI165&gt;=100),AND('4-man'!AI$56="ST&gt;3",AI173&gt;=100),AND('4-man'!AI$58="ST&gt;3",AI189&gt;=100))))),'4-man'!AI$54,0)</f>
        <v/>
      </c>
      <c r="AJ188">
        <f>IF(OR('4-man'!AJ$57="P",'4-man'!AJ$57="R",AND('4-man'!AJ$54&lt;=IF('4-man'!$BF$37="",999,'4-man'!$BF$37),OR('4-man'!AJ$57="D",LEFT('4-man'!AJ$57,3)="ST&gt;",OR(AND('4-man'!AJ$55="ST&gt;3",AJ165&gt;=100),AND('4-man'!AJ$56="ST&gt;3",AJ173&gt;=100),AND('4-man'!AJ$58="ST&gt;3",AJ189&gt;=100))))),'4-man'!AJ$54,0)</f>
        <v/>
      </c>
      <c r="AK188">
        <f>IF(OR('4-man'!AK$57="P",'4-man'!AK$57="R",AND('4-man'!AK$54&lt;=IF('4-man'!$BF$37="",999,'4-man'!$BF$37),OR('4-man'!AK$57="D",LEFT('4-man'!AK$57,3)="ST&gt;",OR(AND('4-man'!AK$55="ST&gt;3",AK165&gt;=100),AND('4-man'!AK$56="ST&gt;3",AK173&gt;=100),AND('4-man'!AK$58="ST&gt;3",AK189&gt;=100))))),'4-man'!AK$54,0)</f>
        <v/>
      </c>
      <c r="AL188">
        <f>IF(OR('4-man'!AL$57="P",'4-man'!AL$57="R",AND('4-man'!AL$54&lt;=IF('4-man'!$BF$37="",999,'4-man'!$BF$37),OR('4-man'!AL$57="D",LEFT('4-man'!AL$57,3)="ST&gt;",OR(AND('4-man'!AL$55="ST&gt;3",AL165&gt;=100),AND('4-man'!AL$56="ST&gt;3",AL173&gt;=100),AND('4-man'!AL$58="ST&gt;3",AL189&gt;=100))))),'4-man'!AL$54,0)</f>
        <v/>
      </c>
      <c r="AM188">
        <f>IF(OR('4-man'!AM$57="P",'4-man'!AM$57="R",AND('4-man'!AM$54&lt;=IF('4-man'!$BF$37="",999,'4-man'!$BF$37),OR('4-man'!AM$57="D",LEFT('4-man'!AM$57,3)="ST&gt;",OR(AND('4-man'!AM$55="ST&gt;3",AM165&gt;=100),AND('4-man'!AM$56="ST&gt;3",AM173&gt;=100),AND('4-man'!AM$58="ST&gt;3",AM189&gt;=100))))),'4-man'!AM$54,0)</f>
        <v/>
      </c>
      <c r="AN188">
        <f>IF(OR('4-man'!AN$57="P",'4-man'!AN$57="R",AND('4-man'!AN$54&lt;=IF('4-man'!$BF$37="",999,'4-man'!$BF$37),OR('4-man'!AN$57="D",LEFT('4-man'!AN$57,3)="ST&gt;",OR(AND('4-man'!AN$55="ST&gt;3",AN165&gt;=100),AND('4-man'!AN$56="ST&gt;3",AN173&gt;=100),AND('4-man'!AN$58="ST&gt;3",AN189&gt;=100))))),'4-man'!AN$54,0)</f>
        <v/>
      </c>
      <c r="AO188">
        <f>IF(OR('4-man'!AO$57="P",'4-man'!AO$57="R",AND('4-man'!AO$54&lt;=IF('4-man'!$BF$37="",999,'4-man'!$BF$37),OR('4-man'!AO$57="D",LEFT('4-man'!AO$57,3)="ST&gt;",OR(AND('4-man'!AO$55="ST&gt;3",AO165&gt;=100),AND('4-man'!AO$56="ST&gt;3",AO173&gt;=100),AND('4-man'!AO$58="ST&gt;3",AO189&gt;=100))))),'4-man'!AO$54,0)</f>
        <v/>
      </c>
      <c r="AP188">
        <f>IF(OR('4-man'!AP$57="P",'4-man'!AP$57="R",AND('4-man'!AP$54&lt;=IF('4-man'!$BF$37="",999,'4-man'!$BF$37),OR('4-man'!AP$57="D",LEFT('4-man'!AP$57,3)="ST&gt;",OR(AND('4-man'!AP$55="ST&gt;3",AP165&gt;=100),AND('4-man'!AP$56="ST&gt;3",AP173&gt;=100),AND('4-man'!AP$58="ST&gt;3",AP189&gt;=100))))),'4-man'!AP$54,0)</f>
        <v/>
      </c>
      <c r="AQ188">
        <f>IF(OR('4-man'!AQ$57="P",'4-man'!AQ$57="R",AND('4-man'!AQ$54&lt;=IF('4-man'!$BF$37="",999,'4-man'!$BF$37),OR('4-man'!AQ$57="D",LEFT('4-man'!AQ$57,3)="ST&gt;",OR(AND('4-man'!AQ$55="ST&gt;3",AQ165&gt;=100),AND('4-man'!AQ$56="ST&gt;3",AQ173&gt;=100),AND('4-man'!AQ$58="ST&gt;3",AQ189&gt;=100))))),'4-man'!AQ$54,0)</f>
        <v/>
      </c>
      <c r="AR188">
        <f>IF(OR('4-man'!AR$57="P",'4-man'!AR$57="R",AND('4-man'!AR$54&lt;=IF('4-man'!$BF$37="",999,'4-man'!$BF$37),OR('4-man'!AR$57="D",LEFT('4-man'!AR$57,3)="ST&gt;",OR(AND('4-man'!AR$55="ST&gt;3",AR165&gt;=100),AND('4-man'!AR$56="ST&gt;3",AR173&gt;=100),AND('4-man'!AR$58="ST&gt;3",AR189&gt;=100))))),'4-man'!AR$54,0)</f>
        <v/>
      </c>
      <c r="AS188">
        <f>IF(OR('4-man'!AS$57="P",'4-man'!AS$57="R",AND('4-man'!AS$54&lt;=IF('4-man'!$BF$37="",999,'4-man'!$BF$37),OR('4-man'!AS$57="D",LEFT('4-man'!AS$57,3)="ST&gt;",OR(AND('4-man'!AS$55="ST&gt;3",AS165&gt;=100),AND('4-man'!AS$56="ST&gt;3",AS173&gt;=100),AND('4-man'!AS$58="ST&gt;3",AS189&gt;=100))))),'4-man'!AS$54,0)</f>
        <v/>
      </c>
      <c r="AT188">
        <f>IF(OR('4-man'!AT$57="P",'4-man'!AT$57="R",AND('4-man'!AT$54&lt;=IF('4-man'!$BF$37="",999,'4-man'!$BF$37),OR('4-man'!AT$57="D",LEFT('4-man'!AT$57,3)="ST&gt;",OR(AND('4-man'!AT$55="ST&gt;3",AT165&gt;=100),AND('4-man'!AT$56="ST&gt;3",AT173&gt;=100),AND('4-man'!AT$58="ST&gt;3",AT189&gt;=100))))),'4-man'!AT$54,0)</f>
        <v/>
      </c>
      <c r="AU188">
        <f>IF(OR('4-man'!AU$57="P",'4-man'!AU$57="R",AND('4-man'!AU$54&lt;=IF('4-man'!$BF$37="",999,'4-man'!$BF$37),OR('4-man'!AU$57="D",LEFT('4-man'!AU$57,3)="ST&gt;",OR(AND('4-man'!AU$55="ST&gt;3",AU165&gt;=100),AND('4-man'!AU$56="ST&gt;3",AU173&gt;=100),AND('4-man'!AU$58="ST&gt;3",AU189&gt;=100))))),'4-man'!AU$54,0)</f>
        <v/>
      </c>
      <c r="AV188">
        <f>IF(OR('4-man'!AV$57="P",'4-man'!AV$57="R",AND('4-man'!AV$54&lt;=IF('4-man'!$BF$37="",999,'4-man'!$BF$37),OR('4-man'!AV$57="D",LEFT('4-man'!AV$57,3)="ST&gt;",OR(AND('4-man'!AV$55="ST&gt;3",AV165&gt;=100),AND('4-man'!AV$56="ST&gt;3",AV173&gt;=100),AND('4-man'!AV$58="ST&gt;3",AV189&gt;=100))))),'4-man'!AV$54,0)</f>
        <v/>
      </c>
      <c r="AW188">
        <f>IF(OR('4-man'!AW$57="P",'4-man'!AW$57="R",AND('4-man'!AW$54&lt;=IF('4-man'!$BF$37="",999,'4-man'!$BF$37),OR('4-man'!AW$57="D",LEFT('4-man'!AW$57,3)="ST&gt;",OR(AND('4-man'!AW$55="ST&gt;3",AW165&gt;=100),AND('4-man'!AW$56="ST&gt;3",AW173&gt;=100),AND('4-man'!AW$58="ST&gt;3",AW189&gt;=100))))),'4-man'!AW$54,0)</f>
        <v/>
      </c>
      <c r="AX188">
        <f>IF(OR('4-man'!AX$57="P",'4-man'!AX$57="R",AND('4-man'!AX$54&lt;=IF('4-man'!$BF$37="",999,'4-man'!$BF$37),OR('4-man'!AX$57="D",LEFT('4-man'!AX$57,3)="ST&gt;",OR(AND('4-man'!AX$55="ST&gt;3",AX165&gt;=100),AND('4-man'!AX$56="ST&gt;3",AX173&gt;=100),AND('4-man'!AX$58="ST&gt;3",AX189&gt;=100))))),'4-man'!AX$54,0)</f>
        <v/>
      </c>
      <c r="AY188">
        <f>IF(OR('4-man'!AY$57="P",'4-man'!AY$57="R",AND('4-man'!AY$54&lt;=IF('4-man'!$BF$37="",999,'4-man'!$BF$37),OR('4-man'!AY$57="D",LEFT('4-man'!AY$57,3)="ST&gt;",OR(AND('4-man'!AY$55="ST&gt;3",AY165&gt;=100),AND('4-man'!AY$56="ST&gt;3",AY173&gt;=100),AND('4-man'!AY$58="ST&gt;3",AY189&gt;=100))))),'4-man'!AY$54,0)</f>
        <v/>
      </c>
      <c r="AZ188">
        <f>IF(OR('4-man'!AZ$57="P",'4-man'!AZ$57="R",AND('4-man'!AZ$54&lt;=IF('4-man'!$BF$37="",999,'4-man'!$BF$37),OR('4-man'!AZ$57="D",LEFT('4-man'!AZ$57,3)="ST&gt;",OR(AND('4-man'!AZ$55="ST&gt;3",AZ165&gt;=100),AND('4-man'!AZ$56="ST&gt;3",AZ173&gt;=100),AND('4-man'!AZ$58="ST&gt;3",AZ189&gt;=100))))),'4-man'!AZ$54,0)</f>
        <v/>
      </c>
      <c r="BA188">
        <f>IF(OR('4-man'!BA$57="P",'4-man'!BA$57="R",AND('4-man'!BA$54&lt;=IF('4-man'!$BF$37="",999,'4-man'!$BF$37),OR('4-man'!BA$57="D",LEFT('4-man'!BA$57,3)="ST&gt;",OR(AND('4-man'!BA$55="ST&gt;3",BA165&gt;=100),AND('4-man'!BA$56="ST&gt;3",BA173&gt;=100),AND('4-man'!BA$58="ST&gt;3",BA189&gt;=100))))),'4-man'!BA$54,0)</f>
        <v/>
      </c>
      <c r="BB188">
        <f>IF(OR('4-man'!BB$57="P",'4-man'!BB$57="R",AND('4-man'!BB$54&lt;=IF('4-man'!$BF$37="",999,'4-man'!$BF$37),OR('4-man'!BB$57="D",LEFT('4-man'!BB$57,3)="ST&gt;",OR(AND('4-man'!BB$55="ST&gt;3",BB165&gt;=100),AND('4-man'!BB$56="ST&gt;3",BB173&gt;=100),AND('4-man'!BB$58="ST&gt;3",BB189&gt;=100))))),'4-man'!BB$54,0)</f>
        <v/>
      </c>
      <c r="BC188">
        <f>IF(OR('4-man'!BC$57="P",'4-man'!BC$57="R",AND('4-man'!BC$54&lt;=IF('4-man'!$BF$37="",999,'4-man'!$BF$37),OR('4-man'!BC$57="D",LEFT('4-man'!BC$57,3)="ST&gt;",OR(AND('4-man'!BC$55="ST&gt;3",BC165&gt;=100),AND('4-man'!BC$56="ST&gt;3",BC173&gt;=100),AND('4-man'!BC$58="ST&gt;3",BC189&gt;=100))))),'4-man'!BC$54,0)</f>
        <v/>
      </c>
      <c r="BD188">
        <f>IF(OR('4-man'!BD$57="P",'4-man'!BD$57="R",AND('4-man'!BD$54&lt;=IF('4-man'!$BF$37="",999,'4-man'!$BF$37),OR('4-man'!BD$57="D",LEFT('4-man'!BD$57,3)="ST&gt;",OR(AND('4-man'!BD$55="ST&gt;3",BD165&gt;=100),AND('4-man'!BD$56="ST&gt;3",BD173&gt;=100),AND('4-man'!BD$58="ST&gt;3",BD189&gt;=100))))),'4-man'!BD$54,0)</f>
        <v/>
      </c>
      <c r="BE188">
        <f>IF(OR('4-man'!BE$57="P",'4-man'!BE$57="R",AND('4-man'!BE$54&lt;=IF('4-man'!$BF$37="",999,'4-man'!$BF$37),OR('4-man'!BE$57="D",LEFT('4-man'!BE$57,3)="ST&gt;",OR(AND('4-man'!BE$55="ST&gt;3",BE165&gt;=100),AND('4-man'!BE$56="ST&gt;3",BE173&gt;=100),AND('4-man'!BE$58="ST&gt;3",BE189&gt;=100))))),'4-man'!BE$54,0)</f>
        <v/>
      </c>
      <c r="BF188">
        <f>IF(OR('4-man'!BF$57="P",'4-man'!BF$57="R",AND('4-man'!BF$54&lt;=IF('4-man'!$BF$37="",999,'4-man'!$BF$37),OR('4-man'!BF$57="D",LEFT('4-man'!BF$57,3)="ST&gt;",OR(AND('4-man'!BF$55="ST&gt;3",BF165&gt;=100),AND('4-man'!BF$56="ST&gt;3",BF173&gt;=100),AND('4-man'!BF$58="ST&gt;3",BF189&gt;=100))))),'4-man'!BF$54,0)</f>
        <v/>
      </c>
      <c r="BG188">
        <f>IF(OR('4-man'!BG$57="P",'4-man'!BG$57="R",AND('4-man'!BG$54&lt;=IF('4-man'!$BF$37="",999,'4-man'!$BF$37),OR('4-man'!BG$57="D",LEFT('4-man'!BG$57,3)="ST&gt;",OR(AND('4-man'!BG$55="ST&gt;3",BG165&gt;=100),AND('4-man'!BG$56="ST&gt;3",BG173&gt;=100),AND('4-man'!BG$58="ST&gt;3",BG189&gt;=100))))),'4-man'!BG$54,0)</f>
        <v/>
      </c>
      <c r="BH188">
        <f>IF(OR('4-man'!BH$57="P",'4-man'!BH$57="R",AND('4-man'!BH$54&lt;=IF('4-man'!$BF$37="",999,'4-man'!$BF$37),OR('4-man'!BH$57="D",LEFT('4-man'!BH$57,3)="ST&gt;",OR(AND('4-man'!BH$55="ST&gt;3",BH165&gt;=100),AND('4-man'!BH$56="ST&gt;3",BH173&gt;=100),AND('4-man'!BH$58="ST&gt;3",BH189&gt;=100))))),'4-man'!BH$54,0)</f>
        <v/>
      </c>
      <c r="BI188">
        <f>IF(OR('4-man'!BI$57="P",'4-man'!BI$57="R",AND('4-man'!BI$54&lt;=IF('4-man'!$BF$37="",999,'4-man'!$BF$37),OR('4-man'!BI$57="D",LEFT('4-man'!BI$57,3)="ST&gt;",OR(AND('4-man'!BI$55="ST&gt;3",BI165&gt;=100),AND('4-man'!BI$56="ST&gt;3",BI173&gt;=100),AND('4-man'!BI$58="ST&gt;3",BI189&gt;=100))))),'4-man'!BI$54,0)</f>
        <v/>
      </c>
      <c r="BJ188">
        <f>IF(OR('4-man'!BJ$57="P",'4-man'!BJ$57="R",AND('4-man'!BJ$54&lt;=IF('4-man'!$BF$37="",999,'4-man'!$BF$37),OR('4-man'!BJ$57="D",LEFT('4-man'!BJ$57,3)="ST&gt;",OR(AND('4-man'!BJ$55="ST&gt;3",BJ165&gt;=100),AND('4-man'!BJ$56="ST&gt;3",BJ173&gt;=100),AND('4-man'!BJ$58="ST&gt;3",BJ189&gt;=100))))),'4-man'!BJ$54,0)</f>
        <v/>
      </c>
      <c r="BK188">
        <f>IF(OR('4-man'!BK$57="P",'4-man'!BK$57="R",AND('4-man'!BK$54&lt;=IF('4-man'!$BF$37="",999,'4-man'!$BF$37),OR('4-man'!BK$57="D",LEFT('4-man'!BK$57,3)="ST&gt;",OR(AND('4-man'!BK$55="ST&gt;3",BK165&gt;=100),AND('4-man'!BK$56="ST&gt;3",BK173&gt;=100),AND('4-man'!BK$58="ST&gt;3",BK189&gt;=100))))),'4-man'!BK$54,0)</f>
        <v/>
      </c>
      <c r="BL188">
        <f>IF(OR('4-man'!BL$57="P",'4-man'!BL$57="R",AND('4-man'!BL$54&lt;=IF('4-man'!$BF$37="",999,'4-man'!$BF$37),OR('4-man'!BL$57="D",LEFT('4-man'!BL$57,3)="ST&gt;",OR(AND('4-man'!BL$55="ST&gt;3",BL165&gt;=100),AND('4-man'!BL$56="ST&gt;3",BL173&gt;=100),AND('4-man'!BL$58="ST&gt;3",BL189&gt;=100))))),'4-man'!BL$54,0)</f>
        <v/>
      </c>
      <c r="BM188">
        <f>IF(OR('4-man'!BM$57="P",'4-man'!BM$57="R",AND('4-man'!BM$54&lt;=IF('4-man'!$BF$37="",999,'4-man'!$BF$37),OR('4-man'!BM$57="D",LEFT('4-man'!BM$57,3)="ST&gt;",OR(AND('4-man'!BM$55="ST&gt;3",BM165&gt;=100),AND('4-man'!BM$56="ST&gt;3",BM173&gt;=100),AND('4-man'!BM$58="ST&gt;3",BM189&gt;=100))))),'4-man'!BM$54,0)</f>
        <v/>
      </c>
      <c r="BN188">
        <f>IF(OR('4-man'!BN$57="P",'4-man'!BN$57="R",AND('4-man'!BN$54&lt;=IF('4-man'!$BF$37="",999,'4-man'!$BF$37),OR('4-man'!BN$57="D",LEFT('4-man'!BN$57,3)="ST&gt;",OR(AND('4-man'!BN$55="ST&gt;3",BN165&gt;=100),AND('4-man'!BN$56="ST&gt;3",BN173&gt;=100),AND('4-man'!BN$58="ST&gt;3",BN189&gt;=100))))),'4-man'!BN$54,0)</f>
        <v/>
      </c>
      <c r="BO188">
        <f>IF(OR('4-man'!BO$57="P",'4-man'!BO$57="R",AND('4-man'!BO$54&lt;=IF('4-man'!$BF$37="",999,'4-man'!$BF$37),OR('4-man'!BO$57="D",LEFT('4-man'!BO$57,3)="ST&gt;",OR(AND('4-man'!BO$55="ST&gt;3",BO165&gt;=100),AND('4-man'!BO$56="ST&gt;3",BO173&gt;=100),AND('4-man'!BO$58="ST&gt;3",BO189&gt;=100))))),'4-man'!BO$54,0)</f>
        <v/>
      </c>
      <c r="BP188">
        <f>IF(OR('4-man'!BP$57="P",'4-man'!BP$57="R",AND('4-man'!BP$54&lt;=IF('4-man'!$BF$37="",999,'4-man'!$BF$37),OR('4-man'!BP$57="D",LEFT('4-man'!BP$57,3)="ST&gt;",OR(AND('4-man'!BP$55="ST&gt;3",BP165&gt;=100),AND('4-man'!BP$56="ST&gt;3",BP173&gt;=100),AND('4-man'!BP$58="ST&gt;3",BP189&gt;=100))))),'4-man'!BP$54,0)</f>
        <v/>
      </c>
      <c r="BQ188">
        <f>IF(OR('4-man'!BQ$57="P",'4-man'!BQ$57="R",AND('4-man'!BQ$54&lt;=IF('4-man'!$BF$37="",999,'4-man'!$BF$37),OR('4-man'!BQ$57="D",LEFT('4-man'!BQ$57,3)="ST&gt;",OR(AND('4-man'!BQ$55="ST&gt;3",BQ165&gt;=100),AND('4-man'!BQ$56="ST&gt;3",BQ173&gt;=100),AND('4-man'!BQ$58="ST&gt;3",BQ189&gt;=100))))),'4-man'!BQ$54,0)</f>
        <v/>
      </c>
      <c r="BR188">
        <f>IF(OR('4-man'!BR$57="P",'4-man'!BR$57="R",AND('4-man'!BR$54&lt;=IF('4-man'!$BF$37="",999,'4-man'!$BF$37),OR('4-man'!BR$57="D",LEFT('4-man'!BR$57,3)="ST&gt;",OR(AND('4-man'!BR$55="ST&gt;3",BR165&gt;=100),AND('4-man'!BR$56="ST&gt;3",BR173&gt;=100),AND('4-man'!BR$58="ST&gt;3",BR189&gt;=100))))),'4-man'!BR$54,0)</f>
        <v/>
      </c>
      <c r="BS188">
        <f>IF(OR('4-man'!BS$57="P",'4-man'!BS$57="R",AND('4-man'!BS$54&lt;=IF('4-man'!$BF$37="",999,'4-man'!$BF$37),OR('4-man'!BS$57="D",LEFT('4-man'!BS$57,3)="ST&gt;",OR(AND('4-man'!BS$55="ST&gt;3",BS165&gt;=100),AND('4-man'!BS$56="ST&gt;3",BS173&gt;=100),AND('4-man'!BS$58="ST&gt;3",BS189&gt;=100))))),'4-man'!BS$54,0)</f>
        <v/>
      </c>
      <c r="BT188">
        <f>IF(OR('4-man'!BT$57="P",'4-man'!BT$57="R",AND('4-man'!BT$54&lt;=IF('4-man'!$BF$37="",999,'4-man'!$BF$37),OR('4-man'!BT$57="D",LEFT('4-man'!BT$57,3)="ST&gt;",OR(AND('4-man'!BT$55="ST&gt;3",BT165&gt;=100),AND('4-man'!BT$56="ST&gt;3",BT173&gt;=100),AND('4-man'!BT$58="ST&gt;3",BT189&gt;=100))))),'4-man'!BT$54,0)</f>
        <v/>
      </c>
      <c r="BU188">
        <f>IF(OR('4-man'!BU$57="P",'4-man'!BU$57="R",AND('4-man'!BU$54&lt;=IF('4-man'!$BF$37="",999,'4-man'!$BF$37),OR('4-man'!BU$57="D",LEFT('4-man'!BU$57,3)="ST&gt;",OR(AND('4-man'!BU$55="ST&gt;3",BU165&gt;=100),AND('4-man'!BU$56="ST&gt;3",BU173&gt;=100),AND('4-man'!BU$58="ST&gt;3",BU189&gt;=100))))),'4-man'!BU$54,0)</f>
        <v/>
      </c>
      <c r="BV188">
        <f>IF(OR('4-man'!BV$57="P",'4-man'!BV$57="R",AND('4-man'!BV$54&lt;=IF('4-man'!$BF$37="",999,'4-man'!$BF$37),OR('4-man'!BV$57="D",LEFT('4-man'!BV$57,3)="ST&gt;",OR(AND('4-man'!BV$55="ST&gt;3",BV165&gt;=100),AND('4-man'!BV$56="ST&gt;3",BV173&gt;=100),AND('4-man'!BV$58="ST&gt;3",BV189&gt;=100))))),'4-man'!BV$54,0)</f>
        <v/>
      </c>
      <c r="BW188">
        <f>IF(OR('4-man'!BW$57="P",'4-man'!BW$57="R",AND('4-man'!BW$54&lt;=IF('4-man'!$BF$37="",999,'4-man'!$BF$37),OR('4-man'!BW$57="D",LEFT('4-man'!BW$57,3)="ST&gt;",OR(AND('4-man'!BW$55="ST&gt;3",BW165&gt;=100),AND('4-man'!BW$56="ST&gt;3",BW173&gt;=100),AND('4-man'!BW$58="ST&gt;3",BW189&gt;=100))))),'4-man'!BW$54,0)</f>
        <v/>
      </c>
      <c r="BX188">
        <f>IF(OR('4-man'!BX$57="P",'4-man'!BX$57="R",AND('4-man'!BX$54&lt;=IF('4-man'!$BF$37="",999,'4-man'!$BF$37),OR('4-man'!BX$57="D",LEFT('4-man'!BX$57,3)="ST&gt;",OR(AND('4-man'!BX$55="ST&gt;3",BX165&gt;=100),AND('4-man'!BX$56="ST&gt;3",BX173&gt;=100),AND('4-man'!BX$58="ST&gt;3",BX189&gt;=100))))),'4-man'!BX$54,0)</f>
        <v/>
      </c>
      <c r="BY188">
        <f>IF(OR('4-man'!BY$57="P",'4-man'!BY$57="R",AND('4-man'!BY$54&lt;=IF('4-man'!$BF$37="",999,'4-man'!$BF$37),OR('4-man'!BY$57="D",LEFT('4-man'!BY$57,3)="ST&gt;",OR(AND('4-man'!BY$55="ST&gt;3",BY165&gt;=100),AND('4-man'!BY$56="ST&gt;3",BY173&gt;=100),AND('4-man'!BY$58="ST&gt;3",BY189&gt;=100))))),'4-man'!BY$54,0)</f>
        <v/>
      </c>
      <c r="BZ188">
        <f>IF(OR('4-man'!BZ$57="P",'4-man'!BZ$57="R",AND('4-man'!BZ$54&lt;=IF('4-man'!$BF$37="",999,'4-man'!$BF$37),OR('4-man'!BZ$57="D",LEFT('4-man'!BZ$57,3)="ST&gt;",OR(AND('4-man'!BZ$55="ST&gt;3",BZ165&gt;=100),AND('4-man'!BZ$56="ST&gt;3",BZ173&gt;=100),AND('4-man'!BZ$58="ST&gt;3",BZ189&gt;=100))))),'4-man'!BZ$54,0)</f>
        <v/>
      </c>
      <c r="CA188">
        <f>IF(OR('4-man'!CA$57="P",'4-man'!CA$57="R",AND('4-man'!CA$54&lt;=IF('4-man'!$BF$37="",999,'4-man'!$BF$37),OR('4-man'!CA$57="D",LEFT('4-man'!CA$57,3)="ST&gt;",OR(AND('4-man'!CA$55="ST&gt;3",CA165&gt;=100),AND('4-man'!CA$56="ST&gt;3",CA173&gt;=100),AND('4-man'!CA$58="ST&gt;3",CA189&gt;=100))))),'4-man'!CA$54,0)</f>
        <v/>
      </c>
      <c r="CB188">
        <f>IF(OR('4-man'!CB$57="P",'4-man'!CB$57="R",AND('4-man'!CB$54&lt;=IF('4-man'!$BF$37="",999,'4-man'!$BF$37),OR('4-man'!CB$57="D",LEFT('4-man'!CB$57,3)="ST&gt;",OR(AND('4-man'!CB$55="ST&gt;3",CB165&gt;=100),AND('4-man'!CB$56="ST&gt;3",CB173&gt;=100),AND('4-man'!CB$58="ST&gt;3",CB189&gt;=100))))),'4-man'!CB$54,0)</f>
        <v/>
      </c>
      <c r="CC188">
        <f>IF(OR('4-man'!CC$57="P",'4-man'!CC$57="R",AND('4-man'!CC$54&lt;=IF('4-man'!$BF$37="",999,'4-man'!$BF$37),OR('4-man'!CC$57="D",LEFT('4-man'!CC$57,3)="ST&gt;",OR(AND('4-man'!CC$55="ST&gt;3",CC165&gt;=100),AND('4-man'!CC$56="ST&gt;3",CC173&gt;=100),AND('4-man'!CC$58="ST&gt;3",CC189&gt;=100))))),'4-man'!CC$54,0)</f>
        <v/>
      </c>
      <c r="CD188">
        <f>IF(OR('4-man'!CD$57="P",'4-man'!CD$57="R",AND('4-man'!CD$54&lt;=IF('4-man'!$BF$37="",999,'4-man'!$BF$37),OR('4-man'!CD$57="D",LEFT('4-man'!CD$57,3)="ST&gt;",OR(AND('4-man'!CD$55="ST&gt;3",CD165&gt;=100),AND('4-man'!CD$56="ST&gt;3",CD173&gt;=100),AND('4-man'!CD$58="ST&gt;3",CD189&gt;=100))))),'4-man'!CD$54,0)</f>
        <v/>
      </c>
    </row>
    <row r="189">
      <c r="A189" t="inlineStr">
        <is>
          <t>P4 s1</t>
        </is>
      </c>
      <c r="C189">
        <f>MIN(100,B190+IF(AND(B190&lt;100,B191+1&gt;=IF(OR('4-man'!$F$40=TRUE,'4-man'!$F$40="TRUE",'4-man'!$F$40="Yes"),25,50)),10,0)+IF('4-man'!C$54=$Q$195,25,0))</f>
        <v/>
      </c>
      <c r="D189">
        <f>MIN(100,C190+IF(AND(C190&lt;100,C191+1&gt;=IF(OR('4-man'!$F$40=TRUE,'4-man'!$F$40="TRUE",'4-man'!$F$40="Yes"),25,50)),10,0)+IF('4-man'!D$54=$Q$195,25,0))</f>
        <v/>
      </c>
      <c r="E189">
        <f>MIN(100,D190+IF(AND(D190&lt;100,D191+1&gt;=IF(OR('4-man'!$F$40=TRUE,'4-man'!$F$40="TRUE",'4-man'!$F$40="Yes"),25,50)),10,0)+IF('4-man'!E$54=$Q$195,25,0))</f>
        <v/>
      </c>
      <c r="F189">
        <f>MIN(100,E190+IF(AND(E190&lt;100,E191+1&gt;=IF(OR('4-man'!$F$40=TRUE,'4-man'!$F$40="TRUE",'4-man'!$F$40="Yes"),25,50)),10,0)+IF('4-man'!F$54=$Q$195,25,0))</f>
        <v/>
      </c>
      <c r="G189">
        <f>MIN(100,F190+IF(AND(F190&lt;100,F191+1&gt;=IF(OR('4-man'!$F$40=TRUE,'4-man'!$F$40="TRUE",'4-man'!$F$40="Yes"),25,50)),10,0)+IF('4-man'!G$54=$Q$195,25,0))</f>
        <v/>
      </c>
      <c r="H189">
        <f>MIN(100,G190+IF(AND(G190&lt;100,G191+1&gt;=IF(OR('4-man'!$F$40=TRUE,'4-man'!$F$40="TRUE",'4-man'!$F$40="Yes"),25,50)),10,0)+IF('4-man'!H$54=$Q$195,25,0))</f>
        <v/>
      </c>
      <c r="I189">
        <f>MIN(100,H190+IF(AND(H190&lt;100,H191+1&gt;=IF(OR('4-man'!$F$40=TRUE,'4-man'!$F$40="TRUE",'4-man'!$F$40="Yes"),25,50)),10,0)+IF('4-man'!I$54=$Q$195,25,0))</f>
        <v/>
      </c>
      <c r="J189">
        <f>MIN(100,I190+IF(AND(I190&lt;100,I191+1&gt;=IF(OR('4-man'!$F$40=TRUE,'4-man'!$F$40="TRUE",'4-man'!$F$40="Yes"),25,50)),10,0)+IF('4-man'!J$54=$Q$195,25,0))</f>
        <v/>
      </c>
      <c r="K189">
        <f>MIN(100,J190+IF(AND(J190&lt;100,J191+1&gt;=IF(OR('4-man'!$F$40=TRUE,'4-man'!$F$40="TRUE",'4-man'!$F$40="Yes"),25,50)),10,0)+IF('4-man'!K$54=$Q$195,25,0))</f>
        <v/>
      </c>
      <c r="L189">
        <f>MIN(100,K190+IF(AND(K190&lt;100,K191+1&gt;=IF(OR('4-man'!$F$40=TRUE,'4-man'!$F$40="TRUE",'4-man'!$F$40="Yes"),25,50)),10,0)+IF('4-man'!L$54=$Q$195,25,0))</f>
        <v/>
      </c>
      <c r="M189">
        <f>MIN(100,L190+IF(AND(L190&lt;100,L191+1&gt;=IF(OR('4-man'!$F$40=TRUE,'4-man'!$F$40="TRUE",'4-man'!$F$40="Yes"),25,50)),10,0)+IF('4-man'!M$54=$Q$195,25,0))</f>
        <v/>
      </c>
      <c r="N189">
        <f>MIN(100,M190+IF(AND(M190&lt;100,M191+1&gt;=IF(OR('4-man'!$F$40=TRUE,'4-man'!$F$40="TRUE",'4-man'!$F$40="Yes"),25,50)),10,0)+IF('4-man'!N$54=$Q$195,25,0))</f>
        <v/>
      </c>
      <c r="O189">
        <f>MIN(100,N190+IF(AND(N190&lt;100,N191+1&gt;=IF(OR('4-man'!$F$40=TRUE,'4-man'!$F$40="TRUE",'4-man'!$F$40="Yes"),25,50)),10,0)+IF('4-man'!O$54=$Q$195,25,0))</f>
        <v/>
      </c>
      <c r="P189">
        <f>MIN(100,O190+IF(AND(O190&lt;100,O191+1&gt;=IF(OR('4-man'!$F$40=TRUE,'4-man'!$F$40="TRUE",'4-man'!$F$40="Yes"),25,50)),10,0)+IF('4-man'!P$54=$Q$195,25,0))</f>
        <v/>
      </c>
      <c r="Q189">
        <f>MIN(100,P190+IF(AND(P190&lt;100,P191+1&gt;=IF(OR('4-man'!$F$40=TRUE,'4-man'!$F$40="TRUE",'4-man'!$F$40="Yes"),25,50)),10,0)+IF('4-man'!Q$54=$Q$195,25,0))</f>
        <v/>
      </c>
      <c r="R189">
        <f>MIN(100,Q190+IF(AND(Q190&lt;100,Q191+1&gt;=IF(OR('4-man'!$F$40=TRUE,'4-man'!$F$40="TRUE",'4-man'!$F$40="Yes"),25,50)),10,0)+IF('4-man'!R$54=$Q$195,25,0))</f>
        <v/>
      </c>
      <c r="S189">
        <f>MIN(100,R190+IF(AND(R190&lt;100,R191+1&gt;=IF(OR('4-man'!$F$40=TRUE,'4-man'!$F$40="TRUE",'4-man'!$F$40="Yes"),25,50)),10,0)+IF('4-man'!S$54=$Q$195,25,0))</f>
        <v/>
      </c>
      <c r="T189">
        <f>MIN(100,S190+IF(AND(S190&lt;100,S191+1&gt;=IF(OR('4-man'!$F$40=TRUE,'4-man'!$F$40="TRUE",'4-man'!$F$40="Yes"),25,50)),10,0)+IF('4-man'!T$54=$Q$195,25,0))</f>
        <v/>
      </c>
      <c r="U189">
        <f>MIN(100,T190+IF(AND(T190&lt;100,T191+1&gt;=IF(OR('4-man'!$F$40=TRUE,'4-man'!$F$40="TRUE",'4-man'!$F$40="Yes"),25,50)),10,0)+IF('4-man'!U$54=$Q$195,25,0))</f>
        <v/>
      </c>
      <c r="V189">
        <f>MIN(100,U190+IF(AND(U190&lt;100,U191+1&gt;=IF(OR('4-man'!$F$40=TRUE,'4-man'!$F$40="TRUE",'4-man'!$F$40="Yes"),25,50)),10,0)+IF('4-man'!V$54=$Q$195,25,0))</f>
        <v/>
      </c>
      <c r="W189">
        <f>MIN(100,V190+IF(AND(V190&lt;100,V191+1&gt;=IF(OR('4-man'!$F$40=TRUE,'4-man'!$F$40="TRUE",'4-man'!$F$40="Yes"),25,50)),10,0)+IF('4-man'!W$54=$Q$195,25,0))</f>
        <v/>
      </c>
      <c r="X189">
        <f>MIN(100,W190+IF(AND(W190&lt;100,W191+1&gt;=IF(OR('4-man'!$F$40=TRUE,'4-man'!$F$40="TRUE",'4-man'!$F$40="Yes"),25,50)),10,0)+IF('4-man'!X$54=$Q$195,25,0))</f>
        <v/>
      </c>
      <c r="Y189">
        <f>MIN(100,X190+IF(AND(X190&lt;100,X191+1&gt;=IF(OR('4-man'!$F$40=TRUE,'4-man'!$F$40="TRUE",'4-man'!$F$40="Yes"),25,50)),10,0)+IF('4-man'!Y$54=$Q$195,25,0))</f>
        <v/>
      </c>
      <c r="Z189">
        <f>MIN(100,Y190+IF(AND(Y190&lt;100,Y191+1&gt;=IF(OR('4-man'!$F$40=TRUE,'4-man'!$F$40="TRUE",'4-man'!$F$40="Yes"),25,50)),10,0)+IF('4-man'!Z$54=$Q$195,25,0))</f>
        <v/>
      </c>
      <c r="AA189">
        <f>MIN(100,Z190+IF(AND(Z190&lt;100,Z191+1&gt;=IF(OR('4-man'!$F$40=TRUE,'4-man'!$F$40="TRUE",'4-man'!$F$40="Yes"),25,50)),10,0)+IF('4-man'!AA$54=$Q$195,25,0))</f>
        <v/>
      </c>
      <c r="AB189">
        <f>MIN(100,AA190+IF(AND(AA190&lt;100,AA191+1&gt;=IF(OR('4-man'!$F$40=TRUE,'4-man'!$F$40="TRUE",'4-man'!$F$40="Yes"),25,50)),10,0)+IF('4-man'!AB$54=$Q$195,25,0))</f>
        <v/>
      </c>
      <c r="AC189">
        <f>MIN(100,AB190+IF(AND(AB190&lt;100,AB191+1&gt;=IF(OR('4-man'!$F$40=TRUE,'4-man'!$F$40="TRUE",'4-man'!$F$40="Yes"),25,50)),10,0)+IF('4-man'!AC$54=$Q$195,25,0))</f>
        <v/>
      </c>
      <c r="AD189">
        <f>MIN(100,AC190+IF(AND(AC190&lt;100,AC191+1&gt;=IF(OR('4-man'!$F$40=TRUE,'4-man'!$F$40="TRUE",'4-man'!$F$40="Yes"),25,50)),10,0)+IF('4-man'!AD$54=$Q$195,25,0))</f>
        <v/>
      </c>
      <c r="AE189">
        <f>MIN(100,AD190+IF(AND(AD190&lt;100,AD191+1&gt;=IF(OR('4-man'!$F$40=TRUE,'4-man'!$F$40="TRUE",'4-man'!$F$40="Yes"),25,50)),10,0)+IF('4-man'!AE$54=$Q$195,25,0))</f>
        <v/>
      </c>
      <c r="AF189">
        <f>MIN(100,AE190+IF(AND(AE190&lt;100,AE191+1&gt;=IF(OR('4-man'!$F$40=TRUE,'4-man'!$F$40="TRUE",'4-man'!$F$40="Yes"),25,50)),10,0)+IF('4-man'!AF$54=$Q$195,25,0))</f>
        <v/>
      </c>
      <c r="AG189">
        <f>MIN(100,AF190+IF(AND(AF190&lt;100,AF191+1&gt;=IF(OR('4-man'!$F$40=TRUE,'4-man'!$F$40="TRUE",'4-man'!$F$40="Yes"),25,50)),10,0)+IF('4-man'!AG$54=$Q$195,25,0))</f>
        <v/>
      </c>
      <c r="AH189">
        <f>MIN(100,AG190+IF(AND(AG190&lt;100,AG191+1&gt;=IF(OR('4-man'!$F$40=TRUE,'4-man'!$F$40="TRUE",'4-man'!$F$40="Yes"),25,50)),10,0)+IF('4-man'!AH$54=$Q$195,25,0))</f>
        <v/>
      </c>
      <c r="AI189">
        <f>MIN(100,AH190+IF(AND(AH190&lt;100,AH191+1&gt;=IF(OR('4-man'!$F$40=TRUE,'4-man'!$F$40="TRUE",'4-man'!$F$40="Yes"),25,50)),10,0)+IF('4-man'!AI$54=$Q$195,25,0))</f>
        <v/>
      </c>
      <c r="AJ189">
        <f>MIN(100,AI190+IF(AND(AI190&lt;100,AI191+1&gt;=IF(OR('4-man'!$F$40=TRUE,'4-man'!$F$40="TRUE",'4-man'!$F$40="Yes"),25,50)),10,0)+IF('4-man'!AJ$54=$Q$195,25,0))</f>
        <v/>
      </c>
      <c r="AK189">
        <f>MIN(100,AJ190+IF(AND(AJ190&lt;100,AJ191+1&gt;=IF(OR('4-man'!$F$40=TRUE,'4-man'!$F$40="TRUE",'4-man'!$F$40="Yes"),25,50)),10,0)+IF('4-man'!AK$54=$Q$195,25,0))</f>
        <v/>
      </c>
      <c r="AL189">
        <f>MIN(100,AK190+IF(AND(AK190&lt;100,AK191+1&gt;=IF(OR('4-man'!$F$40=TRUE,'4-man'!$F$40="TRUE",'4-man'!$F$40="Yes"),25,50)),10,0)+IF('4-man'!AL$54=$Q$195,25,0))</f>
        <v/>
      </c>
      <c r="AM189">
        <f>MIN(100,AL190+IF(AND(AL190&lt;100,AL191+1&gt;=IF(OR('4-man'!$F$40=TRUE,'4-man'!$F$40="TRUE",'4-man'!$F$40="Yes"),25,50)),10,0)+IF('4-man'!AM$54=$Q$195,25,0))</f>
        <v/>
      </c>
      <c r="AN189">
        <f>MIN(100,AM190+IF(AND(AM190&lt;100,AM191+1&gt;=IF(OR('4-man'!$F$40=TRUE,'4-man'!$F$40="TRUE",'4-man'!$F$40="Yes"),25,50)),10,0)+IF('4-man'!AN$54=$Q$195,25,0))</f>
        <v/>
      </c>
      <c r="AO189">
        <f>MIN(100,AN190+IF(AND(AN190&lt;100,AN191+1&gt;=IF(OR('4-man'!$F$40=TRUE,'4-man'!$F$40="TRUE",'4-man'!$F$40="Yes"),25,50)),10,0)+IF('4-man'!AO$54=$Q$195,25,0))</f>
        <v/>
      </c>
      <c r="AP189">
        <f>MIN(100,AO190+IF(AND(AO190&lt;100,AO191+1&gt;=IF(OR('4-man'!$F$40=TRUE,'4-man'!$F$40="TRUE",'4-man'!$F$40="Yes"),25,50)),10,0)+IF('4-man'!AP$54=$Q$195,25,0))</f>
        <v/>
      </c>
      <c r="AQ189">
        <f>MIN(100,AP190+IF(AND(AP190&lt;100,AP191+1&gt;=IF(OR('4-man'!$F$40=TRUE,'4-man'!$F$40="TRUE",'4-man'!$F$40="Yes"),25,50)),10,0)+IF('4-man'!AQ$54=$Q$195,25,0))</f>
        <v/>
      </c>
      <c r="AR189">
        <f>MIN(100,AQ190+IF(AND(AQ190&lt;100,AQ191+1&gt;=IF(OR('4-man'!$F$40=TRUE,'4-man'!$F$40="TRUE",'4-man'!$F$40="Yes"),25,50)),10,0)+IF('4-man'!AR$54=$Q$195,25,0))</f>
        <v/>
      </c>
      <c r="AS189">
        <f>MIN(100,AR190+IF(AND(AR190&lt;100,AR191+1&gt;=IF(OR('4-man'!$F$40=TRUE,'4-man'!$F$40="TRUE",'4-man'!$F$40="Yes"),25,50)),10,0)+IF('4-man'!AS$54=$Q$195,25,0))</f>
        <v/>
      </c>
      <c r="AT189">
        <f>MIN(100,AS190+IF(AND(AS190&lt;100,AS191+1&gt;=IF(OR('4-man'!$F$40=TRUE,'4-man'!$F$40="TRUE",'4-man'!$F$40="Yes"),25,50)),10,0)+IF('4-man'!AT$54=$Q$195,25,0))</f>
        <v/>
      </c>
      <c r="AU189">
        <f>MIN(100,AT190+IF(AND(AT190&lt;100,AT191+1&gt;=IF(OR('4-man'!$F$40=TRUE,'4-man'!$F$40="TRUE",'4-man'!$F$40="Yes"),25,50)),10,0)+IF('4-man'!AU$54=$Q$195,25,0))</f>
        <v/>
      </c>
      <c r="AV189">
        <f>MIN(100,AU190+IF(AND(AU190&lt;100,AU191+1&gt;=IF(OR('4-man'!$F$40=TRUE,'4-man'!$F$40="TRUE",'4-man'!$F$40="Yes"),25,50)),10,0)+IF('4-man'!AV$54=$Q$195,25,0))</f>
        <v/>
      </c>
      <c r="AW189">
        <f>MIN(100,AV190+IF(AND(AV190&lt;100,AV191+1&gt;=IF(OR('4-man'!$F$40=TRUE,'4-man'!$F$40="TRUE",'4-man'!$F$40="Yes"),25,50)),10,0)+IF('4-man'!AW$54=$Q$195,25,0))</f>
        <v/>
      </c>
      <c r="AX189">
        <f>MIN(100,AW190+IF(AND(AW190&lt;100,AW191+1&gt;=IF(OR('4-man'!$F$40=TRUE,'4-man'!$F$40="TRUE",'4-man'!$F$40="Yes"),25,50)),10,0)+IF('4-man'!AX$54=$Q$195,25,0))</f>
        <v/>
      </c>
      <c r="AY189">
        <f>MIN(100,AX190+IF(AND(AX190&lt;100,AX191+1&gt;=IF(OR('4-man'!$F$40=TRUE,'4-man'!$F$40="TRUE",'4-man'!$F$40="Yes"),25,50)),10,0)+IF('4-man'!AY$54=$Q$195,25,0))</f>
        <v/>
      </c>
      <c r="AZ189">
        <f>MIN(100,AY190+IF(AND(AY190&lt;100,AY191+1&gt;=IF(OR('4-man'!$F$40=TRUE,'4-man'!$F$40="TRUE",'4-man'!$F$40="Yes"),25,50)),10,0)+IF('4-man'!AZ$54=$Q$195,25,0))</f>
        <v/>
      </c>
      <c r="BA189">
        <f>MIN(100,AZ190+IF(AND(AZ190&lt;100,AZ191+1&gt;=IF(OR('4-man'!$F$40=TRUE,'4-man'!$F$40="TRUE",'4-man'!$F$40="Yes"),25,50)),10,0)+IF('4-man'!BA$54=$Q$195,25,0))</f>
        <v/>
      </c>
      <c r="BB189">
        <f>MIN(100,BA190+IF(AND(BA190&lt;100,BA191+1&gt;=IF(OR('4-man'!$F$40=TRUE,'4-man'!$F$40="TRUE",'4-man'!$F$40="Yes"),25,50)),10,0)+IF('4-man'!BB$54=$Q$195,25,0))</f>
        <v/>
      </c>
      <c r="BC189">
        <f>MIN(100,BB190+IF(AND(BB190&lt;100,BB191+1&gt;=IF(OR('4-man'!$F$40=TRUE,'4-man'!$F$40="TRUE",'4-man'!$F$40="Yes"),25,50)),10,0)+IF('4-man'!BC$54=$Q$195,25,0))</f>
        <v/>
      </c>
      <c r="BD189">
        <f>MIN(100,BC190+IF(AND(BC190&lt;100,BC191+1&gt;=IF(OR('4-man'!$F$40=TRUE,'4-man'!$F$40="TRUE",'4-man'!$F$40="Yes"),25,50)),10,0)+IF('4-man'!BD$54=$Q$195,25,0))</f>
        <v/>
      </c>
      <c r="BE189">
        <f>MIN(100,BD190+IF(AND(BD190&lt;100,BD191+1&gt;=IF(OR('4-man'!$F$40=TRUE,'4-man'!$F$40="TRUE",'4-man'!$F$40="Yes"),25,50)),10,0)+IF('4-man'!BE$54=$Q$195,25,0))</f>
        <v/>
      </c>
      <c r="BF189">
        <f>MIN(100,BE190+IF(AND(BE190&lt;100,BE191+1&gt;=IF(OR('4-man'!$F$40=TRUE,'4-man'!$F$40="TRUE",'4-man'!$F$40="Yes"),25,50)),10,0)+IF('4-man'!BF$54=$Q$195,25,0))</f>
        <v/>
      </c>
      <c r="BG189">
        <f>MIN(100,BF190+IF(AND(BF190&lt;100,BF191+1&gt;=IF(OR('4-man'!$F$40=TRUE,'4-man'!$F$40="TRUE",'4-man'!$F$40="Yes"),25,50)),10,0)+IF('4-man'!BG$54=$Q$195,25,0))</f>
        <v/>
      </c>
      <c r="BH189">
        <f>MIN(100,BG190+IF(AND(BG190&lt;100,BG191+1&gt;=IF(OR('4-man'!$F$40=TRUE,'4-man'!$F$40="TRUE",'4-man'!$F$40="Yes"),25,50)),10,0)+IF('4-man'!BH$54=$Q$195,25,0))</f>
        <v/>
      </c>
      <c r="BI189">
        <f>MIN(100,BH190+IF(AND(BH190&lt;100,BH191+1&gt;=IF(OR('4-man'!$F$40=TRUE,'4-man'!$F$40="TRUE",'4-man'!$F$40="Yes"),25,50)),10,0)+IF('4-man'!BI$54=$Q$195,25,0))</f>
        <v/>
      </c>
      <c r="BJ189">
        <f>MIN(100,BI190+IF(AND(BI190&lt;100,BI191+1&gt;=IF(OR('4-man'!$F$40=TRUE,'4-man'!$F$40="TRUE",'4-man'!$F$40="Yes"),25,50)),10,0)+IF('4-man'!BJ$54=$Q$195,25,0))</f>
        <v/>
      </c>
      <c r="BK189">
        <f>MIN(100,BJ190+IF(AND(BJ190&lt;100,BJ191+1&gt;=IF(OR('4-man'!$F$40=TRUE,'4-man'!$F$40="TRUE",'4-man'!$F$40="Yes"),25,50)),10,0)+IF('4-man'!BK$54=$Q$195,25,0))</f>
        <v/>
      </c>
      <c r="BL189">
        <f>MIN(100,BK190+IF(AND(BK190&lt;100,BK191+1&gt;=IF(OR('4-man'!$F$40=TRUE,'4-man'!$F$40="TRUE",'4-man'!$F$40="Yes"),25,50)),10,0)+IF('4-man'!BL$54=$Q$195,25,0))</f>
        <v/>
      </c>
      <c r="BM189">
        <f>MIN(100,BL190+IF(AND(BL190&lt;100,BL191+1&gt;=IF(OR('4-man'!$F$40=TRUE,'4-man'!$F$40="TRUE",'4-man'!$F$40="Yes"),25,50)),10,0)+IF('4-man'!BM$54=$Q$195,25,0))</f>
        <v/>
      </c>
      <c r="BN189">
        <f>MIN(100,BM190+IF(AND(BM190&lt;100,BM191+1&gt;=IF(OR('4-man'!$F$40=TRUE,'4-man'!$F$40="TRUE",'4-man'!$F$40="Yes"),25,50)),10,0)+IF('4-man'!BN$54=$Q$195,25,0))</f>
        <v/>
      </c>
      <c r="BO189">
        <f>MIN(100,BN190+IF(AND(BN190&lt;100,BN191+1&gt;=IF(OR('4-man'!$F$40=TRUE,'4-man'!$F$40="TRUE",'4-man'!$F$40="Yes"),25,50)),10,0)+IF('4-man'!BO$54=$Q$195,25,0))</f>
        <v/>
      </c>
      <c r="BP189">
        <f>MIN(100,BO190+IF(AND(BO190&lt;100,BO191+1&gt;=IF(OR('4-man'!$F$40=TRUE,'4-man'!$F$40="TRUE",'4-man'!$F$40="Yes"),25,50)),10,0)+IF('4-man'!BP$54=$Q$195,25,0))</f>
        <v/>
      </c>
      <c r="BQ189">
        <f>MIN(100,BP190+IF(AND(BP190&lt;100,BP191+1&gt;=IF(OR('4-man'!$F$40=TRUE,'4-man'!$F$40="TRUE",'4-man'!$F$40="Yes"),25,50)),10,0)+IF('4-man'!BQ$54=$Q$195,25,0))</f>
        <v/>
      </c>
      <c r="BR189">
        <f>MIN(100,BQ190+IF(AND(BQ190&lt;100,BQ191+1&gt;=IF(OR('4-man'!$F$40=TRUE,'4-man'!$F$40="TRUE",'4-man'!$F$40="Yes"),25,50)),10,0)+IF('4-man'!BR$54=$Q$195,25,0))</f>
        <v/>
      </c>
      <c r="BS189">
        <f>MIN(100,BR190+IF(AND(BR190&lt;100,BR191+1&gt;=IF(OR('4-man'!$F$40=TRUE,'4-man'!$F$40="TRUE",'4-man'!$F$40="Yes"),25,50)),10,0)+IF('4-man'!BS$54=$Q$195,25,0))</f>
        <v/>
      </c>
      <c r="BT189">
        <f>MIN(100,BS190+IF(AND(BS190&lt;100,BS191+1&gt;=IF(OR('4-man'!$F$40=TRUE,'4-man'!$F$40="TRUE",'4-man'!$F$40="Yes"),25,50)),10,0)+IF('4-man'!BT$54=$Q$195,25,0))</f>
        <v/>
      </c>
      <c r="BU189">
        <f>MIN(100,BT190+IF(AND(BT190&lt;100,BT191+1&gt;=IF(OR('4-man'!$F$40=TRUE,'4-man'!$F$40="TRUE",'4-man'!$F$40="Yes"),25,50)),10,0)+IF('4-man'!BU$54=$Q$195,25,0))</f>
        <v/>
      </c>
      <c r="BV189">
        <f>MIN(100,BU190+IF(AND(BU190&lt;100,BU191+1&gt;=IF(OR('4-man'!$F$40=TRUE,'4-man'!$F$40="TRUE",'4-man'!$F$40="Yes"),25,50)),10,0)+IF('4-man'!BV$54=$Q$195,25,0))</f>
        <v/>
      </c>
      <c r="BW189">
        <f>MIN(100,BV190+IF(AND(BV190&lt;100,BV191+1&gt;=IF(OR('4-man'!$F$40=TRUE,'4-man'!$F$40="TRUE",'4-man'!$F$40="Yes"),25,50)),10,0)+IF('4-man'!BW$54=$Q$195,25,0))</f>
        <v/>
      </c>
      <c r="BX189">
        <f>MIN(100,BW190+IF(AND(BW190&lt;100,BW191+1&gt;=IF(OR('4-man'!$F$40=TRUE,'4-man'!$F$40="TRUE",'4-man'!$F$40="Yes"),25,50)),10,0)+IF('4-man'!BX$54=$Q$195,25,0))</f>
        <v/>
      </c>
      <c r="BY189">
        <f>MIN(100,BX190+IF(AND(BX190&lt;100,BX191+1&gt;=IF(OR('4-man'!$F$40=TRUE,'4-man'!$F$40="TRUE",'4-man'!$F$40="Yes"),25,50)),10,0)+IF('4-man'!BY$54=$Q$195,25,0))</f>
        <v/>
      </c>
      <c r="BZ189">
        <f>MIN(100,BY190+IF(AND(BY190&lt;100,BY191+1&gt;=IF(OR('4-man'!$F$40=TRUE,'4-man'!$F$40="TRUE",'4-man'!$F$40="Yes"),25,50)),10,0)+IF('4-man'!BZ$54=$Q$195,25,0))</f>
        <v/>
      </c>
      <c r="CA189">
        <f>MIN(100,BZ190+IF(AND(BZ190&lt;100,BZ191+1&gt;=IF(OR('4-man'!$F$40=TRUE,'4-man'!$F$40="TRUE",'4-man'!$F$40="Yes"),25,50)),10,0)+IF('4-man'!CA$54=$Q$195,25,0))</f>
        <v/>
      </c>
      <c r="CB189">
        <f>MIN(100,CA190+IF(AND(CA190&lt;100,CA191+1&gt;=IF(OR('4-man'!$F$40=TRUE,'4-man'!$F$40="TRUE",'4-man'!$F$40="Yes"),25,50)),10,0)+IF('4-man'!CB$54=$Q$195,25,0))</f>
        <v/>
      </c>
      <c r="CC189">
        <f>MIN(100,CB190+IF(AND(CB190&lt;100,CB191+1&gt;=IF(OR('4-man'!$F$40=TRUE,'4-man'!$F$40="TRUE",'4-man'!$F$40="Yes"),25,50)),10,0)+IF('4-man'!CC$54=$Q$195,25,0))</f>
        <v/>
      </c>
      <c r="CD189">
        <f>MIN(100,CC190+IF(AND(CC190&lt;100,CC191+1&gt;=IF(OR('4-man'!$F$40=TRUE,'4-man'!$F$40="TRUE",'4-man'!$F$40="Yes"),25,50)),10,0)+IF('4-man'!CD$54=$Q$195,25,0))</f>
        <v/>
      </c>
    </row>
    <row r="190">
      <c r="A190" t="inlineStr">
        <is>
          <t>P4 spec</t>
        </is>
      </c>
      <c r="B190">
        <f>IF('4-man'!$C$40="",100,'4-man'!$C$40)</f>
        <v/>
      </c>
      <c r="C190">
        <f>IF('4-man'!C$58="R",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4-man'!D$58="R",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4-man'!E$58="R",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4-man'!F$58="R",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4-man'!G$58="R",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4-man'!H$58="R",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4-man'!I$58="R",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4-man'!J$58="R",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4-man'!K$58="R",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4-man'!L$58="R",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4-man'!M$58="R",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4-man'!N$58="R",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4-man'!O$58="R",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4-man'!P$58="R",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4-man'!Q$58="R",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4-man'!R$58="R",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4-man'!S$58="R",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4-man'!T$58="R",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4-man'!U$58="R",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4-man'!V$58="R",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4-man'!W$58="R",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4-man'!X$58="R",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4-man'!Y$58="R",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4-man'!Z$58="R",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4-man'!AA$58="R",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4-man'!AB$58="R",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4-man'!AC$58="R",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4-man'!AD$58="R",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4-man'!AE$58="R",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4-man'!AF$58="R",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4-man'!AG$58="R",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4-man'!AH$58="R",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4-man'!AI$58="R",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4-man'!AJ$58="R",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4-man'!AK$58="R",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4-man'!AL$58="R",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4-man'!AM$58="R",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4-man'!AN$58="R",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4-man'!AO$58="R",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4-man'!AP$58="R",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4-man'!AQ$58="R",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4-man'!AR$58="R",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4-man'!AS$58="R",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4-man'!AT$58="R",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4-man'!AU$58="R",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4-man'!AV$58="R",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4-man'!AW$58="R",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4-man'!AX$58="R",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4-man'!AY$58="R",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4-man'!AZ$58="R",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4-man'!BA$58="R",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4-man'!BB$58="R",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4-man'!BC$58="R",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4-man'!BD$58="R",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4-man'!BE$58="R",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4-man'!BF$58="R",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4-man'!BG$58="R",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4-man'!BH$58="R",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4-man'!BI$58="R",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4-man'!BJ$58="R",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4-man'!BK$58="R",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4-man'!BL$58="R",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4-man'!BM$58="R",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4-man'!BN$58="R",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4-man'!BO$58="R",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4-man'!BP$58="R",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4-man'!BQ$58="R",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4-man'!BR$58="R",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4-man'!BS$58="R",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4-man'!BT$58="R",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4-man'!BU$58="R",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4-man'!BV$58="R",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4-man'!BW$58="R",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4-man'!BX$58="R",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4-man'!BY$58="R",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4-man'!BZ$58="R",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4-man'!CA$58="R",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4-man'!CB$58="R",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4-man'!CC$58="R",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4-man'!CD$58="R",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IF('4-man'!C$58="R",0,IF(B190&gt;=100,0,IF(B191+1&gt;=IF(OR('4-man'!$F$40=TRUE,'4-man'!$F$40="TRUE",'4-man'!$F$40="Yes"),25,50),0,B191+1)))</f>
        <v/>
      </c>
      <c r="D191">
        <f>IF('4-man'!D$58="R",0,IF(C190&gt;=100,0,IF(C191+1&gt;=IF(OR('4-man'!$F$40=TRUE,'4-man'!$F$40="TRUE",'4-man'!$F$40="Yes"),25,50),0,C191+1)))</f>
        <v/>
      </c>
      <c r="E191">
        <f>IF('4-man'!E$58="R",0,IF(D190&gt;=100,0,IF(D191+1&gt;=IF(OR('4-man'!$F$40=TRUE,'4-man'!$F$40="TRUE",'4-man'!$F$40="Yes"),25,50),0,D191+1)))</f>
        <v/>
      </c>
      <c r="F191">
        <f>IF('4-man'!F$58="R",0,IF(E190&gt;=100,0,IF(E191+1&gt;=IF(OR('4-man'!$F$40=TRUE,'4-man'!$F$40="TRUE",'4-man'!$F$40="Yes"),25,50),0,E191+1)))</f>
        <v/>
      </c>
      <c r="G191">
        <f>IF('4-man'!G$58="R",0,IF(F190&gt;=100,0,IF(F191+1&gt;=IF(OR('4-man'!$F$40=TRUE,'4-man'!$F$40="TRUE",'4-man'!$F$40="Yes"),25,50),0,F191+1)))</f>
        <v/>
      </c>
      <c r="H191">
        <f>IF('4-man'!H$58="R",0,IF(G190&gt;=100,0,IF(G191+1&gt;=IF(OR('4-man'!$F$40=TRUE,'4-man'!$F$40="TRUE",'4-man'!$F$40="Yes"),25,50),0,G191+1)))</f>
        <v/>
      </c>
      <c r="I191">
        <f>IF('4-man'!I$58="R",0,IF(H190&gt;=100,0,IF(H191+1&gt;=IF(OR('4-man'!$F$40=TRUE,'4-man'!$F$40="TRUE",'4-man'!$F$40="Yes"),25,50),0,H191+1)))</f>
        <v/>
      </c>
      <c r="J191">
        <f>IF('4-man'!J$58="R",0,IF(I190&gt;=100,0,IF(I191+1&gt;=IF(OR('4-man'!$F$40=TRUE,'4-man'!$F$40="TRUE",'4-man'!$F$40="Yes"),25,50),0,I191+1)))</f>
        <v/>
      </c>
      <c r="K191">
        <f>IF('4-man'!K$58="R",0,IF(J190&gt;=100,0,IF(J191+1&gt;=IF(OR('4-man'!$F$40=TRUE,'4-man'!$F$40="TRUE",'4-man'!$F$40="Yes"),25,50),0,J191+1)))</f>
        <v/>
      </c>
      <c r="L191">
        <f>IF('4-man'!L$58="R",0,IF(K190&gt;=100,0,IF(K191+1&gt;=IF(OR('4-man'!$F$40=TRUE,'4-man'!$F$40="TRUE",'4-man'!$F$40="Yes"),25,50),0,K191+1)))</f>
        <v/>
      </c>
      <c r="M191">
        <f>IF('4-man'!M$58="R",0,IF(L190&gt;=100,0,IF(L191+1&gt;=IF(OR('4-man'!$F$40=TRUE,'4-man'!$F$40="TRUE",'4-man'!$F$40="Yes"),25,50),0,L191+1)))</f>
        <v/>
      </c>
      <c r="N191">
        <f>IF('4-man'!N$58="R",0,IF(M190&gt;=100,0,IF(M191+1&gt;=IF(OR('4-man'!$F$40=TRUE,'4-man'!$F$40="TRUE",'4-man'!$F$40="Yes"),25,50),0,M191+1)))</f>
        <v/>
      </c>
      <c r="O191">
        <f>IF('4-man'!O$58="R",0,IF(N190&gt;=100,0,IF(N191+1&gt;=IF(OR('4-man'!$F$40=TRUE,'4-man'!$F$40="TRUE",'4-man'!$F$40="Yes"),25,50),0,N191+1)))</f>
        <v/>
      </c>
      <c r="P191">
        <f>IF('4-man'!P$58="R",0,IF(O190&gt;=100,0,IF(O191+1&gt;=IF(OR('4-man'!$F$40=TRUE,'4-man'!$F$40="TRUE",'4-man'!$F$40="Yes"),25,50),0,O191+1)))</f>
        <v/>
      </c>
      <c r="Q191">
        <f>IF('4-man'!Q$58="R",0,IF(P190&gt;=100,0,IF(P191+1&gt;=IF(OR('4-man'!$F$40=TRUE,'4-man'!$F$40="TRUE",'4-man'!$F$40="Yes"),25,50),0,P191+1)))</f>
        <v/>
      </c>
      <c r="R191">
        <f>IF('4-man'!R$58="R",0,IF(Q190&gt;=100,0,IF(Q191+1&gt;=IF(OR('4-man'!$F$40=TRUE,'4-man'!$F$40="TRUE",'4-man'!$F$40="Yes"),25,50),0,Q191+1)))</f>
        <v/>
      </c>
      <c r="S191">
        <f>IF('4-man'!S$58="R",0,IF(R190&gt;=100,0,IF(R191+1&gt;=IF(OR('4-man'!$F$40=TRUE,'4-man'!$F$40="TRUE",'4-man'!$F$40="Yes"),25,50),0,R191+1)))</f>
        <v/>
      </c>
      <c r="T191">
        <f>IF('4-man'!T$58="R",0,IF(S190&gt;=100,0,IF(S191+1&gt;=IF(OR('4-man'!$F$40=TRUE,'4-man'!$F$40="TRUE",'4-man'!$F$40="Yes"),25,50),0,S191+1)))</f>
        <v/>
      </c>
      <c r="U191">
        <f>IF('4-man'!U$58="R",0,IF(T190&gt;=100,0,IF(T191+1&gt;=IF(OR('4-man'!$F$40=TRUE,'4-man'!$F$40="TRUE",'4-man'!$F$40="Yes"),25,50),0,T191+1)))</f>
        <v/>
      </c>
      <c r="V191">
        <f>IF('4-man'!V$58="R",0,IF(U190&gt;=100,0,IF(U191+1&gt;=IF(OR('4-man'!$F$40=TRUE,'4-man'!$F$40="TRUE",'4-man'!$F$40="Yes"),25,50),0,U191+1)))</f>
        <v/>
      </c>
      <c r="W191">
        <f>IF('4-man'!W$58="R",0,IF(V190&gt;=100,0,IF(V191+1&gt;=IF(OR('4-man'!$F$40=TRUE,'4-man'!$F$40="TRUE",'4-man'!$F$40="Yes"),25,50),0,V191+1)))</f>
        <v/>
      </c>
      <c r="X191">
        <f>IF('4-man'!X$58="R",0,IF(W190&gt;=100,0,IF(W191+1&gt;=IF(OR('4-man'!$F$40=TRUE,'4-man'!$F$40="TRUE",'4-man'!$F$40="Yes"),25,50),0,W191+1)))</f>
        <v/>
      </c>
      <c r="Y191">
        <f>IF('4-man'!Y$58="R",0,IF(X190&gt;=100,0,IF(X191+1&gt;=IF(OR('4-man'!$F$40=TRUE,'4-man'!$F$40="TRUE",'4-man'!$F$40="Yes"),25,50),0,X191+1)))</f>
        <v/>
      </c>
      <c r="Z191">
        <f>IF('4-man'!Z$58="R",0,IF(Y190&gt;=100,0,IF(Y191+1&gt;=IF(OR('4-man'!$F$40=TRUE,'4-man'!$F$40="TRUE",'4-man'!$F$40="Yes"),25,50),0,Y191+1)))</f>
        <v/>
      </c>
      <c r="AA191">
        <f>IF('4-man'!AA$58="R",0,IF(Z190&gt;=100,0,IF(Z191+1&gt;=IF(OR('4-man'!$F$40=TRUE,'4-man'!$F$40="TRUE",'4-man'!$F$40="Yes"),25,50),0,Z191+1)))</f>
        <v/>
      </c>
      <c r="AB191">
        <f>IF('4-man'!AB$58="R",0,IF(AA190&gt;=100,0,IF(AA191+1&gt;=IF(OR('4-man'!$F$40=TRUE,'4-man'!$F$40="TRUE",'4-man'!$F$40="Yes"),25,50),0,AA191+1)))</f>
        <v/>
      </c>
      <c r="AC191">
        <f>IF('4-man'!AC$58="R",0,IF(AB190&gt;=100,0,IF(AB191+1&gt;=IF(OR('4-man'!$F$40=TRUE,'4-man'!$F$40="TRUE",'4-man'!$F$40="Yes"),25,50),0,AB191+1)))</f>
        <v/>
      </c>
      <c r="AD191">
        <f>IF('4-man'!AD$58="R",0,IF(AC190&gt;=100,0,IF(AC191+1&gt;=IF(OR('4-man'!$F$40=TRUE,'4-man'!$F$40="TRUE",'4-man'!$F$40="Yes"),25,50),0,AC191+1)))</f>
        <v/>
      </c>
      <c r="AE191">
        <f>IF('4-man'!AE$58="R",0,IF(AD190&gt;=100,0,IF(AD191+1&gt;=IF(OR('4-man'!$F$40=TRUE,'4-man'!$F$40="TRUE",'4-man'!$F$40="Yes"),25,50),0,AD191+1)))</f>
        <v/>
      </c>
      <c r="AF191">
        <f>IF('4-man'!AF$58="R",0,IF(AE190&gt;=100,0,IF(AE191+1&gt;=IF(OR('4-man'!$F$40=TRUE,'4-man'!$F$40="TRUE",'4-man'!$F$40="Yes"),25,50),0,AE191+1)))</f>
        <v/>
      </c>
      <c r="AG191">
        <f>IF('4-man'!AG$58="R",0,IF(AF190&gt;=100,0,IF(AF191+1&gt;=IF(OR('4-man'!$F$40=TRUE,'4-man'!$F$40="TRUE",'4-man'!$F$40="Yes"),25,50),0,AF191+1)))</f>
        <v/>
      </c>
      <c r="AH191">
        <f>IF('4-man'!AH$58="R",0,IF(AG190&gt;=100,0,IF(AG191+1&gt;=IF(OR('4-man'!$F$40=TRUE,'4-man'!$F$40="TRUE",'4-man'!$F$40="Yes"),25,50),0,AG191+1)))</f>
        <v/>
      </c>
      <c r="AI191">
        <f>IF('4-man'!AI$58="R",0,IF(AH190&gt;=100,0,IF(AH191+1&gt;=IF(OR('4-man'!$F$40=TRUE,'4-man'!$F$40="TRUE",'4-man'!$F$40="Yes"),25,50),0,AH191+1)))</f>
        <v/>
      </c>
      <c r="AJ191">
        <f>IF('4-man'!AJ$58="R",0,IF(AI190&gt;=100,0,IF(AI191+1&gt;=IF(OR('4-man'!$F$40=TRUE,'4-man'!$F$40="TRUE",'4-man'!$F$40="Yes"),25,50),0,AI191+1)))</f>
        <v/>
      </c>
      <c r="AK191">
        <f>IF('4-man'!AK$58="R",0,IF(AJ190&gt;=100,0,IF(AJ191+1&gt;=IF(OR('4-man'!$F$40=TRUE,'4-man'!$F$40="TRUE",'4-man'!$F$40="Yes"),25,50),0,AJ191+1)))</f>
        <v/>
      </c>
      <c r="AL191">
        <f>IF('4-man'!AL$58="R",0,IF(AK190&gt;=100,0,IF(AK191+1&gt;=IF(OR('4-man'!$F$40=TRUE,'4-man'!$F$40="TRUE",'4-man'!$F$40="Yes"),25,50),0,AK191+1)))</f>
        <v/>
      </c>
      <c r="AM191">
        <f>IF('4-man'!AM$58="R",0,IF(AL190&gt;=100,0,IF(AL191+1&gt;=IF(OR('4-man'!$F$40=TRUE,'4-man'!$F$40="TRUE",'4-man'!$F$40="Yes"),25,50),0,AL191+1)))</f>
        <v/>
      </c>
      <c r="AN191">
        <f>IF('4-man'!AN$58="R",0,IF(AM190&gt;=100,0,IF(AM191+1&gt;=IF(OR('4-man'!$F$40=TRUE,'4-man'!$F$40="TRUE",'4-man'!$F$40="Yes"),25,50),0,AM191+1)))</f>
        <v/>
      </c>
      <c r="AO191">
        <f>IF('4-man'!AO$58="R",0,IF(AN190&gt;=100,0,IF(AN191+1&gt;=IF(OR('4-man'!$F$40=TRUE,'4-man'!$F$40="TRUE",'4-man'!$F$40="Yes"),25,50),0,AN191+1)))</f>
        <v/>
      </c>
      <c r="AP191">
        <f>IF('4-man'!AP$58="R",0,IF(AO190&gt;=100,0,IF(AO191+1&gt;=IF(OR('4-man'!$F$40=TRUE,'4-man'!$F$40="TRUE",'4-man'!$F$40="Yes"),25,50),0,AO191+1)))</f>
        <v/>
      </c>
      <c r="AQ191">
        <f>IF('4-man'!AQ$58="R",0,IF(AP190&gt;=100,0,IF(AP191+1&gt;=IF(OR('4-man'!$F$40=TRUE,'4-man'!$F$40="TRUE",'4-man'!$F$40="Yes"),25,50),0,AP191+1)))</f>
        <v/>
      </c>
      <c r="AR191">
        <f>IF('4-man'!AR$58="R",0,IF(AQ190&gt;=100,0,IF(AQ191+1&gt;=IF(OR('4-man'!$F$40=TRUE,'4-man'!$F$40="TRUE",'4-man'!$F$40="Yes"),25,50),0,AQ191+1)))</f>
        <v/>
      </c>
      <c r="AS191">
        <f>IF('4-man'!AS$58="R",0,IF(AR190&gt;=100,0,IF(AR191+1&gt;=IF(OR('4-man'!$F$40=TRUE,'4-man'!$F$40="TRUE",'4-man'!$F$40="Yes"),25,50),0,AR191+1)))</f>
        <v/>
      </c>
      <c r="AT191">
        <f>IF('4-man'!AT$58="R",0,IF(AS190&gt;=100,0,IF(AS191+1&gt;=IF(OR('4-man'!$F$40=TRUE,'4-man'!$F$40="TRUE",'4-man'!$F$40="Yes"),25,50),0,AS191+1)))</f>
        <v/>
      </c>
      <c r="AU191">
        <f>IF('4-man'!AU$58="R",0,IF(AT190&gt;=100,0,IF(AT191+1&gt;=IF(OR('4-man'!$F$40=TRUE,'4-man'!$F$40="TRUE",'4-man'!$F$40="Yes"),25,50),0,AT191+1)))</f>
        <v/>
      </c>
      <c r="AV191">
        <f>IF('4-man'!AV$58="R",0,IF(AU190&gt;=100,0,IF(AU191+1&gt;=IF(OR('4-man'!$F$40=TRUE,'4-man'!$F$40="TRUE",'4-man'!$F$40="Yes"),25,50),0,AU191+1)))</f>
        <v/>
      </c>
      <c r="AW191">
        <f>IF('4-man'!AW$58="R",0,IF(AV190&gt;=100,0,IF(AV191+1&gt;=IF(OR('4-man'!$F$40=TRUE,'4-man'!$F$40="TRUE",'4-man'!$F$40="Yes"),25,50),0,AV191+1)))</f>
        <v/>
      </c>
      <c r="AX191">
        <f>IF('4-man'!AX$58="R",0,IF(AW190&gt;=100,0,IF(AW191+1&gt;=IF(OR('4-man'!$F$40=TRUE,'4-man'!$F$40="TRUE",'4-man'!$F$40="Yes"),25,50),0,AW191+1)))</f>
        <v/>
      </c>
      <c r="AY191">
        <f>IF('4-man'!AY$58="R",0,IF(AX190&gt;=100,0,IF(AX191+1&gt;=IF(OR('4-man'!$F$40=TRUE,'4-man'!$F$40="TRUE",'4-man'!$F$40="Yes"),25,50),0,AX191+1)))</f>
        <v/>
      </c>
      <c r="AZ191">
        <f>IF('4-man'!AZ$58="R",0,IF(AY190&gt;=100,0,IF(AY191+1&gt;=IF(OR('4-man'!$F$40=TRUE,'4-man'!$F$40="TRUE",'4-man'!$F$40="Yes"),25,50),0,AY191+1)))</f>
        <v/>
      </c>
      <c r="BA191">
        <f>IF('4-man'!BA$58="R",0,IF(AZ190&gt;=100,0,IF(AZ191+1&gt;=IF(OR('4-man'!$F$40=TRUE,'4-man'!$F$40="TRUE",'4-man'!$F$40="Yes"),25,50),0,AZ191+1)))</f>
        <v/>
      </c>
      <c r="BB191">
        <f>IF('4-man'!BB$58="R",0,IF(BA190&gt;=100,0,IF(BA191+1&gt;=IF(OR('4-man'!$F$40=TRUE,'4-man'!$F$40="TRUE",'4-man'!$F$40="Yes"),25,50),0,BA191+1)))</f>
        <v/>
      </c>
      <c r="BC191">
        <f>IF('4-man'!BC$58="R",0,IF(BB190&gt;=100,0,IF(BB191+1&gt;=IF(OR('4-man'!$F$40=TRUE,'4-man'!$F$40="TRUE",'4-man'!$F$40="Yes"),25,50),0,BB191+1)))</f>
        <v/>
      </c>
      <c r="BD191">
        <f>IF('4-man'!BD$58="R",0,IF(BC190&gt;=100,0,IF(BC191+1&gt;=IF(OR('4-man'!$F$40=TRUE,'4-man'!$F$40="TRUE",'4-man'!$F$40="Yes"),25,50),0,BC191+1)))</f>
        <v/>
      </c>
      <c r="BE191">
        <f>IF('4-man'!BE$58="R",0,IF(BD190&gt;=100,0,IF(BD191+1&gt;=IF(OR('4-man'!$F$40=TRUE,'4-man'!$F$40="TRUE",'4-man'!$F$40="Yes"),25,50),0,BD191+1)))</f>
        <v/>
      </c>
      <c r="BF191">
        <f>IF('4-man'!BF$58="R",0,IF(BE190&gt;=100,0,IF(BE191+1&gt;=IF(OR('4-man'!$F$40=TRUE,'4-man'!$F$40="TRUE",'4-man'!$F$40="Yes"),25,50),0,BE191+1)))</f>
        <v/>
      </c>
      <c r="BG191">
        <f>IF('4-man'!BG$58="R",0,IF(BF190&gt;=100,0,IF(BF191+1&gt;=IF(OR('4-man'!$F$40=TRUE,'4-man'!$F$40="TRUE",'4-man'!$F$40="Yes"),25,50),0,BF191+1)))</f>
        <v/>
      </c>
      <c r="BH191">
        <f>IF('4-man'!BH$58="R",0,IF(BG190&gt;=100,0,IF(BG191+1&gt;=IF(OR('4-man'!$F$40=TRUE,'4-man'!$F$40="TRUE",'4-man'!$F$40="Yes"),25,50),0,BG191+1)))</f>
        <v/>
      </c>
      <c r="BI191">
        <f>IF('4-man'!BI$58="R",0,IF(BH190&gt;=100,0,IF(BH191+1&gt;=IF(OR('4-man'!$F$40=TRUE,'4-man'!$F$40="TRUE",'4-man'!$F$40="Yes"),25,50),0,BH191+1)))</f>
        <v/>
      </c>
      <c r="BJ191">
        <f>IF('4-man'!BJ$58="R",0,IF(BI190&gt;=100,0,IF(BI191+1&gt;=IF(OR('4-man'!$F$40=TRUE,'4-man'!$F$40="TRUE",'4-man'!$F$40="Yes"),25,50),0,BI191+1)))</f>
        <v/>
      </c>
      <c r="BK191">
        <f>IF('4-man'!BK$58="R",0,IF(BJ190&gt;=100,0,IF(BJ191+1&gt;=IF(OR('4-man'!$F$40=TRUE,'4-man'!$F$40="TRUE",'4-man'!$F$40="Yes"),25,50),0,BJ191+1)))</f>
        <v/>
      </c>
      <c r="BL191">
        <f>IF('4-man'!BL$58="R",0,IF(BK190&gt;=100,0,IF(BK191+1&gt;=IF(OR('4-man'!$F$40=TRUE,'4-man'!$F$40="TRUE",'4-man'!$F$40="Yes"),25,50),0,BK191+1)))</f>
        <v/>
      </c>
      <c r="BM191">
        <f>IF('4-man'!BM$58="R",0,IF(BL190&gt;=100,0,IF(BL191+1&gt;=IF(OR('4-man'!$F$40=TRUE,'4-man'!$F$40="TRUE",'4-man'!$F$40="Yes"),25,50),0,BL191+1)))</f>
        <v/>
      </c>
      <c r="BN191">
        <f>IF('4-man'!BN$58="R",0,IF(BM190&gt;=100,0,IF(BM191+1&gt;=IF(OR('4-man'!$F$40=TRUE,'4-man'!$F$40="TRUE",'4-man'!$F$40="Yes"),25,50),0,BM191+1)))</f>
        <v/>
      </c>
      <c r="BO191">
        <f>IF('4-man'!BO$58="R",0,IF(BN190&gt;=100,0,IF(BN191+1&gt;=IF(OR('4-man'!$F$40=TRUE,'4-man'!$F$40="TRUE",'4-man'!$F$40="Yes"),25,50),0,BN191+1)))</f>
        <v/>
      </c>
      <c r="BP191">
        <f>IF('4-man'!BP$58="R",0,IF(BO190&gt;=100,0,IF(BO191+1&gt;=IF(OR('4-man'!$F$40=TRUE,'4-man'!$F$40="TRUE",'4-man'!$F$40="Yes"),25,50),0,BO191+1)))</f>
        <v/>
      </c>
      <c r="BQ191">
        <f>IF('4-man'!BQ$58="R",0,IF(BP190&gt;=100,0,IF(BP191+1&gt;=IF(OR('4-man'!$F$40=TRUE,'4-man'!$F$40="TRUE",'4-man'!$F$40="Yes"),25,50),0,BP191+1)))</f>
        <v/>
      </c>
      <c r="BR191">
        <f>IF('4-man'!BR$58="R",0,IF(BQ190&gt;=100,0,IF(BQ191+1&gt;=IF(OR('4-man'!$F$40=TRUE,'4-man'!$F$40="TRUE",'4-man'!$F$40="Yes"),25,50),0,BQ191+1)))</f>
        <v/>
      </c>
      <c r="BS191">
        <f>IF('4-man'!BS$58="R",0,IF(BR190&gt;=100,0,IF(BR191+1&gt;=IF(OR('4-man'!$F$40=TRUE,'4-man'!$F$40="TRUE",'4-man'!$F$40="Yes"),25,50),0,BR191+1)))</f>
        <v/>
      </c>
      <c r="BT191">
        <f>IF('4-man'!BT$58="R",0,IF(BS190&gt;=100,0,IF(BS191+1&gt;=IF(OR('4-man'!$F$40=TRUE,'4-man'!$F$40="TRUE",'4-man'!$F$40="Yes"),25,50),0,BS191+1)))</f>
        <v/>
      </c>
      <c r="BU191">
        <f>IF('4-man'!BU$58="R",0,IF(BT190&gt;=100,0,IF(BT191+1&gt;=IF(OR('4-man'!$F$40=TRUE,'4-man'!$F$40="TRUE",'4-man'!$F$40="Yes"),25,50),0,BT191+1)))</f>
        <v/>
      </c>
      <c r="BV191">
        <f>IF('4-man'!BV$58="R",0,IF(BU190&gt;=100,0,IF(BU191+1&gt;=IF(OR('4-man'!$F$40=TRUE,'4-man'!$F$40="TRUE",'4-man'!$F$40="Yes"),25,50),0,BU191+1)))</f>
        <v/>
      </c>
      <c r="BW191">
        <f>IF('4-man'!BW$58="R",0,IF(BV190&gt;=100,0,IF(BV191+1&gt;=IF(OR('4-man'!$F$40=TRUE,'4-man'!$F$40="TRUE",'4-man'!$F$40="Yes"),25,50),0,BV191+1)))</f>
        <v/>
      </c>
      <c r="BX191">
        <f>IF('4-man'!BX$58="R",0,IF(BW190&gt;=100,0,IF(BW191+1&gt;=IF(OR('4-man'!$F$40=TRUE,'4-man'!$F$40="TRUE",'4-man'!$F$40="Yes"),25,50),0,BW191+1)))</f>
        <v/>
      </c>
      <c r="BY191">
        <f>IF('4-man'!BY$58="R",0,IF(BX190&gt;=100,0,IF(BX191+1&gt;=IF(OR('4-man'!$F$40=TRUE,'4-man'!$F$40="TRUE",'4-man'!$F$40="Yes"),25,50),0,BX191+1)))</f>
        <v/>
      </c>
      <c r="BZ191">
        <f>IF('4-man'!BZ$58="R",0,IF(BY190&gt;=100,0,IF(BY191+1&gt;=IF(OR('4-man'!$F$40=TRUE,'4-man'!$F$40="TRUE",'4-man'!$F$40="Yes"),25,50),0,BY191+1)))</f>
        <v/>
      </c>
      <c r="CA191">
        <f>IF('4-man'!CA$58="R",0,IF(BZ190&gt;=100,0,IF(BZ191+1&gt;=IF(OR('4-man'!$F$40=TRUE,'4-man'!$F$40="TRUE",'4-man'!$F$40="Yes"),25,50),0,BZ191+1)))</f>
        <v/>
      </c>
      <c r="CB191">
        <f>IF('4-man'!CB$58="R",0,IF(CA190&gt;=100,0,IF(CA191+1&gt;=IF(OR('4-man'!$F$40=TRUE,'4-man'!$F$40="TRUE",'4-man'!$F$40="Yes"),25,50),0,CA191+1)))</f>
        <v/>
      </c>
      <c r="CC191">
        <f>IF('4-man'!CC$58="R",0,IF(CB190&gt;=100,0,IF(CB191+1&gt;=IF(OR('4-man'!$F$40=TRUE,'4-man'!$F$40="TRUE",'4-man'!$F$40="Yes"),25,50),0,CB191+1)))</f>
        <v/>
      </c>
      <c r="CD191">
        <f>IF('4-man'!CD$58="R",0,IF(CC190&gt;=100,0,IF(CC191+1&gt;=IF(OR('4-man'!$F$40=TRUE,'4-man'!$F$40="TRUE",'4-man'!$F$40="Yes"),25,50),0,CC191+1)))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row>
    <row r="196">
      <c r="A196" t="inlineStr">
        <is>
          <t>P4 act</t>
        </is>
      </c>
      <c r="C196">
        <f>IF(OR('4-man'!C$58="P",'4-man'!C$58="R",AND('4-man'!C$54&lt;=IF('4-man'!$BF$37="",999,'4-man'!$BF$37),OR('4-man'!C$58="D",LEFT('4-man'!C$58,3)="ST&gt;",OR(AND('4-man'!C$55="ST&gt;4",C165&gt;=100),AND('4-man'!C$56="ST&gt;4",C173&gt;=100),AND('4-man'!C$57="ST&gt;4",C181&gt;=100))))),'4-man'!C$54,0)</f>
        <v/>
      </c>
      <c r="D196">
        <f>IF(OR('4-man'!D$58="P",'4-man'!D$58="R",AND('4-man'!D$54&lt;=IF('4-man'!$BF$37="",999,'4-man'!$BF$37),OR('4-man'!D$58="D",LEFT('4-man'!D$58,3)="ST&gt;",OR(AND('4-man'!D$55="ST&gt;4",D165&gt;=100),AND('4-man'!D$56="ST&gt;4",D173&gt;=100),AND('4-man'!D$57="ST&gt;4",D181&gt;=100))))),'4-man'!D$54,0)</f>
        <v/>
      </c>
      <c r="E196">
        <f>IF(OR('4-man'!E$58="P",'4-man'!E$58="R",AND('4-man'!E$54&lt;=IF('4-man'!$BF$37="",999,'4-man'!$BF$37),OR('4-man'!E$58="D",LEFT('4-man'!E$58,3)="ST&gt;",OR(AND('4-man'!E$55="ST&gt;4",E165&gt;=100),AND('4-man'!E$56="ST&gt;4",E173&gt;=100),AND('4-man'!E$57="ST&gt;4",E181&gt;=100))))),'4-man'!E$54,0)</f>
        <v/>
      </c>
      <c r="F196">
        <f>IF(OR('4-man'!F$58="P",'4-man'!F$58="R",AND('4-man'!F$54&lt;=IF('4-man'!$BF$37="",999,'4-man'!$BF$37),OR('4-man'!F$58="D",LEFT('4-man'!F$58,3)="ST&gt;",OR(AND('4-man'!F$55="ST&gt;4",F165&gt;=100),AND('4-man'!F$56="ST&gt;4",F173&gt;=100),AND('4-man'!F$57="ST&gt;4",F181&gt;=100))))),'4-man'!F$54,0)</f>
        <v/>
      </c>
      <c r="G196">
        <f>IF(OR('4-man'!G$58="P",'4-man'!G$58="R",AND('4-man'!G$54&lt;=IF('4-man'!$BF$37="",999,'4-man'!$BF$37),OR('4-man'!G$58="D",LEFT('4-man'!G$58,3)="ST&gt;",OR(AND('4-man'!G$55="ST&gt;4",G165&gt;=100),AND('4-man'!G$56="ST&gt;4",G173&gt;=100),AND('4-man'!G$57="ST&gt;4",G181&gt;=100))))),'4-man'!G$54,0)</f>
        <v/>
      </c>
      <c r="H196">
        <f>IF(OR('4-man'!H$58="P",'4-man'!H$58="R",AND('4-man'!H$54&lt;=IF('4-man'!$BF$37="",999,'4-man'!$BF$37),OR('4-man'!H$58="D",LEFT('4-man'!H$58,3)="ST&gt;",OR(AND('4-man'!H$55="ST&gt;4",H165&gt;=100),AND('4-man'!H$56="ST&gt;4",H173&gt;=100),AND('4-man'!H$57="ST&gt;4",H181&gt;=100))))),'4-man'!H$54,0)</f>
        <v/>
      </c>
      <c r="I196">
        <f>IF(OR('4-man'!I$58="P",'4-man'!I$58="R",AND('4-man'!I$54&lt;=IF('4-man'!$BF$37="",999,'4-man'!$BF$37),OR('4-man'!I$58="D",LEFT('4-man'!I$58,3)="ST&gt;",OR(AND('4-man'!I$55="ST&gt;4",I165&gt;=100),AND('4-man'!I$56="ST&gt;4",I173&gt;=100),AND('4-man'!I$57="ST&gt;4",I181&gt;=100))))),'4-man'!I$54,0)</f>
        <v/>
      </c>
      <c r="J196">
        <f>IF(OR('4-man'!J$58="P",'4-man'!J$58="R",AND('4-man'!J$54&lt;=IF('4-man'!$BF$37="",999,'4-man'!$BF$37),OR('4-man'!J$58="D",LEFT('4-man'!J$58,3)="ST&gt;",OR(AND('4-man'!J$55="ST&gt;4",J165&gt;=100),AND('4-man'!J$56="ST&gt;4",J173&gt;=100),AND('4-man'!J$57="ST&gt;4",J181&gt;=100))))),'4-man'!J$54,0)</f>
        <v/>
      </c>
      <c r="K196">
        <f>IF(OR('4-man'!K$58="P",'4-man'!K$58="R",AND('4-man'!K$54&lt;=IF('4-man'!$BF$37="",999,'4-man'!$BF$37),OR('4-man'!K$58="D",LEFT('4-man'!K$58,3)="ST&gt;",OR(AND('4-man'!K$55="ST&gt;4",K165&gt;=100),AND('4-man'!K$56="ST&gt;4",K173&gt;=100),AND('4-man'!K$57="ST&gt;4",K181&gt;=100))))),'4-man'!K$54,0)</f>
        <v/>
      </c>
      <c r="L196">
        <f>IF(OR('4-man'!L$58="P",'4-man'!L$58="R",AND('4-man'!L$54&lt;=IF('4-man'!$BF$37="",999,'4-man'!$BF$37),OR('4-man'!L$58="D",LEFT('4-man'!L$58,3)="ST&gt;",OR(AND('4-man'!L$55="ST&gt;4",L165&gt;=100),AND('4-man'!L$56="ST&gt;4",L173&gt;=100),AND('4-man'!L$57="ST&gt;4",L181&gt;=100))))),'4-man'!L$54,0)</f>
        <v/>
      </c>
      <c r="M196">
        <f>IF(OR('4-man'!M$58="P",'4-man'!M$58="R",AND('4-man'!M$54&lt;=IF('4-man'!$BF$37="",999,'4-man'!$BF$37),OR('4-man'!M$58="D",LEFT('4-man'!M$58,3)="ST&gt;",OR(AND('4-man'!M$55="ST&gt;4",M165&gt;=100),AND('4-man'!M$56="ST&gt;4",M173&gt;=100),AND('4-man'!M$57="ST&gt;4",M181&gt;=100))))),'4-man'!M$54,0)</f>
        <v/>
      </c>
      <c r="N196">
        <f>IF(OR('4-man'!N$58="P",'4-man'!N$58="R",AND('4-man'!N$54&lt;=IF('4-man'!$BF$37="",999,'4-man'!$BF$37),OR('4-man'!N$58="D",LEFT('4-man'!N$58,3)="ST&gt;",OR(AND('4-man'!N$55="ST&gt;4",N165&gt;=100),AND('4-man'!N$56="ST&gt;4",N173&gt;=100),AND('4-man'!N$57="ST&gt;4",N181&gt;=100))))),'4-man'!N$54,0)</f>
        <v/>
      </c>
      <c r="O196">
        <f>IF(OR('4-man'!O$58="P",'4-man'!O$58="R",AND('4-man'!O$54&lt;=IF('4-man'!$BF$37="",999,'4-man'!$BF$37),OR('4-man'!O$58="D",LEFT('4-man'!O$58,3)="ST&gt;",OR(AND('4-man'!O$55="ST&gt;4",O165&gt;=100),AND('4-man'!O$56="ST&gt;4",O173&gt;=100),AND('4-man'!O$57="ST&gt;4",O181&gt;=100))))),'4-man'!O$54,0)</f>
        <v/>
      </c>
      <c r="P196">
        <f>IF(OR('4-man'!P$58="P",'4-man'!P$58="R",AND('4-man'!P$54&lt;=IF('4-man'!$BF$37="",999,'4-man'!$BF$37),OR('4-man'!P$58="D",LEFT('4-man'!P$58,3)="ST&gt;",OR(AND('4-man'!P$55="ST&gt;4",P165&gt;=100),AND('4-man'!P$56="ST&gt;4",P173&gt;=100),AND('4-man'!P$57="ST&gt;4",P181&gt;=100))))),'4-man'!P$54,0)</f>
        <v/>
      </c>
      <c r="Q196">
        <f>IF(OR('4-man'!Q$58="P",'4-man'!Q$58="R",AND('4-man'!Q$54&lt;=IF('4-man'!$BF$37="",999,'4-man'!$BF$37),OR('4-man'!Q$58="D",LEFT('4-man'!Q$58,3)="ST&gt;",OR(AND('4-man'!Q$55="ST&gt;4",Q165&gt;=100),AND('4-man'!Q$56="ST&gt;4",Q173&gt;=100),AND('4-man'!Q$57="ST&gt;4",Q181&gt;=100))))),'4-man'!Q$54,0)</f>
        <v/>
      </c>
      <c r="R196">
        <f>IF(OR('4-man'!R$58="P",'4-man'!R$58="R",AND('4-man'!R$54&lt;=IF('4-man'!$BF$37="",999,'4-man'!$BF$37),OR('4-man'!R$58="D",LEFT('4-man'!R$58,3)="ST&gt;",OR(AND('4-man'!R$55="ST&gt;4",R165&gt;=100),AND('4-man'!R$56="ST&gt;4",R173&gt;=100),AND('4-man'!R$57="ST&gt;4",R181&gt;=100))))),'4-man'!R$54,0)</f>
        <v/>
      </c>
      <c r="S196">
        <f>IF(OR('4-man'!S$58="P",'4-man'!S$58="R",AND('4-man'!S$54&lt;=IF('4-man'!$BF$37="",999,'4-man'!$BF$37),OR('4-man'!S$58="D",LEFT('4-man'!S$58,3)="ST&gt;",OR(AND('4-man'!S$55="ST&gt;4",S165&gt;=100),AND('4-man'!S$56="ST&gt;4",S173&gt;=100),AND('4-man'!S$57="ST&gt;4",S181&gt;=100))))),'4-man'!S$54,0)</f>
        <v/>
      </c>
      <c r="T196">
        <f>IF(OR('4-man'!T$58="P",'4-man'!T$58="R",AND('4-man'!T$54&lt;=IF('4-man'!$BF$37="",999,'4-man'!$BF$37),OR('4-man'!T$58="D",LEFT('4-man'!T$58,3)="ST&gt;",OR(AND('4-man'!T$55="ST&gt;4",T165&gt;=100),AND('4-man'!T$56="ST&gt;4",T173&gt;=100),AND('4-man'!T$57="ST&gt;4",T181&gt;=100))))),'4-man'!T$54,0)</f>
        <v/>
      </c>
      <c r="U196">
        <f>IF(OR('4-man'!U$58="P",'4-man'!U$58="R",AND('4-man'!U$54&lt;=IF('4-man'!$BF$37="",999,'4-man'!$BF$37),OR('4-man'!U$58="D",LEFT('4-man'!U$58,3)="ST&gt;",OR(AND('4-man'!U$55="ST&gt;4",U165&gt;=100),AND('4-man'!U$56="ST&gt;4",U173&gt;=100),AND('4-man'!U$57="ST&gt;4",U181&gt;=100))))),'4-man'!U$54,0)</f>
        <v/>
      </c>
      <c r="V196">
        <f>IF(OR('4-man'!V$58="P",'4-man'!V$58="R",AND('4-man'!V$54&lt;=IF('4-man'!$BF$37="",999,'4-man'!$BF$37),OR('4-man'!V$58="D",LEFT('4-man'!V$58,3)="ST&gt;",OR(AND('4-man'!V$55="ST&gt;4",V165&gt;=100),AND('4-man'!V$56="ST&gt;4",V173&gt;=100),AND('4-man'!V$57="ST&gt;4",V181&gt;=100))))),'4-man'!V$54,0)</f>
        <v/>
      </c>
      <c r="W196">
        <f>IF(OR('4-man'!W$58="P",'4-man'!W$58="R",AND('4-man'!W$54&lt;=IF('4-man'!$BF$37="",999,'4-man'!$BF$37),OR('4-man'!W$58="D",LEFT('4-man'!W$58,3)="ST&gt;",OR(AND('4-man'!W$55="ST&gt;4",W165&gt;=100),AND('4-man'!W$56="ST&gt;4",W173&gt;=100),AND('4-man'!W$57="ST&gt;4",W181&gt;=100))))),'4-man'!W$54,0)</f>
        <v/>
      </c>
      <c r="X196">
        <f>IF(OR('4-man'!X$58="P",'4-man'!X$58="R",AND('4-man'!X$54&lt;=IF('4-man'!$BF$37="",999,'4-man'!$BF$37),OR('4-man'!X$58="D",LEFT('4-man'!X$58,3)="ST&gt;",OR(AND('4-man'!X$55="ST&gt;4",X165&gt;=100),AND('4-man'!X$56="ST&gt;4",X173&gt;=100),AND('4-man'!X$57="ST&gt;4",X181&gt;=100))))),'4-man'!X$54,0)</f>
        <v/>
      </c>
      <c r="Y196">
        <f>IF(OR('4-man'!Y$58="P",'4-man'!Y$58="R",AND('4-man'!Y$54&lt;=IF('4-man'!$BF$37="",999,'4-man'!$BF$37),OR('4-man'!Y$58="D",LEFT('4-man'!Y$58,3)="ST&gt;",OR(AND('4-man'!Y$55="ST&gt;4",Y165&gt;=100),AND('4-man'!Y$56="ST&gt;4",Y173&gt;=100),AND('4-man'!Y$57="ST&gt;4",Y181&gt;=100))))),'4-man'!Y$54,0)</f>
        <v/>
      </c>
      <c r="Z196">
        <f>IF(OR('4-man'!Z$58="P",'4-man'!Z$58="R",AND('4-man'!Z$54&lt;=IF('4-man'!$BF$37="",999,'4-man'!$BF$37),OR('4-man'!Z$58="D",LEFT('4-man'!Z$58,3)="ST&gt;",OR(AND('4-man'!Z$55="ST&gt;4",Z165&gt;=100),AND('4-man'!Z$56="ST&gt;4",Z173&gt;=100),AND('4-man'!Z$57="ST&gt;4",Z181&gt;=100))))),'4-man'!Z$54,0)</f>
        <v/>
      </c>
      <c r="AA196">
        <f>IF(OR('4-man'!AA$58="P",'4-man'!AA$58="R",AND('4-man'!AA$54&lt;=IF('4-man'!$BF$37="",999,'4-man'!$BF$37),OR('4-man'!AA$58="D",LEFT('4-man'!AA$58,3)="ST&gt;",OR(AND('4-man'!AA$55="ST&gt;4",AA165&gt;=100),AND('4-man'!AA$56="ST&gt;4",AA173&gt;=100),AND('4-man'!AA$57="ST&gt;4",AA181&gt;=100))))),'4-man'!AA$54,0)</f>
        <v/>
      </c>
      <c r="AB196">
        <f>IF(OR('4-man'!AB$58="P",'4-man'!AB$58="R",AND('4-man'!AB$54&lt;=IF('4-man'!$BF$37="",999,'4-man'!$BF$37),OR('4-man'!AB$58="D",LEFT('4-man'!AB$58,3)="ST&gt;",OR(AND('4-man'!AB$55="ST&gt;4",AB165&gt;=100),AND('4-man'!AB$56="ST&gt;4",AB173&gt;=100),AND('4-man'!AB$57="ST&gt;4",AB181&gt;=100))))),'4-man'!AB$54,0)</f>
        <v/>
      </c>
      <c r="AC196">
        <f>IF(OR('4-man'!AC$58="P",'4-man'!AC$58="R",AND('4-man'!AC$54&lt;=IF('4-man'!$BF$37="",999,'4-man'!$BF$37),OR('4-man'!AC$58="D",LEFT('4-man'!AC$58,3)="ST&gt;",OR(AND('4-man'!AC$55="ST&gt;4",AC165&gt;=100),AND('4-man'!AC$56="ST&gt;4",AC173&gt;=100),AND('4-man'!AC$57="ST&gt;4",AC181&gt;=100))))),'4-man'!AC$54,0)</f>
        <v/>
      </c>
      <c r="AD196">
        <f>IF(OR('4-man'!AD$58="P",'4-man'!AD$58="R",AND('4-man'!AD$54&lt;=IF('4-man'!$BF$37="",999,'4-man'!$BF$37),OR('4-man'!AD$58="D",LEFT('4-man'!AD$58,3)="ST&gt;",OR(AND('4-man'!AD$55="ST&gt;4",AD165&gt;=100),AND('4-man'!AD$56="ST&gt;4",AD173&gt;=100),AND('4-man'!AD$57="ST&gt;4",AD181&gt;=100))))),'4-man'!AD$54,0)</f>
        <v/>
      </c>
      <c r="AE196">
        <f>IF(OR('4-man'!AE$58="P",'4-man'!AE$58="R",AND('4-man'!AE$54&lt;=IF('4-man'!$BF$37="",999,'4-man'!$BF$37),OR('4-man'!AE$58="D",LEFT('4-man'!AE$58,3)="ST&gt;",OR(AND('4-man'!AE$55="ST&gt;4",AE165&gt;=100),AND('4-man'!AE$56="ST&gt;4",AE173&gt;=100),AND('4-man'!AE$57="ST&gt;4",AE181&gt;=100))))),'4-man'!AE$54,0)</f>
        <v/>
      </c>
      <c r="AF196">
        <f>IF(OR('4-man'!AF$58="P",'4-man'!AF$58="R",AND('4-man'!AF$54&lt;=IF('4-man'!$BF$37="",999,'4-man'!$BF$37),OR('4-man'!AF$58="D",LEFT('4-man'!AF$58,3)="ST&gt;",OR(AND('4-man'!AF$55="ST&gt;4",AF165&gt;=100),AND('4-man'!AF$56="ST&gt;4",AF173&gt;=100),AND('4-man'!AF$57="ST&gt;4",AF181&gt;=100))))),'4-man'!AF$54,0)</f>
        <v/>
      </c>
      <c r="AG196">
        <f>IF(OR('4-man'!AG$58="P",'4-man'!AG$58="R",AND('4-man'!AG$54&lt;=IF('4-man'!$BF$37="",999,'4-man'!$BF$37),OR('4-man'!AG$58="D",LEFT('4-man'!AG$58,3)="ST&gt;",OR(AND('4-man'!AG$55="ST&gt;4",AG165&gt;=100),AND('4-man'!AG$56="ST&gt;4",AG173&gt;=100),AND('4-man'!AG$57="ST&gt;4",AG181&gt;=100))))),'4-man'!AG$54,0)</f>
        <v/>
      </c>
      <c r="AH196">
        <f>IF(OR('4-man'!AH$58="P",'4-man'!AH$58="R",AND('4-man'!AH$54&lt;=IF('4-man'!$BF$37="",999,'4-man'!$BF$37),OR('4-man'!AH$58="D",LEFT('4-man'!AH$58,3)="ST&gt;",OR(AND('4-man'!AH$55="ST&gt;4",AH165&gt;=100),AND('4-man'!AH$56="ST&gt;4",AH173&gt;=100),AND('4-man'!AH$57="ST&gt;4",AH181&gt;=100))))),'4-man'!AH$54,0)</f>
        <v/>
      </c>
      <c r="AI196">
        <f>IF(OR('4-man'!AI$58="P",'4-man'!AI$58="R",AND('4-man'!AI$54&lt;=IF('4-man'!$BF$37="",999,'4-man'!$BF$37),OR('4-man'!AI$58="D",LEFT('4-man'!AI$58,3)="ST&gt;",OR(AND('4-man'!AI$55="ST&gt;4",AI165&gt;=100),AND('4-man'!AI$56="ST&gt;4",AI173&gt;=100),AND('4-man'!AI$57="ST&gt;4",AI181&gt;=100))))),'4-man'!AI$54,0)</f>
        <v/>
      </c>
      <c r="AJ196">
        <f>IF(OR('4-man'!AJ$58="P",'4-man'!AJ$58="R",AND('4-man'!AJ$54&lt;=IF('4-man'!$BF$37="",999,'4-man'!$BF$37),OR('4-man'!AJ$58="D",LEFT('4-man'!AJ$58,3)="ST&gt;",OR(AND('4-man'!AJ$55="ST&gt;4",AJ165&gt;=100),AND('4-man'!AJ$56="ST&gt;4",AJ173&gt;=100),AND('4-man'!AJ$57="ST&gt;4",AJ181&gt;=100))))),'4-man'!AJ$54,0)</f>
        <v/>
      </c>
      <c r="AK196">
        <f>IF(OR('4-man'!AK$58="P",'4-man'!AK$58="R",AND('4-man'!AK$54&lt;=IF('4-man'!$BF$37="",999,'4-man'!$BF$37),OR('4-man'!AK$58="D",LEFT('4-man'!AK$58,3)="ST&gt;",OR(AND('4-man'!AK$55="ST&gt;4",AK165&gt;=100),AND('4-man'!AK$56="ST&gt;4",AK173&gt;=100),AND('4-man'!AK$57="ST&gt;4",AK181&gt;=100))))),'4-man'!AK$54,0)</f>
        <v/>
      </c>
      <c r="AL196">
        <f>IF(OR('4-man'!AL$58="P",'4-man'!AL$58="R",AND('4-man'!AL$54&lt;=IF('4-man'!$BF$37="",999,'4-man'!$BF$37),OR('4-man'!AL$58="D",LEFT('4-man'!AL$58,3)="ST&gt;",OR(AND('4-man'!AL$55="ST&gt;4",AL165&gt;=100),AND('4-man'!AL$56="ST&gt;4",AL173&gt;=100),AND('4-man'!AL$57="ST&gt;4",AL181&gt;=100))))),'4-man'!AL$54,0)</f>
        <v/>
      </c>
      <c r="AM196">
        <f>IF(OR('4-man'!AM$58="P",'4-man'!AM$58="R",AND('4-man'!AM$54&lt;=IF('4-man'!$BF$37="",999,'4-man'!$BF$37),OR('4-man'!AM$58="D",LEFT('4-man'!AM$58,3)="ST&gt;",OR(AND('4-man'!AM$55="ST&gt;4",AM165&gt;=100),AND('4-man'!AM$56="ST&gt;4",AM173&gt;=100),AND('4-man'!AM$57="ST&gt;4",AM181&gt;=100))))),'4-man'!AM$54,0)</f>
        <v/>
      </c>
      <c r="AN196">
        <f>IF(OR('4-man'!AN$58="P",'4-man'!AN$58="R",AND('4-man'!AN$54&lt;=IF('4-man'!$BF$37="",999,'4-man'!$BF$37),OR('4-man'!AN$58="D",LEFT('4-man'!AN$58,3)="ST&gt;",OR(AND('4-man'!AN$55="ST&gt;4",AN165&gt;=100),AND('4-man'!AN$56="ST&gt;4",AN173&gt;=100),AND('4-man'!AN$57="ST&gt;4",AN181&gt;=100))))),'4-man'!AN$54,0)</f>
        <v/>
      </c>
      <c r="AO196">
        <f>IF(OR('4-man'!AO$58="P",'4-man'!AO$58="R",AND('4-man'!AO$54&lt;=IF('4-man'!$BF$37="",999,'4-man'!$BF$37),OR('4-man'!AO$58="D",LEFT('4-man'!AO$58,3)="ST&gt;",OR(AND('4-man'!AO$55="ST&gt;4",AO165&gt;=100),AND('4-man'!AO$56="ST&gt;4",AO173&gt;=100),AND('4-man'!AO$57="ST&gt;4",AO181&gt;=100))))),'4-man'!AO$54,0)</f>
        <v/>
      </c>
      <c r="AP196">
        <f>IF(OR('4-man'!AP$58="P",'4-man'!AP$58="R",AND('4-man'!AP$54&lt;=IF('4-man'!$BF$37="",999,'4-man'!$BF$37),OR('4-man'!AP$58="D",LEFT('4-man'!AP$58,3)="ST&gt;",OR(AND('4-man'!AP$55="ST&gt;4",AP165&gt;=100),AND('4-man'!AP$56="ST&gt;4",AP173&gt;=100),AND('4-man'!AP$57="ST&gt;4",AP181&gt;=100))))),'4-man'!AP$54,0)</f>
        <v/>
      </c>
      <c r="AQ196">
        <f>IF(OR('4-man'!AQ$58="P",'4-man'!AQ$58="R",AND('4-man'!AQ$54&lt;=IF('4-man'!$BF$37="",999,'4-man'!$BF$37),OR('4-man'!AQ$58="D",LEFT('4-man'!AQ$58,3)="ST&gt;",OR(AND('4-man'!AQ$55="ST&gt;4",AQ165&gt;=100),AND('4-man'!AQ$56="ST&gt;4",AQ173&gt;=100),AND('4-man'!AQ$57="ST&gt;4",AQ181&gt;=100))))),'4-man'!AQ$54,0)</f>
        <v/>
      </c>
      <c r="AR196">
        <f>IF(OR('4-man'!AR$58="P",'4-man'!AR$58="R",AND('4-man'!AR$54&lt;=IF('4-man'!$BF$37="",999,'4-man'!$BF$37),OR('4-man'!AR$58="D",LEFT('4-man'!AR$58,3)="ST&gt;",OR(AND('4-man'!AR$55="ST&gt;4",AR165&gt;=100),AND('4-man'!AR$56="ST&gt;4",AR173&gt;=100),AND('4-man'!AR$57="ST&gt;4",AR181&gt;=100))))),'4-man'!AR$54,0)</f>
        <v/>
      </c>
      <c r="AS196">
        <f>IF(OR('4-man'!AS$58="P",'4-man'!AS$58="R",AND('4-man'!AS$54&lt;=IF('4-man'!$BF$37="",999,'4-man'!$BF$37),OR('4-man'!AS$58="D",LEFT('4-man'!AS$58,3)="ST&gt;",OR(AND('4-man'!AS$55="ST&gt;4",AS165&gt;=100),AND('4-man'!AS$56="ST&gt;4",AS173&gt;=100),AND('4-man'!AS$57="ST&gt;4",AS181&gt;=100))))),'4-man'!AS$54,0)</f>
        <v/>
      </c>
      <c r="AT196">
        <f>IF(OR('4-man'!AT$58="P",'4-man'!AT$58="R",AND('4-man'!AT$54&lt;=IF('4-man'!$BF$37="",999,'4-man'!$BF$37),OR('4-man'!AT$58="D",LEFT('4-man'!AT$58,3)="ST&gt;",OR(AND('4-man'!AT$55="ST&gt;4",AT165&gt;=100),AND('4-man'!AT$56="ST&gt;4",AT173&gt;=100),AND('4-man'!AT$57="ST&gt;4",AT181&gt;=100))))),'4-man'!AT$54,0)</f>
        <v/>
      </c>
      <c r="AU196">
        <f>IF(OR('4-man'!AU$58="P",'4-man'!AU$58="R",AND('4-man'!AU$54&lt;=IF('4-man'!$BF$37="",999,'4-man'!$BF$37),OR('4-man'!AU$58="D",LEFT('4-man'!AU$58,3)="ST&gt;",OR(AND('4-man'!AU$55="ST&gt;4",AU165&gt;=100),AND('4-man'!AU$56="ST&gt;4",AU173&gt;=100),AND('4-man'!AU$57="ST&gt;4",AU181&gt;=100))))),'4-man'!AU$54,0)</f>
        <v/>
      </c>
      <c r="AV196">
        <f>IF(OR('4-man'!AV$58="P",'4-man'!AV$58="R",AND('4-man'!AV$54&lt;=IF('4-man'!$BF$37="",999,'4-man'!$BF$37),OR('4-man'!AV$58="D",LEFT('4-man'!AV$58,3)="ST&gt;",OR(AND('4-man'!AV$55="ST&gt;4",AV165&gt;=100),AND('4-man'!AV$56="ST&gt;4",AV173&gt;=100),AND('4-man'!AV$57="ST&gt;4",AV181&gt;=100))))),'4-man'!AV$54,0)</f>
        <v/>
      </c>
      <c r="AW196">
        <f>IF(OR('4-man'!AW$58="P",'4-man'!AW$58="R",AND('4-man'!AW$54&lt;=IF('4-man'!$BF$37="",999,'4-man'!$BF$37),OR('4-man'!AW$58="D",LEFT('4-man'!AW$58,3)="ST&gt;",OR(AND('4-man'!AW$55="ST&gt;4",AW165&gt;=100),AND('4-man'!AW$56="ST&gt;4",AW173&gt;=100),AND('4-man'!AW$57="ST&gt;4",AW181&gt;=100))))),'4-man'!AW$54,0)</f>
        <v/>
      </c>
      <c r="AX196">
        <f>IF(OR('4-man'!AX$58="P",'4-man'!AX$58="R",AND('4-man'!AX$54&lt;=IF('4-man'!$BF$37="",999,'4-man'!$BF$37),OR('4-man'!AX$58="D",LEFT('4-man'!AX$58,3)="ST&gt;",OR(AND('4-man'!AX$55="ST&gt;4",AX165&gt;=100),AND('4-man'!AX$56="ST&gt;4",AX173&gt;=100),AND('4-man'!AX$57="ST&gt;4",AX181&gt;=100))))),'4-man'!AX$54,0)</f>
        <v/>
      </c>
      <c r="AY196">
        <f>IF(OR('4-man'!AY$58="P",'4-man'!AY$58="R",AND('4-man'!AY$54&lt;=IF('4-man'!$BF$37="",999,'4-man'!$BF$37),OR('4-man'!AY$58="D",LEFT('4-man'!AY$58,3)="ST&gt;",OR(AND('4-man'!AY$55="ST&gt;4",AY165&gt;=100),AND('4-man'!AY$56="ST&gt;4",AY173&gt;=100),AND('4-man'!AY$57="ST&gt;4",AY181&gt;=100))))),'4-man'!AY$54,0)</f>
        <v/>
      </c>
      <c r="AZ196">
        <f>IF(OR('4-man'!AZ$58="P",'4-man'!AZ$58="R",AND('4-man'!AZ$54&lt;=IF('4-man'!$BF$37="",999,'4-man'!$BF$37),OR('4-man'!AZ$58="D",LEFT('4-man'!AZ$58,3)="ST&gt;",OR(AND('4-man'!AZ$55="ST&gt;4",AZ165&gt;=100),AND('4-man'!AZ$56="ST&gt;4",AZ173&gt;=100),AND('4-man'!AZ$57="ST&gt;4",AZ181&gt;=100))))),'4-man'!AZ$54,0)</f>
        <v/>
      </c>
      <c r="BA196">
        <f>IF(OR('4-man'!BA$58="P",'4-man'!BA$58="R",AND('4-man'!BA$54&lt;=IF('4-man'!$BF$37="",999,'4-man'!$BF$37),OR('4-man'!BA$58="D",LEFT('4-man'!BA$58,3)="ST&gt;",OR(AND('4-man'!BA$55="ST&gt;4",BA165&gt;=100),AND('4-man'!BA$56="ST&gt;4",BA173&gt;=100),AND('4-man'!BA$57="ST&gt;4",BA181&gt;=100))))),'4-man'!BA$54,0)</f>
        <v/>
      </c>
      <c r="BB196">
        <f>IF(OR('4-man'!BB$58="P",'4-man'!BB$58="R",AND('4-man'!BB$54&lt;=IF('4-man'!$BF$37="",999,'4-man'!$BF$37),OR('4-man'!BB$58="D",LEFT('4-man'!BB$58,3)="ST&gt;",OR(AND('4-man'!BB$55="ST&gt;4",BB165&gt;=100),AND('4-man'!BB$56="ST&gt;4",BB173&gt;=100),AND('4-man'!BB$57="ST&gt;4",BB181&gt;=100))))),'4-man'!BB$54,0)</f>
        <v/>
      </c>
      <c r="BC196">
        <f>IF(OR('4-man'!BC$58="P",'4-man'!BC$58="R",AND('4-man'!BC$54&lt;=IF('4-man'!$BF$37="",999,'4-man'!$BF$37),OR('4-man'!BC$58="D",LEFT('4-man'!BC$58,3)="ST&gt;",OR(AND('4-man'!BC$55="ST&gt;4",BC165&gt;=100),AND('4-man'!BC$56="ST&gt;4",BC173&gt;=100),AND('4-man'!BC$57="ST&gt;4",BC181&gt;=100))))),'4-man'!BC$54,0)</f>
        <v/>
      </c>
      <c r="BD196">
        <f>IF(OR('4-man'!BD$58="P",'4-man'!BD$58="R",AND('4-man'!BD$54&lt;=IF('4-man'!$BF$37="",999,'4-man'!$BF$37),OR('4-man'!BD$58="D",LEFT('4-man'!BD$58,3)="ST&gt;",OR(AND('4-man'!BD$55="ST&gt;4",BD165&gt;=100),AND('4-man'!BD$56="ST&gt;4",BD173&gt;=100),AND('4-man'!BD$57="ST&gt;4",BD181&gt;=100))))),'4-man'!BD$54,0)</f>
        <v/>
      </c>
      <c r="BE196">
        <f>IF(OR('4-man'!BE$58="P",'4-man'!BE$58="R",AND('4-man'!BE$54&lt;=IF('4-man'!$BF$37="",999,'4-man'!$BF$37),OR('4-man'!BE$58="D",LEFT('4-man'!BE$58,3)="ST&gt;",OR(AND('4-man'!BE$55="ST&gt;4",BE165&gt;=100),AND('4-man'!BE$56="ST&gt;4",BE173&gt;=100),AND('4-man'!BE$57="ST&gt;4",BE181&gt;=100))))),'4-man'!BE$54,0)</f>
        <v/>
      </c>
      <c r="BF196">
        <f>IF(OR('4-man'!BF$58="P",'4-man'!BF$58="R",AND('4-man'!BF$54&lt;=IF('4-man'!$BF$37="",999,'4-man'!$BF$37),OR('4-man'!BF$58="D",LEFT('4-man'!BF$58,3)="ST&gt;",OR(AND('4-man'!BF$55="ST&gt;4",BF165&gt;=100),AND('4-man'!BF$56="ST&gt;4",BF173&gt;=100),AND('4-man'!BF$57="ST&gt;4",BF181&gt;=100))))),'4-man'!BF$54,0)</f>
        <v/>
      </c>
      <c r="BG196">
        <f>IF(OR('4-man'!BG$58="P",'4-man'!BG$58="R",AND('4-man'!BG$54&lt;=IF('4-man'!$BF$37="",999,'4-man'!$BF$37),OR('4-man'!BG$58="D",LEFT('4-man'!BG$58,3)="ST&gt;",OR(AND('4-man'!BG$55="ST&gt;4",BG165&gt;=100),AND('4-man'!BG$56="ST&gt;4",BG173&gt;=100),AND('4-man'!BG$57="ST&gt;4",BG181&gt;=100))))),'4-man'!BG$54,0)</f>
        <v/>
      </c>
      <c r="BH196">
        <f>IF(OR('4-man'!BH$58="P",'4-man'!BH$58="R",AND('4-man'!BH$54&lt;=IF('4-man'!$BF$37="",999,'4-man'!$BF$37),OR('4-man'!BH$58="D",LEFT('4-man'!BH$58,3)="ST&gt;",OR(AND('4-man'!BH$55="ST&gt;4",BH165&gt;=100),AND('4-man'!BH$56="ST&gt;4",BH173&gt;=100),AND('4-man'!BH$57="ST&gt;4",BH181&gt;=100))))),'4-man'!BH$54,0)</f>
        <v/>
      </c>
      <c r="BI196">
        <f>IF(OR('4-man'!BI$58="P",'4-man'!BI$58="R",AND('4-man'!BI$54&lt;=IF('4-man'!$BF$37="",999,'4-man'!$BF$37),OR('4-man'!BI$58="D",LEFT('4-man'!BI$58,3)="ST&gt;",OR(AND('4-man'!BI$55="ST&gt;4",BI165&gt;=100),AND('4-man'!BI$56="ST&gt;4",BI173&gt;=100),AND('4-man'!BI$57="ST&gt;4",BI181&gt;=100))))),'4-man'!BI$54,0)</f>
        <v/>
      </c>
      <c r="BJ196">
        <f>IF(OR('4-man'!BJ$58="P",'4-man'!BJ$58="R",AND('4-man'!BJ$54&lt;=IF('4-man'!$BF$37="",999,'4-man'!$BF$37),OR('4-man'!BJ$58="D",LEFT('4-man'!BJ$58,3)="ST&gt;",OR(AND('4-man'!BJ$55="ST&gt;4",BJ165&gt;=100),AND('4-man'!BJ$56="ST&gt;4",BJ173&gt;=100),AND('4-man'!BJ$57="ST&gt;4",BJ181&gt;=100))))),'4-man'!BJ$54,0)</f>
        <v/>
      </c>
      <c r="BK196">
        <f>IF(OR('4-man'!BK$58="P",'4-man'!BK$58="R",AND('4-man'!BK$54&lt;=IF('4-man'!$BF$37="",999,'4-man'!$BF$37),OR('4-man'!BK$58="D",LEFT('4-man'!BK$58,3)="ST&gt;",OR(AND('4-man'!BK$55="ST&gt;4",BK165&gt;=100),AND('4-man'!BK$56="ST&gt;4",BK173&gt;=100),AND('4-man'!BK$57="ST&gt;4",BK181&gt;=100))))),'4-man'!BK$54,0)</f>
        <v/>
      </c>
      <c r="BL196">
        <f>IF(OR('4-man'!BL$58="P",'4-man'!BL$58="R",AND('4-man'!BL$54&lt;=IF('4-man'!$BF$37="",999,'4-man'!$BF$37),OR('4-man'!BL$58="D",LEFT('4-man'!BL$58,3)="ST&gt;",OR(AND('4-man'!BL$55="ST&gt;4",BL165&gt;=100),AND('4-man'!BL$56="ST&gt;4",BL173&gt;=100),AND('4-man'!BL$57="ST&gt;4",BL181&gt;=100))))),'4-man'!BL$54,0)</f>
        <v/>
      </c>
      <c r="BM196">
        <f>IF(OR('4-man'!BM$58="P",'4-man'!BM$58="R",AND('4-man'!BM$54&lt;=IF('4-man'!$BF$37="",999,'4-man'!$BF$37),OR('4-man'!BM$58="D",LEFT('4-man'!BM$58,3)="ST&gt;",OR(AND('4-man'!BM$55="ST&gt;4",BM165&gt;=100),AND('4-man'!BM$56="ST&gt;4",BM173&gt;=100),AND('4-man'!BM$57="ST&gt;4",BM181&gt;=100))))),'4-man'!BM$54,0)</f>
        <v/>
      </c>
      <c r="BN196">
        <f>IF(OR('4-man'!BN$58="P",'4-man'!BN$58="R",AND('4-man'!BN$54&lt;=IF('4-man'!$BF$37="",999,'4-man'!$BF$37),OR('4-man'!BN$58="D",LEFT('4-man'!BN$58,3)="ST&gt;",OR(AND('4-man'!BN$55="ST&gt;4",BN165&gt;=100),AND('4-man'!BN$56="ST&gt;4",BN173&gt;=100),AND('4-man'!BN$57="ST&gt;4",BN181&gt;=100))))),'4-man'!BN$54,0)</f>
        <v/>
      </c>
      <c r="BO196">
        <f>IF(OR('4-man'!BO$58="P",'4-man'!BO$58="R",AND('4-man'!BO$54&lt;=IF('4-man'!$BF$37="",999,'4-man'!$BF$37),OR('4-man'!BO$58="D",LEFT('4-man'!BO$58,3)="ST&gt;",OR(AND('4-man'!BO$55="ST&gt;4",BO165&gt;=100),AND('4-man'!BO$56="ST&gt;4",BO173&gt;=100),AND('4-man'!BO$57="ST&gt;4",BO181&gt;=100))))),'4-man'!BO$54,0)</f>
        <v/>
      </c>
      <c r="BP196">
        <f>IF(OR('4-man'!BP$58="P",'4-man'!BP$58="R",AND('4-man'!BP$54&lt;=IF('4-man'!$BF$37="",999,'4-man'!$BF$37),OR('4-man'!BP$58="D",LEFT('4-man'!BP$58,3)="ST&gt;",OR(AND('4-man'!BP$55="ST&gt;4",BP165&gt;=100),AND('4-man'!BP$56="ST&gt;4",BP173&gt;=100),AND('4-man'!BP$57="ST&gt;4",BP181&gt;=100))))),'4-man'!BP$54,0)</f>
        <v/>
      </c>
      <c r="BQ196">
        <f>IF(OR('4-man'!BQ$58="P",'4-man'!BQ$58="R",AND('4-man'!BQ$54&lt;=IF('4-man'!$BF$37="",999,'4-man'!$BF$37),OR('4-man'!BQ$58="D",LEFT('4-man'!BQ$58,3)="ST&gt;",OR(AND('4-man'!BQ$55="ST&gt;4",BQ165&gt;=100),AND('4-man'!BQ$56="ST&gt;4",BQ173&gt;=100),AND('4-man'!BQ$57="ST&gt;4",BQ181&gt;=100))))),'4-man'!BQ$54,0)</f>
        <v/>
      </c>
      <c r="BR196">
        <f>IF(OR('4-man'!BR$58="P",'4-man'!BR$58="R",AND('4-man'!BR$54&lt;=IF('4-man'!$BF$37="",999,'4-man'!$BF$37),OR('4-man'!BR$58="D",LEFT('4-man'!BR$58,3)="ST&gt;",OR(AND('4-man'!BR$55="ST&gt;4",BR165&gt;=100),AND('4-man'!BR$56="ST&gt;4",BR173&gt;=100),AND('4-man'!BR$57="ST&gt;4",BR181&gt;=100))))),'4-man'!BR$54,0)</f>
        <v/>
      </c>
      <c r="BS196">
        <f>IF(OR('4-man'!BS$58="P",'4-man'!BS$58="R",AND('4-man'!BS$54&lt;=IF('4-man'!$BF$37="",999,'4-man'!$BF$37),OR('4-man'!BS$58="D",LEFT('4-man'!BS$58,3)="ST&gt;",OR(AND('4-man'!BS$55="ST&gt;4",BS165&gt;=100),AND('4-man'!BS$56="ST&gt;4",BS173&gt;=100),AND('4-man'!BS$57="ST&gt;4",BS181&gt;=100))))),'4-man'!BS$54,0)</f>
        <v/>
      </c>
      <c r="BT196">
        <f>IF(OR('4-man'!BT$58="P",'4-man'!BT$58="R",AND('4-man'!BT$54&lt;=IF('4-man'!$BF$37="",999,'4-man'!$BF$37),OR('4-man'!BT$58="D",LEFT('4-man'!BT$58,3)="ST&gt;",OR(AND('4-man'!BT$55="ST&gt;4",BT165&gt;=100),AND('4-man'!BT$56="ST&gt;4",BT173&gt;=100),AND('4-man'!BT$57="ST&gt;4",BT181&gt;=100))))),'4-man'!BT$54,0)</f>
        <v/>
      </c>
      <c r="BU196">
        <f>IF(OR('4-man'!BU$58="P",'4-man'!BU$58="R",AND('4-man'!BU$54&lt;=IF('4-man'!$BF$37="",999,'4-man'!$BF$37),OR('4-man'!BU$58="D",LEFT('4-man'!BU$58,3)="ST&gt;",OR(AND('4-man'!BU$55="ST&gt;4",BU165&gt;=100),AND('4-man'!BU$56="ST&gt;4",BU173&gt;=100),AND('4-man'!BU$57="ST&gt;4",BU181&gt;=100))))),'4-man'!BU$54,0)</f>
        <v/>
      </c>
      <c r="BV196">
        <f>IF(OR('4-man'!BV$58="P",'4-man'!BV$58="R",AND('4-man'!BV$54&lt;=IF('4-man'!$BF$37="",999,'4-man'!$BF$37),OR('4-man'!BV$58="D",LEFT('4-man'!BV$58,3)="ST&gt;",OR(AND('4-man'!BV$55="ST&gt;4",BV165&gt;=100),AND('4-man'!BV$56="ST&gt;4",BV173&gt;=100),AND('4-man'!BV$57="ST&gt;4",BV181&gt;=100))))),'4-man'!BV$54,0)</f>
        <v/>
      </c>
      <c r="BW196">
        <f>IF(OR('4-man'!BW$58="P",'4-man'!BW$58="R",AND('4-man'!BW$54&lt;=IF('4-man'!$BF$37="",999,'4-man'!$BF$37),OR('4-man'!BW$58="D",LEFT('4-man'!BW$58,3)="ST&gt;",OR(AND('4-man'!BW$55="ST&gt;4",BW165&gt;=100),AND('4-man'!BW$56="ST&gt;4",BW173&gt;=100),AND('4-man'!BW$57="ST&gt;4",BW181&gt;=100))))),'4-man'!BW$54,0)</f>
        <v/>
      </c>
      <c r="BX196">
        <f>IF(OR('4-man'!BX$58="P",'4-man'!BX$58="R",AND('4-man'!BX$54&lt;=IF('4-man'!$BF$37="",999,'4-man'!$BF$37),OR('4-man'!BX$58="D",LEFT('4-man'!BX$58,3)="ST&gt;",OR(AND('4-man'!BX$55="ST&gt;4",BX165&gt;=100),AND('4-man'!BX$56="ST&gt;4",BX173&gt;=100),AND('4-man'!BX$57="ST&gt;4",BX181&gt;=100))))),'4-man'!BX$54,0)</f>
        <v/>
      </c>
      <c r="BY196">
        <f>IF(OR('4-man'!BY$58="P",'4-man'!BY$58="R",AND('4-man'!BY$54&lt;=IF('4-man'!$BF$37="",999,'4-man'!$BF$37),OR('4-man'!BY$58="D",LEFT('4-man'!BY$58,3)="ST&gt;",OR(AND('4-man'!BY$55="ST&gt;4",BY165&gt;=100),AND('4-man'!BY$56="ST&gt;4",BY173&gt;=100),AND('4-man'!BY$57="ST&gt;4",BY181&gt;=100))))),'4-man'!BY$54,0)</f>
        <v/>
      </c>
      <c r="BZ196">
        <f>IF(OR('4-man'!BZ$58="P",'4-man'!BZ$58="R",AND('4-man'!BZ$54&lt;=IF('4-man'!$BF$37="",999,'4-man'!$BF$37),OR('4-man'!BZ$58="D",LEFT('4-man'!BZ$58,3)="ST&gt;",OR(AND('4-man'!BZ$55="ST&gt;4",BZ165&gt;=100),AND('4-man'!BZ$56="ST&gt;4",BZ173&gt;=100),AND('4-man'!BZ$57="ST&gt;4",BZ181&gt;=100))))),'4-man'!BZ$54,0)</f>
        <v/>
      </c>
      <c r="CA196">
        <f>IF(OR('4-man'!CA$58="P",'4-man'!CA$58="R",AND('4-man'!CA$54&lt;=IF('4-man'!$BF$37="",999,'4-man'!$BF$37),OR('4-man'!CA$58="D",LEFT('4-man'!CA$58,3)="ST&gt;",OR(AND('4-man'!CA$55="ST&gt;4",CA165&gt;=100),AND('4-man'!CA$56="ST&gt;4",CA173&gt;=100),AND('4-man'!CA$57="ST&gt;4",CA181&gt;=100))))),'4-man'!CA$54,0)</f>
        <v/>
      </c>
      <c r="CB196">
        <f>IF(OR('4-man'!CB$58="P",'4-man'!CB$58="R",AND('4-man'!CB$54&lt;=IF('4-man'!$BF$37="",999,'4-man'!$BF$37),OR('4-man'!CB$58="D",LEFT('4-man'!CB$58,3)="ST&gt;",OR(AND('4-man'!CB$55="ST&gt;4",CB165&gt;=100),AND('4-man'!CB$56="ST&gt;4",CB173&gt;=100),AND('4-man'!CB$57="ST&gt;4",CB181&gt;=100))))),'4-man'!CB$54,0)</f>
        <v/>
      </c>
      <c r="CC196">
        <f>IF(OR('4-man'!CC$58="P",'4-man'!CC$58="R",AND('4-man'!CC$54&lt;=IF('4-man'!$BF$37="",999,'4-man'!$BF$37),OR('4-man'!CC$58="D",LEFT('4-man'!CC$58,3)="ST&gt;",OR(AND('4-man'!CC$55="ST&gt;4",CC165&gt;=100),AND('4-man'!CC$56="ST&gt;4",CC173&gt;=100),AND('4-man'!CC$57="ST&gt;4",CC181&gt;=100))))),'4-man'!CC$54,0)</f>
        <v/>
      </c>
      <c r="CD196">
        <f>IF(OR('4-man'!CD$58="P",'4-man'!CD$58="R",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MIN(100,B205+IF(AND(B205&lt;100,B206+1&gt;=IF(OR('5-man'!$F$4=TRUE,'5-man'!$F$4="TRUE",'5-man'!$F$4="Yes"),25,50)),10,0)+IF('5-man'!C$24=$Q$210,25,0))</f>
        <v/>
      </c>
      <c r="D204">
        <f>MIN(100,C205+IF(AND(C205&lt;100,C206+1&gt;=IF(OR('5-man'!$F$4=TRUE,'5-man'!$F$4="TRUE",'5-man'!$F$4="Yes"),25,50)),10,0)+IF('5-man'!D$24=$Q$210,25,0))</f>
        <v/>
      </c>
      <c r="E204">
        <f>MIN(100,D205+IF(AND(D205&lt;100,D206+1&gt;=IF(OR('5-man'!$F$4=TRUE,'5-man'!$F$4="TRUE",'5-man'!$F$4="Yes"),25,50)),10,0)+IF('5-man'!E$24=$Q$210,25,0))</f>
        <v/>
      </c>
      <c r="F204">
        <f>MIN(100,E205+IF(AND(E205&lt;100,E206+1&gt;=IF(OR('5-man'!$F$4=TRUE,'5-man'!$F$4="TRUE",'5-man'!$F$4="Yes"),25,50)),10,0)+IF('5-man'!F$24=$Q$210,25,0))</f>
        <v/>
      </c>
      <c r="G204">
        <f>MIN(100,F205+IF(AND(F205&lt;100,F206+1&gt;=IF(OR('5-man'!$F$4=TRUE,'5-man'!$F$4="TRUE",'5-man'!$F$4="Yes"),25,50)),10,0)+IF('5-man'!G$24=$Q$210,25,0))</f>
        <v/>
      </c>
      <c r="H204">
        <f>MIN(100,G205+IF(AND(G205&lt;100,G206+1&gt;=IF(OR('5-man'!$F$4=TRUE,'5-man'!$F$4="TRUE",'5-man'!$F$4="Yes"),25,50)),10,0)+IF('5-man'!H$24=$Q$210,25,0))</f>
        <v/>
      </c>
      <c r="I204">
        <f>MIN(100,H205+IF(AND(H205&lt;100,H206+1&gt;=IF(OR('5-man'!$F$4=TRUE,'5-man'!$F$4="TRUE",'5-man'!$F$4="Yes"),25,50)),10,0)+IF('5-man'!I$24=$Q$210,25,0))</f>
        <v/>
      </c>
      <c r="J204">
        <f>MIN(100,I205+IF(AND(I205&lt;100,I206+1&gt;=IF(OR('5-man'!$F$4=TRUE,'5-man'!$F$4="TRUE",'5-man'!$F$4="Yes"),25,50)),10,0)+IF('5-man'!J$24=$Q$210,25,0))</f>
        <v/>
      </c>
      <c r="K204">
        <f>MIN(100,J205+IF(AND(J205&lt;100,J206+1&gt;=IF(OR('5-man'!$F$4=TRUE,'5-man'!$F$4="TRUE",'5-man'!$F$4="Yes"),25,50)),10,0)+IF('5-man'!K$24=$Q$210,25,0))</f>
        <v/>
      </c>
      <c r="L204">
        <f>MIN(100,K205+IF(AND(K205&lt;100,K206+1&gt;=IF(OR('5-man'!$F$4=TRUE,'5-man'!$F$4="TRUE",'5-man'!$F$4="Yes"),25,50)),10,0)+IF('5-man'!L$24=$Q$210,25,0))</f>
        <v/>
      </c>
      <c r="M204">
        <f>MIN(100,L205+IF(AND(L205&lt;100,L206+1&gt;=IF(OR('5-man'!$F$4=TRUE,'5-man'!$F$4="TRUE",'5-man'!$F$4="Yes"),25,50)),10,0)+IF('5-man'!M$24=$Q$210,25,0))</f>
        <v/>
      </c>
      <c r="N204">
        <f>MIN(100,M205+IF(AND(M205&lt;100,M206+1&gt;=IF(OR('5-man'!$F$4=TRUE,'5-man'!$F$4="TRUE",'5-man'!$F$4="Yes"),25,50)),10,0)+IF('5-man'!N$24=$Q$210,25,0))</f>
        <v/>
      </c>
      <c r="O204">
        <f>MIN(100,N205+IF(AND(N205&lt;100,N206+1&gt;=IF(OR('5-man'!$F$4=TRUE,'5-man'!$F$4="TRUE",'5-man'!$F$4="Yes"),25,50)),10,0)+IF('5-man'!O$24=$Q$210,25,0))</f>
        <v/>
      </c>
      <c r="P204">
        <f>MIN(100,O205+IF(AND(O205&lt;100,O206+1&gt;=IF(OR('5-man'!$F$4=TRUE,'5-man'!$F$4="TRUE",'5-man'!$F$4="Yes"),25,50)),10,0)+IF('5-man'!P$24=$Q$210,25,0))</f>
        <v/>
      </c>
      <c r="Q204">
        <f>MIN(100,P205+IF(AND(P205&lt;100,P206+1&gt;=IF(OR('5-man'!$F$4=TRUE,'5-man'!$F$4="TRUE",'5-man'!$F$4="Yes"),25,50)),10,0)+IF('5-man'!Q$24=$Q$210,25,0))</f>
        <v/>
      </c>
      <c r="R204">
        <f>MIN(100,Q205+IF(AND(Q205&lt;100,Q206+1&gt;=IF(OR('5-man'!$F$4=TRUE,'5-man'!$F$4="TRUE",'5-man'!$F$4="Yes"),25,50)),10,0)+IF('5-man'!R$24=$Q$210,25,0))</f>
        <v/>
      </c>
      <c r="S204">
        <f>MIN(100,R205+IF(AND(R205&lt;100,R206+1&gt;=IF(OR('5-man'!$F$4=TRUE,'5-man'!$F$4="TRUE",'5-man'!$F$4="Yes"),25,50)),10,0)+IF('5-man'!S$24=$Q$210,25,0))</f>
        <v/>
      </c>
      <c r="T204">
        <f>MIN(100,S205+IF(AND(S205&lt;100,S206+1&gt;=IF(OR('5-man'!$F$4=TRUE,'5-man'!$F$4="TRUE",'5-man'!$F$4="Yes"),25,50)),10,0)+IF('5-man'!T$24=$Q$210,25,0))</f>
        <v/>
      </c>
      <c r="U204">
        <f>MIN(100,T205+IF(AND(T205&lt;100,T206+1&gt;=IF(OR('5-man'!$F$4=TRUE,'5-man'!$F$4="TRUE",'5-man'!$F$4="Yes"),25,50)),10,0)+IF('5-man'!U$24=$Q$210,25,0))</f>
        <v/>
      </c>
      <c r="V204">
        <f>MIN(100,U205+IF(AND(U205&lt;100,U206+1&gt;=IF(OR('5-man'!$F$4=TRUE,'5-man'!$F$4="TRUE",'5-man'!$F$4="Yes"),25,50)),10,0)+IF('5-man'!V$24=$Q$210,25,0))</f>
        <v/>
      </c>
      <c r="W204">
        <f>MIN(100,V205+IF(AND(V205&lt;100,V206+1&gt;=IF(OR('5-man'!$F$4=TRUE,'5-man'!$F$4="TRUE",'5-man'!$F$4="Yes"),25,50)),10,0)+IF('5-man'!W$24=$Q$210,25,0))</f>
        <v/>
      </c>
      <c r="X204">
        <f>MIN(100,W205+IF(AND(W205&lt;100,W206+1&gt;=IF(OR('5-man'!$F$4=TRUE,'5-man'!$F$4="TRUE",'5-man'!$F$4="Yes"),25,50)),10,0)+IF('5-man'!X$24=$Q$210,25,0))</f>
        <v/>
      </c>
      <c r="Y204">
        <f>MIN(100,X205+IF(AND(X205&lt;100,X206+1&gt;=IF(OR('5-man'!$F$4=TRUE,'5-man'!$F$4="TRUE",'5-man'!$F$4="Yes"),25,50)),10,0)+IF('5-man'!Y$24=$Q$210,25,0))</f>
        <v/>
      </c>
      <c r="Z204">
        <f>MIN(100,Y205+IF(AND(Y205&lt;100,Y206+1&gt;=IF(OR('5-man'!$F$4=TRUE,'5-man'!$F$4="TRUE",'5-man'!$F$4="Yes"),25,50)),10,0)+IF('5-man'!Z$24=$Q$210,25,0))</f>
        <v/>
      </c>
      <c r="AA204">
        <f>MIN(100,Z205+IF(AND(Z205&lt;100,Z206+1&gt;=IF(OR('5-man'!$F$4=TRUE,'5-man'!$F$4="TRUE",'5-man'!$F$4="Yes"),25,50)),10,0)+IF('5-man'!AA$24=$Q$210,25,0))</f>
        <v/>
      </c>
      <c r="AB204">
        <f>MIN(100,AA205+IF(AND(AA205&lt;100,AA206+1&gt;=IF(OR('5-man'!$F$4=TRUE,'5-man'!$F$4="TRUE",'5-man'!$F$4="Yes"),25,50)),10,0)+IF('5-man'!AB$24=$Q$210,25,0))</f>
        <v/>
      </c>
      <c r="AC204">
        <f>MIN(100,AB205+IF(AND(AB205&lt;100,AB206+1&gt;=IF(OR('5-man'!$F$4=TRUE,'5-man'!$F$4="TRUE",'5-man'!$F$4="Yes"),25,50)),10,0)+IF('5-man'!AC$24=$Q$210,25,0))</f>
        <v/>
      </c>
      <c r="AD204">
        <f>MIN(100,AC205+IF(AND(AC205&lt;100,AC206+1&gt;=IF(OR('5-man'!$F$4=TRUE,'5-man'!$F$4="TRUE",'5-man'!$F$4="Yes"),25,50)),10,0)+IF('5-man'!AD$24=$Q$210,25,0))</f>
        <v/>
      </c>
      <c r="AE204">
        <f>MIN(100,AD205+IF(AND(AD205&lt;100,AD206+1&gt;=IF(OR('5-man'!$F$4=TRUE,'5-man'!$F$4="TRUE",'5-man'!$F$4="Yes"),25,50)),10,0)+IF('5-man'!AE$24=$Q$210,25,0))</f>
        <v/>
      </c>
      <c r="AF204">
        <f>MIN(100,AE205+IF(AND(AE205&lt;100,AE206+1&gt;=IF(OR('5-man'!$F$4=TRUE,'5-man'!$F$4="TRUE",'5-man'!$F$4="Yes"),25,50)),10,0)+IF('5-man'!AF$24=$Q$210,25,0))</f>
        <v/>
      </c>
      <c r="AG204">
        <f>MIN(100,AF205+IF(AND(AF205&lt;100,AF206+1&gt;=IF(OR('5-man'!$F$4=TRUE,'5-man'!$F$4="TRUE",'5-man'!$F$4="Yes"),25,50)),10,0)+IF('5-man'!AG$24=$Q$210,25,0))</f>
        <v/>
      </c>
      <c r="AH204">
        <f>MIN(100,AG205+IF(AND(AG205&lt;100,AG206+1&gt;=IF(OR('5-man'!$F$4=TRUE,'5-man'!$F$4="TRUE",'5-man'!$F$4="Yes"),25,50)),10,0)+IF('5-man'!AH$24=$Q$210,25,0))</f>
        <v/>
      </c>
      <c r="AI204">
        <f>MIN(100,AH205+IF(AND(AH205&lt;100,AH206+1&gt;=IF(OR('5-man'!$F$4=TRUE,'5-man'!$F$4="TRUE",'5-man'!$F$4="Yes"),25,50)),10,0)+IF('5-man'!AI$24=$Q$210,25,0))</f>
        <v/>
      </c>
      <c r="AJ204">
        <f>MIN(100,AI205+IF(AND(AI205&lt;100,AI206+1&gt;=IF(OR('5-man'!$F$4=TRUE,'5-man'!$F$4="TRUE",'5-man'!$F$4="Yes"),25,50)),10,0)+IF('5-man'!AJ$24=$Q$210,25,0))</f>
        <v/>
      </c>
      <c r="AK204">
        <f>MIN(100,AJ205+IF(AND(AJ205&lt;100,AJ206+1&gt;=IF(OR('5-man'!$F$4=TRUE,'5-man'!$F$4="TRUE",'5-man'!$F$4="Yes"),25,50)),10,0)+IF('5-man'!AK$24=$Q$210,25,0))</f>
        <v/>
      </c>
      <c r="AL204">
        <f>MIN(100,AK205+IF(AND(AK205&lt;100,AK206+1&gt;=IF(OR('5-man'!$F$4=TRUE,'5-man'!$F$4="TRUE",'5-man'!$F$4="Yes"),25,50)),10,0)+IF('5-man'!AL$24=$Q$210,25,0))</f>
        <v/>
      </c>
      <c r="AM204">
        <f>MIN(100,AL205+IF(AND(AL205&lt;100,AL206+1&gt;=IF(OR('5-man'!$F$4=TRUE,'5-man'!$F$4="TRUE",'5-man'!$F$4="Yes"),25,50)),10,0)+IF('5-man'!AM$24=$Q$210,25,0))</f>
        <v/>
      </c>
      <c r="AN204">
        <f>MIN(100,AM205+IF(AND(AM205&lt;100,AM206+1&gt;=IF(OR('5-man'!$F$4=TRUE,'5-man'!$F$4="TRUE",'5-man'!$F$4="Yes"),25,50)),10,0)+IF('5-man'!AN$24=$Q$210,25,0))</f>
        <v/>
      </c>
      <c r="AO204">
        <f>MIN(100,AN205+IF(AND(AN205&lt;100,AN206+1&gt;=IF(OR('5-man'!$F$4=TRUE,'5-man'!$F$4="TRUE",'5-man'!$F$4="Yes"),25,50)),10,0)+IF('5-man'!AO$24=$Q$210,25,0))</f>
        <v/>
      </c>
      <c r="AP204">
        <f>MIN(100,AO205+IF(AND(AO205&lt;100,AO206+1&gt;=IF(OR('5-man'!$F$4=TRUE,'5-man'!$F$4="TRUE",'5-man'!$F$4="Yes"),25,50)),10,0)+IF('5-man'!AP$24=$Q$210,25,0))</f>
        <v/>
      </c>
      <c r="AQ204">
        <f>MIN(100,AP205+IF(AND(AP205&lt;100,AP206+1&gt;=IF(OR('5-man'!$F$4=TRUE,'5-man'!$F$4="TRUE",'5-man'!$F$4="Yes"),25,50)),10,0)+IF('5-man'!AQ$24=$Q$210,25,0))</f>
        <v/>
      </c>
      <c r="AR204">
        <f>MIN(100,AQ205+IF(AND(AQ205&lt;100,AQ206+1&gt;=IF(OR('5-man'!$F$4=TRUE,'5-man'!$F$4="TRUE",'5-man'!$F$4="Yes"),25,50)),10,0)+IF('5-man'!AR$24=$Q$210,25,0))</f>
        <v/>
      </c>
      <c r="AS204">
        <f>MIN(100,AR205+IF(AND(AR205&lt;100,AR206+1&gt;=IF(OR('5-man'!$F$4=TRUE,'5-man'!$F$4="TRUE",'5-man'!$F$4="Yes"),25,50)),10,0)+IF('5-man'!AS$24=$Q$210,25,0))</f>
        <v/>
      </c>
      <c r="AT204">
        <f>MIN(100,AS205+IF(AND(AS205&lt;100,AS206+1&gt;=IF(OR('5-man'!$F$4=TRUE,'5-man'!$F$4="TRUE",'5-man'!$F$4="Yes"),25,50)),10,0)+IF('5-man'!AT$24=$Q$210,25,0))</f>
        <v/>
      </c>
      <c r="AU204">
        <f>MIN(100,AT205+IF(AND(AT205&lt;100,AT206+1&gt;=IF(OR('5-man'!$F$4=TRUE,'5-man'!$F$4="TRUE",'5-man'!$F$4="Yes"),25,50)),10,0)+IF('5-man'!AU$24=$Q$210,25,0))</f>
        <v/>
      </c>
      <c r="AV204">
        <f>MIN(100,AU205+IF(AND(AU205&lt;100,AU206+1&gt;=IF(OR('5-man'!$F$4=TRUE,'5-man'!$F$4="TRUE",'5-man'!$F$4="Yes"),25,50)),10,0)+IF('5-man'!AV$24=$Q$210,25,0))</f>
        <v/>
      </c>
      <c r="AW204">
        <f>MIN(100,AV205+IF(AND(AV205&lt;100,AV206+1&gt;=IF(OR('5-man'!$F$4=TRUE,'5-man'!$F$4="TRUE",'5-man'!$F$4="Yes"),25,50)),10,0)+IF('5-man'!AW$24=$Q$210,25,0))</f>
        <v/>
      </c>
      <c r="AX204">
        <f>MIN(100,AW205+IF(AND(AW205&lt;100,AW206+1&gt;=IF(OR('5-man'!$F$4=TRUE,'5-man'!$F$4="TRUE",'5-man'!$F$4="Yes"),25,50)),10,0)+IF('5-man'!AX$24=$Q$210,25,0))</f>
        <v/>
      </c>
      <c r="AY204">
        <f>MIN(100,AX205+IF(AND(AX205&lt;100,AX206+1&gt;=IF(OR('5-man'!$F$4=TRUE,'5-man'!$F$4="TRUE",'5-man'!$F$4="Yes"),25,50)),10,0)+IF('5-man'!AY$24=$Q$210,25,0))</f>
        <v/>
      </c>
      <c r="AZ204">
        <f>MIN(100,AY205+IF(AND(AY205&lt;100,AY206+1&gt;=IF(OR('5-man'!$F$4=TRUE,'5-man'!$F$4="TRUE",'5-man'!$F$4="Yes"),25,50)),10,0)+IF('5-man'!AZ$24=$Q$210,25,0))</f>
        <v/>
      </c>
      <c r="BA204">
        <f>MIN(100,AZ205+IF(AND(AZ205&lt;100,AZ206+1&gt;=IF(OR('5-man'!$F$4=TRUE,'5-man'!$F$4="TRUE",'5-man'!$F$4="Yes"),25,50)),10,0)+IF('5-man'!BA$24=$Q$210,25,0))</f>
        <v/>
      </c>
      <c r="BB204">
        <f>MIN(100,BA205+IF(AND(BA205&lt;100,BA206+1&gt;=IF(OR('5-man'!$F$4=TRUE,'5-man'!$F$4="TRUE",'5-man'!$F$4="Yes"),25,50)),10,0)+IF('5-man'!BB$24=$Q$210,25,0))</f>
        <v/>
      </c>
      <c r="BC204">
        <f>MIN(100,BB205+IF(AND(BB205&lt;100,BB206+1&gt;=IF(OR('5-man'!$F$4=TRUE,'5-man'!$F$4="TRUE",'5-man'!$F$4="Yes"),25,50)),10,0)+IF('5-man'!BC$24=$Q$210,25,0))</f>
        <v/>
      </c>
      <c r="BD204">
        <f>MIN(100,BC205+IF(AND(BC205&lt;100,BC206+1&gt;=IF(OR('5-man'!$F$4=TRUE,'5-man'!$F$4="TRUE",'5-man'!$F$4="Yes"),25,50)),10,0)+IF('5-man'!BD$24=$Q$210,25,0))</f>
        <v/>
      </c>
      <c r="BE204">
        <f>MIN(100,BD205+IF(AND(BD205&lt;100,BD206+1&gt;=IF(OR('5-man'!$F$4=TRUE,'5-man'!$F$4="TRUE",'5-man'!$F$4="Yes"),25,50)),10,0)+IF('5-man'!BE$24=$Q$210,25,0))</f>
        <v/>
      </c>
      <c r="BF204">
        <f>MIN(100,BE205+IF(AND(BE205&lt;100,BE206+1&gt;=IF(OR('5-man'!$F$4=TRUE,'5-man'!$F$4="TRUE",'5-man'!$F$4="Yes"),25,50)),10,0)+IF('5-man'!BF$24=$Q$210,25,0))</f>
        <v/>
      </c>
      <c r="BG204">
        <f>MIN(100,BF205+IF(AND(BF205&lt;100,BF206+1&gt;=IF(OR('5-man'!$F$4=TRUE,'5-man'!$F$4="TRUE",'5-man'!$F$4="Yes"),25,50)),10,0)+IF('5-man'!BG$24=$Q$210,25,0))</f>
        <v/>
      </c>
      <c r="BH204">
        <f>MIN(100,BG205+IF(AND(BG205&lt;100,BG206+1&gt;=IF(OR('5-man'!$F$4=TRUE,'5-man'!$F$4="TRUE",'5-man'!$F$4="Yes"),25,50)),10,0)+IF('5-man'!BH$24=$Q$210,25,0))</f>
        <v/>
      </c>
      <c r="BI204">
        <f>MIN(100,BH205+IF(AND(BH205&lt;100,BH206+1&gt;=IF(OR('5-man'!$F$4=TRUE,'5-man'!$F$4="TRUE",'5-man'!$F$4="Yes"),25,50)),10,0)+IF('5-man'!BI$24=$Q$210,25,0))</f>
        <v/>
      </c>
      <c r="BJ204">
        <f>MIN(100,BI205+IF(AND(BI205&lt;100,BI206+1&gt;=IF(OR('5-man'!$F$4=TRUE,'5-man'!$F$4="TRUE",'5-man'!$F$4="Yes"),25,50)),10,0)+IF('5-man'!BJ$24=$Q$210,25,0))</f>
        <v/>
      </c>
      <c r="BK204">
        <f>MIN(100,BJ205+IF(AND(BJ205&lt;100,BJ206+1&gt;=IF(OR('5-man'!$F$4=TRUE,'5-man'!$F$4="TRUE",'5-man'!$F$4="Yes"),25,50)),10,0)+IF('5-man'!BK$24=$Q$210,25,0))</f>
        <v/>
      </c>
      <c r="BL204">
        <f>MIN(100,BK205+IF(AND(BK205&lt;100,BK206+1&gt;=IF(OR('5-man'!$F$4=TRUE,'5-man'!$F$4="TRUE",'5-man'!$F$4="Yes"),25,50)),10,0)+IF('5-man'!BL$24=$Q$210,25,0))</f>
        <v/>
      </c>
      <c r="BM204">
        <f>MIN(100,BL205+IF(AND(BL205&lt;100,BL206+1&gt;=IF(OR('5-man'!$F$4=TRUE,'5-man'!$F$4="TRUE",'5-man'!$F$4="Yes"),25,50)),10,0)+IF('5-man'!BM$24=$Q$210,25,0))</f>
        <v/>
      </c>
      <c r="BN204">
        <f>MIN(100,BM205+IF(AND(BM205&lt;100,BM206+1&gt;=IF(OR('5-man'!$F$4=TRUE,'5-man'!$F$4="TRUE",'5-man'!$F$4="Yes"),25,50)),10,0)+IF('5-man'!BN$24=$Q$210,25,0))</f>
        <v/>
      </c>
      <c r="BO204">
        <f>MIN(100,BN205+IF(AND(BN205&lt;100,BN206+1&gt;=IF(OR('5-man'!$F$4=TRUE,'5-man'!$F$4="TRUE",'5-man'!$F$4="Yes"),25,50)),10,0)+IF('5-man'!BO$24=$Q$210,25,0))</f>
        <v/>
      </c>
      <c r="BP204">
        <f>MIN(100,BO205+IF(AND(BO205&lt;100,BO206+1&gt;=IF(OR('5-man'!$F$4=TRUE,'5-man'!$F$4="TRUE",'5-man'!$F$4="Yes"),25,50)),10,0)+IF('5-man'!BP$24=$Q$210,25,0))</f>
        <v/>
      </c>
      <c r="BQ204">
        <f>MIN(100,BP205+IF(AND(BP205&lt;100,BP206+1&gt;=IF(OR('5-man'!$F$4=TRUE,'5-man'!$F$4="TRUE",'5-man'!$F$4="Yes"),25,50)),10,0)+IF('5-man'!BQ$24=$Q$210,25,0))</f>
        <v/>
      </c>
      <c r="BR204">
        <f>MIN(100,BQ205+IF(AND(BQ205&lt;100,BQ206+1&gt;=IF(OR('5-man'!$F$4=TRUE,'5-man'!$F$4="TRUE",'5-man'!$F$4="Yes"),25,50)),10,0)+IF('5-man'!BR$24=$Q$210,25,0))</f>
        <v/>
      </c>
      <c r="BS204">
        <f>MIN(100,BR205+IF(AND(BR205&lt;100,BR206+1&gt;=IF(OR('5-man'!$F$4=TRUE,'5-man'!$F$4="TRUE",'5-man'!$F$4="Yes"),25,50)),10,0)+IF('5-man'!BS$24=$Q$210,25,0))</f>
        <v/>
      </c>
      <c r="BT204">
        <f>MIN(100,BS205+IF(AND(BS205&lt;100,BS206+1&gt;=IF(OR('5-man'!$F$4=TRUE,'5-man'!$F$4="TRUE",'5-man'!$F$4="Yes"),25,50)),10,0)+IF('5-man'!BT$24=$Q$210,25,0))</f>
        <v/>
      </c>
      <c r="BU204">
        <f>MIN(100,BT205+IF(AND(BT205&lt;100,BT206+1&gt;=IF(OR('5-man'!$F$4=TRUE,'5-man'!$F$4="TRUE",'5-man'!$F$4="Yes"),25,50)),10,0)+IF('5-man'!BU$24=$Q$210,25,0))</f>
        <v/>
      </c>
      <c r="BV204">
        <f>MIN(100,BU205+IF(AND(BU205&lt;100,BU206+1&gt;=IF(OR('5-man'!$F$4=TRUE,'5-man'!$F$4="TRUE",'5-man'!$F$4="Yes"),25,50)),10,0)+IF('5-man'!BV$24=$Q$210,25,0))</f>
        <v/>
      </c>
      <c r="BW204">
        <f>MIN(100,BV205+IF(AND(BV205&lt;100,BV206+1&gt;=IF(OR('5-man'!$F$4=TRUE,'5-man'!$F$4="TRUE",'5-man'!$F$4="Yes"),25,50)),10,0)+IF('5-man'!BW$24=$Q$210,25,0))</f>
        <v/>
      </c>
      <c r="BX204">
        <f>MIN(100,BW205+IF(AND(BW205&lt;100,BW206+1&gt;=IF(OR('5-man'!$F$4=TRUE,'5-man'!$F$4="TRUE",'5-man'!$F$4="Yes"),25,50)),10,0)+IF('5-man'!BX$24=$Q$210,25,0))</f>
        <v/>
      </c>
      <c r="BY204">
        <f>MIN(100,BX205+IF(AND(BX205&lt;100,BX206+1&gt;=IF(OR('5-man'!$F$4=TRUE,'5-man'!$F$4="TRUE",'5-man'!$F$4="Yes"),25,50)),10,0)+IF('5-man'!BY$24=$Q$210,25,0))</f>
        <v/>
      </c>
      <c r="BZ204">
        <f>MIN(100,BY205+IF(AND(BY205&lt;100,BY206+1&gt;=IF(OR('5-man'!$F$4=TRUE,'5-man'!$F$4="TRUE",'5-man'!$F$4="Yes"),25,50)),10,0)+IF('5-man'!BZ$24=$Q$210,25,0))</f>
        <v/>
      </c>
      <c r="CA204">
        <f>MIN(100,BZ205+IF(AND(BZ205&lt;100,BZ206+1&gt;=IF(OR('5-man'!$F$4=TRUE,'5-man'!$F$4="TRUE",'5-man'!$F$4="Yes"),25,50)),10,0)+IF('5-man'!CA$24=$Q$210,25,0))</f>
        <v/>
      </c>
      <c r="CB204">
        <f>MIN(100,CA205+IF(AND(CA205&lt;100,CA206+1&gt;=IF(OR('5-man'!$F$4=TRUE,'5-man'!$F$4="TRUE",'5-man'!$F$4="Yes"),25,50)),10,0)+IF('5-man'!CB$24=$Q$210,25,0))</f>
        <v/>
      </c>
      <c r="CC204">
        <f>MIN(100,CB205+IF(AND(CB205&lt;100,CB206+1&gt;=IF(OR('5-man'!$F$4=TRUE,'5-man'!$F$4="TRUE",'5-man'!$F$4="Yes"),25,50)),10,0)+IF('5-man'!CC$24=$Q$210,25,0))</f>
        <v/>
      </c>
      <c r="CD204">
        <f>MIN(100,CC205+IF(AND(CC205&lt;100,CC206+1&gt;=IF(OR('5-man'!$F$4=TRUE,'5-man'!$F$4="TRUE",'5-man'!$F$4="Yes"),25,50)),10,0)+IF('5-man'!CD$24=$Q$210,25,0))</f>
        <v/>
      </c>
    </row>
    <row r="205">
      <c r="A205" t="inlineStr">
        <is>
          <t>P1 spec</t>
        </is>
      </c>
      <c r="B205">
        <f>IF('5-man'!$C$4="",100,'5-man'!$C$4)</f>
        <v/>
      </c>
      <c r="C205">
        <f>IF('5-man'!C$25="R",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5-man'!D$25="R",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5-man'!E$25="R",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5-man'!F$25="R",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5-man'!G$25="R",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5-man'!H$25="R",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5-man'!I$25="R",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5-man'!J$25="R",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5-man'!K$25="R",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5-man'!L$25="R",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5-man'!M$25="R",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5-man'!N$25="R",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5-man'!O$25="R",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5-man'!P$25="R",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5-man'!Q$25="R",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5-man'!R$25="R",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5-man'!S$25="R",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5-man'!T$25="R",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5-man'!U$25="R",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5-man'!V$25="R",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5-man'!W$25="R",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5-man'!X$25="R",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5-man'!Y$25="R",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5-man'!Z$25="R",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5-man'!AA$25="R",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5-man'!AB$25="R",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5-man'!AC$25="R",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5-man'!AD$25="R",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5-man'!AE$25="R",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5-man'!AF$25="R",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5-man'!AG$25="R",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5-man'!AH$25="R",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5-man'!AI$25="R",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5-man'!AJ$25="R",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5-man'!AK$25="R",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5-man'!AL$25="R",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5-man'!AM$25="R",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5-man'!AN$25="R",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5-man'!AO$25="R",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5-man'!AP$25="R",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5-man'!AQ$25="R",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5-man'!AR$25="R",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5-man'!AS$25="R",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5-man'!AT$25="R",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5-man'!AU$25="R",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5-man'!AV$25="R",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5-man'!AW$25="R",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5-man'!AX$25="R",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5-man'!AY$25="R",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5-man'!AZ$25="R",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5-man'!BA$25="R",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5-man'!BB$25="R",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5-man'!BC$25="R",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5-man'!BD$25="R",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5-man'!BE$25="R",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5-man'!BF$25="R",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5-man'!BG$25="R",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5-man'!BH$25="R",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5-man'!BI$25="R",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5-man'!BJ$25="R",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5-man'!BK$25="R",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5-man'!BL$25="R",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5-man'!BM$25="R",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5-man'!BN$25="R",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5-man'!BO$25="R",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5-man'!BP$25="R",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5-man'!BQ$25="R",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5-man'!BR$25="R",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5-man'!BS$25="R",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5-man'!BT$25="R",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5-man'!BU$25="R",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5-man'!BV$25="R",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5-man'!BW$25="R",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5-man'!BX$25="R",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5-man'!BY$25="R",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5-man'!BZ$25="R",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5-man'!CA$25="R",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5-man'!CB$25="R",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5-man'!CC$25="R",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5-man'!CD$25="R",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IF('5-man'!C$25="R",0,IF(B205&gt;=100,0,IF(B206+1&gt;=IF(OR('5-man'!$F$4=TRUE,'5-man'!$F$4="TRUE",'5-man'!$F$4="Yes"),25,50),0,B206+1)))</f>
        <v/>
      </c>
      <c r="D206">
        <f>IF('5-man'!D$25="R",0,IF(C205&gt;=100,0,IF(C206+1&gt;=IF(OR('5-man'!$F$4=TRUE,'5-man'!$F$4="TRUE",'5-man'!$F$4="Yes"),25,50),0,C206+1)))</f>
        <v/>
      </c>
      <c r="E206">
        <f>IF('5-man'!E$25="R",0,IF(D205&gt;=100,0,IF(D206+1&gt;=IF(OR('5-man'!$F$4=TRUE,'5-man'!$F$4="TRUE",'5-man'!$F$4="Yes"),25,50),0,D206+1)))</f>
        <v/>
      </c>
      <c r="F206">
        <f>IF('5-man'!F$25="R",0,IF(E205&gt;=100,0,IF(E206+1&gt;=IF(OR('5-man'!$F$4=TRUE,'5-man'!$F$4="TRUE",'5-man'!$F$4="Yes"),25,50),0,E206+1)))</f>
        <v/>
      </c>
      <c r="G206">
        <f>IF('5-man'!G$25="R",0,IF(F205&gt;=100,0,IF(F206+1&gt;=IF(OR('5-man'!$F$4=TRUE,'5-man'!$F$4="TRUE",'5-man'!$F$4="Yes"),25,50),0,F206+1)))</f>
        <v/>
      </c>
      <c r="H206">
        <f>IF('5-man'!H$25="R",0,IF(G205&gt;=100,0,IF(G206+1&gt;=IF(OR('5-man'!$F$4=TRUE,'5-man'!$F$4="TRUE",'5-man'!$F$4="Yes"),25,50),0,G206+1)))</f>
        <v/>
      </c>
      <c r="I206">
        <f>IF('5-man'!I$25="R",0,IF(H205&gt;=100,0,IF(H206+1&gt;=IF(OR('5-man'!$F$4=TRUE,'5-man'!$F$4="TRUE",'5-man'!$F$4="Yes"),25,50),0,H206+1)))</f>
        <v/>
      </c>
      <c r="J206">
        <f>IF('5-man'!J$25="R",0,IF(I205&gt;=100,0,IF(I206+1&gt;=IF(OR('5-man'!$F$4=TRUE,'5-man'!$F$4="TRUE",'5-man'!$F$4="Yes"),25,50),0,I206+1)))</f>
        <v/>
      </c>
      <c r="K206">
        <f>IF('5-man'!K$25="R",0,IF(J205&gt;=100,0,IF(J206+1&gt;=IF(OR('5-man'!$F$4=TRUE,'5-man'!$F$4="TRUE",'5-man'!$F$4="Yes"),25,50),0,J206+1)))</f>
        <v/>
      </c>
      <c r="L206">
        <f>IF('5-man'!L$25="R",0,IF(K205&gt;=100,0,IF(K206+1&gt;=IF(OR('5-man'!$F$4=TRUE,'5-man'!$F$4="TRUE",'5-man'!$F$4="Yes"),25,50),0,K206+1)))</f>
        <v/>
      </c>
      <c r="M206">
        <f>IF('5-man'!M$25="R",0,IF(L205&gt;=100,0,IF(L206+1&gt;=IF(OR('5-man'!$F$4=TRUE,'5-man'!$F$4="TRUE",'5-man'!$F$4="Yes"),25,50),0,L206+1)))</f>
        <v/>
      </c>
      <c r="N206">
        <f>IF('5-man'!N$25="R",0,IF(M205&gt;=100,0,IF(M206+1&gt;=IF(OR('5-man'!$F$4=TRUE,'5-man'!$F$4="TRUE",'5-man'!$F$4="Yes"),25,50),0,M206+1)))</f>
        <v/>
      </c>
      <c r="O206">
        <f>IF('5-man'!O$25="R",0,IF(N205&gt;=100,0,IF(N206+1&gt;=IF(OR('5-man'!$F$4=TRUE,'5-man'!$F$4="TRUE",'5-man'!$F$4="Yes"),25,50),0,N206+1)))</f>
        <v/>
      </c>
      <c r="P206">
        <f>IF('5-man'!P$25="R",0,IF(O205&gt;=100,0,IF(O206+1&gt;=IF(OR('5-man'!$F$4=TRUE,'5-man'!$F$4="TRUE",'5-man'!$F$4="Yes"),25,50),0,O206+1)))</f>
        <v/>
      </c>
      <c r="Q206">
        <f>IF('5-man'!Q$25="R",0,IF(P205&gt;=100,0,IF(P206+1&gt;=IF(OR('5-man'!$F$4=TRUE,'5-man'!$F$4="TRUE",'5-man'!$F$4="Yes"),25,50),0,P206+1)))</f>
        <v/>
      </c>
      <c r="R206">
        <f>IF('5-man'!R$25="R",0,IF(Q205&gt;=100,0,IF(Q206+1&gt;=IF(OR('5-man'!$F$4=TRUE,'5-man'!$F$4="TRUE",'5-man'!$F$4="Yes"),25,50),0,Q206+1)))</f>
        <v/>
      </c>
      <c r="S206">
        <f>IF('5-man'!S$25="R",0,IF(R205&gt;=100,0,IF(R206+1&gt;=IF(OR('5-man'!$F$4=TRUE,'5-man'!$F$4="TRUE",'5-man'!$F$4="Yes"),25,50),0,R206+1)))</f>
        <v/>
      </c>
      <c r="T206">
        <f>IF('5-man'!T$25="R",0,IF(S205&gt;=100,0,IF(S206+1&gt;=IF(OR('5-man'!$F$4=TRUE,'5-man'!$F$4="TRUE",'5-man'!$F$4="Yes"),25,50),0,S206+1)))</f>
        <v/>
      </c>
      <c r="U206">
        <f>IF('5-man'!U$25="R",0,IF(T205&gt;=100,0,IF(T206+1&gt;=IF(OR('5-man'!$F$4=TRUE,'5-man'!$F$4="TRUE",'5-man'!$F$4="Yes"),25,50),0,T206+1)))</f>
        <v/>
      </c>
      <c r="V206">
        <f>IF('5-man'!V$25="R",0,IF(U205&gt;=100,0,IF(U206+1&gt;=IF(OR('5-man'!$F$4=TRUE,'5-man'!$F$4="TRUE",'5-man'!$F$4="Yes"),25,50),0,U206+1)))</f>
        <v/>
      </c>
      <c r="W206">
        <f>IF('5-man'!W$25="R",0,IF(V205&gt;=100,0,IF(V206+1&gt;=IF(OR('5-man'!$F$4=TRUE,'5-man'!$F$4="TRUE",'5-man'!$F$4="Yes"),25,50),0,V206+1)))</f>
        <v/>
      </c>
      <c r="X206">
        <f>IF('5-man'!X$25="R",0,IF(W205&gt;=100,0,IF(W206+1&gt;=IF(OR('5-man'!$F$4=TRUE,'5-man'!$F$4="TRUE",'5-man'!$F$4="Yes"),25,50),0,W206+1)))</f>
        <v/>
      </c>
      <c r="Y206">
        <f>IF('5-man'!Y$25="R",0,IF(X205&gt;=100,0,IF(X206+1&gt;=IF(OR('5-man'!$F$4=TRUE,'5-man'!$F$4="TRUE",'5-man'!$F$4="Yes"),25,50),0,X206+1)))</f>
        <v/>
      </c>
      <c r="Z206">
        <f>IF('5-man'!Z$25="R",0,IF(Y205&gt;=100,0,IF(Y206+1&gt;=IF(OR('5-man'!$F$4=TRUE,'5-man'!$F$4="TRUE",'5-man'!$F$4="Yes"),25,50),0,Y206+1)))</f>
        <v/>
      </c>
      <c r="AA206">
        <f>IF('5-man'!AA$25="R",0,IF(Z205&gt;=100,0,IF(Z206+1&gt;=IF(OR('5-man'!$F$4=TRUE,'5-man'!$F$4="TRUE",'5-man'!$F$4="Yes"),25,50),0,Z206+1)))</f>
        <v/>
      </c>
      <c r="AB206">
        <f>IF('5-man'!AB$25="R",0,IF(AA205&gt;=100,0,IF(AA206+1&gt;=IF(OR('5-man'!$F$4=TRUE,'5-man'!$F$4="TRUE",'5-man'!$F$4="Yes"),25,50),0,AA206+1)))</f>
        <v/>
      </c>
      <c r="AC206">
        <f>IF('5-man'!AC$25="R",0,IF(AB205&gt;=100,0,IF(AB206+1&gt;=IF(OR('5-man'!$F$4=TRUE,'5-man'!$F$4="TRUE",'5-man'!$F$4="Yes"),25,50),0,AB206+1)))</f>
        <v/>
      </c>
      <c r="AD206">
        <f>IF('5-man'!AD$25="R",0,IF(AC205&gt;=100,0,IF(AC206+1&gt;=IF(OR('5-man'!$F$4=TRUE,'5-man'!$F$4="TRUE",'5-man'!$F$4="Yes"),25,50),0,AC206+1)))</f>
        <v/>
      </c>
      <c r="AE206">
        <f>IF('5-man'!AE$25="R",0,IF(AD205&gt;=100,0,IF(AD206+1&gt;=IF(OR('5-man'!$F$4=TRUE,'5-man'!$F$4="TRUE",'5-man'!$F$4="Yes"),25,50),0,AD206+1)))</f>
        <v/>
      </c>
      <c r="AF206">
        <f>IF('5-man'!AF$25="R",0,IF(AE205&gt;=100,0,IF(AE206+1&gt;=IF(OR('5-man'!$F$4=TRUE,'5-man'!$F$4="TRUE",'5-man'!$F$4="Yes"),25,50),0,AE206+1)))</f>
        <v/>
      </c>
      <c r="AG206">
        <f>IF('5-man'!AG$25="R",0,IF(AF205&gt;=100,0,IF(AF206+1&gt;=IF(OR('5-man'!$F$4=TRUE,'5-man'!$F$4="TRUE",'5-man'!$F$4="Yes"),25,50),0,AF206+1)))</f>
        <v/>
      </c>
      <c r="AH206">
        <f>IF('5-man'!AH$25="R",0,IF(AG205&gt;=100,0,IF(AG206+1&gt;=IF(OR('5-man'!$F$4=TRUE,'5-man'!$F$4="TRUE",'5-man'!$F$4="Yes"),25,50),0,AG206+1)))</f>
        <v/>
      </c>
      <c r="AI206">
        <f>IF('5-man'!AI$25="R",0,IF(AH205&gt;=100,0,IF(AH206+1&gt;=IF(OR('5-man'!$F$4=TRUE,'5-man'!$F$4="TRUE",'5-man'!$F$4="Yes"),25,50),0,AH206+1)))</f>
        <v/>
      </c>
      <c r="AJ206">
        <f>IF('5-man'!AJ$25="R",0,IF(AI205&gt;=100,0,IF(AI206+1&gt;=IF(OR('5-man'!$F$4=TRUE,'5-man'!$F$4="TRUE",'5-man'!$F$4="Yes"),25,50),0,AI206+1)))</f>
        <v/>
      </c>
      <c r="AK206">
        <f>IF('5-man'!AK$25="R",0,IF(AJ205&gt;=100,0,IF(AJ206+1&gt;=IF(OR('5-man'!$F$4=TRUE,'5-man'!$F$4="TRUE",'5-man'!$F$4="Yes"),25,50),0,AJ206+1)))</f>
        <v/>
      </c>
      <c r="AL206">
        <f>IF('5-man'!AL$25="R",0,IF(AK205&gt;=100,0,IF(AK206+1&gt;=IF(OR('5-man'!$F$4=TRUE,'5-man'!$F$4="TRUE",'5-man'!$F$4="Yes"),25,50),0,AK206+1)))</f>
        <v/>
      </c>
      <c r="AM206">
        <f>IF('5-man'!AM$25="R",0,IF(AL205&gt;=100,0,IF(AL206+1&gt;=IF(OR('5-man'!$F$4=TRUE,'5-man'!$F$4="TRUE",'5-man'!$F$4="Yes"),25,50),0,AL206+1)))</f>
        <v/>
      </c>
      <c r="AN206">
        <f>IF('5-man'!AN$25="R",0,IF(AM205&gt;=100,0,IF(AM206+1&gt;=IF(OR('5-man'!$F$4=TRUE,'5-man'!$F$4="TRUE",'5-man'!$F$4="Yes"),25,50),0,AM206+1)))</f>
        <v/>
      </c>
      <c r="AO206">
        <f>IF('5-man'!AO$25="R",0,IF(AN205&gt;=100,0,IF(AN206+1&gt;=IF(OR('5-man'!$F$4=TRUE,'5-man'!$F$4="TRUE",'5-man'!$F$4="Yes"),25,50),0,AN206+1)))</f>
        <v/>
      </c>
      <c r="AP206">
        <f>IF('5-man'!AP$25="R",0,IF(AO205&gt;=100,0,IF(AO206+1&gt;=IF(OR('5-man'!$F$4=TRUE,'5-man'!$F$4="TRUE",'5-man'!$F$4="Yes"),25,50),0,AO206+1)))</f>
        <v/>
      </c>
      <c r="AQ206">
        <f>IF('5-man'!AQ$25="R",0,IF(AP205&gt;=100,0,IF(AP206+1&gt;=IF(OR('5-man'!$F$4=TRUE,'5-man'!$F$4="TRUE",'5-man'!$F$4="Yes"),25,50),0,AP206+1)))</f>
        <v/>
      </c>
      <c r="AR206">
        <f>IF('5-man'!AR$25="R",0,IF(AQ205&gt;=100,0,IF(AQ206+1&gt;=IF(OR('5-man'!$F$4=TRUE,'5-man'!$F$4="TRUE",'5-man'!$F$4="Yes"),25,50),0,AQ206+1)))</f>
        <v/>
      </c>
      <c r="AS206">
        <f>IF('5-man'!AS$25="R",0,IF(AR205&gt;=100,0,IF(AR206+1&gt;=IF(OR('5-man'!$F$4=TRUE,'5-man'!$F$4="TRUE",'5-man'!$F$4="Yes"),25,50),0,AR206+1)))</f>
        <v/>
      </c>
      <c r="AT206">
        <f>IF('5-man'!AT$25="R",0,IF(AS205&gt;=100,0,IF(AS206+1&gt;=IF(OR('5-man'!$F$4=TRUE,'5-man'!$F$4="TRUE",'5-man'!$F$4="Yes"),25,50),0,AS206+1)))</f>
        <v/>
      </c>
      <c r="AU206">
        <f>IF('5-man'!AU$25="R",0,IF(AT205&gt;=100,0,IF(AT206+1&gt;=IF(OR('5-man'!$F$4=TRUE,'5-man'!$F$4="TRUE",'5-man'!$F$4="Yes"),25,50),0,AT206+1)))</f>
        <v/>
      </c>
      <c r="AV206">
        <f>IF('5-man'!AV$25="R",0,IF(AU205&gt;=100,0,IF(AU206+1&gt;=IF(OR('5-man'!$F$4=TRUE,'5-man'!$F$4="TRUE",'5-man'!$F$4="Yes"),25,50),0,AU206+1)))</f>
        <v/>
      </c>
      <c r="AW206">
        <f>IF('5-man'!AW$25="R",0,IF(AV205&gt;=100,0,IF(AV206+1&gt;=IF(OR('5-man'!$F$4=TRUE,'5-man'!$F$4="TRUE",'5-man'!$F$4="Yes"),25,50),0,AV206+1)))</f>
        <v/>
      </c>
      <c r="AX206">
        <f>IF('5-man'!AX$25="R",0,IF(AW205&gt;=100,0,IF(AW206+1&gt;=IF(OR('5-man'!$F$4=TRUE,'5-man'!$F$4="TRUE",'5-man'!$F$4="Yes"),25,50),0,AW206+1)))</f>
        <v/>
      </c>
      <c r="AY206">
        <f>IF('5-man'!AY$25="R",0,IF(AX205&gt;=100,0,IF(AX206+1&gt;=IF(OR('5-man'!$F$4=TRUE,'5-man'!$F$4="TRUE",'5-man'!$F$4="Yes"),25,50),0,AX206+1)))</f>
        <v/>
      </c>
      <c r="AZ206">
        <f>IF('5-man'!AZ$25="R",0,IF(AY205&gt;=100,0,IF(AY206+1&gt;=IF(OR('5-man'!$F$4=TRUE,'5-man'!$F$4="TRUE",'5-man'!$F$4="Yes"),25,50),0,AY206+1)))</f>
        <v/>
      </c>
      <c r="BA206">
        <f>IF('5-man'!BA$25="R",0,IF(AZ205&gt;=100,0,IF(AZ206+1&gt;=IF(OR('5-man'!$F$4=TRUE,'5-man'!$F$4="TRUE",'5-man'!$F$4="Yes"),25,50),0,AZ206+1)))</f>
        <v/>
      </c>
      <c r="BB206">
        <f>IF('5-man'!BB$25="R",0,IF(BA205&gt;=100,0,IF(BA206+1&gt;=IF(OR('5-man'!$F$4=TRUE,'5-man'!$F$4="TRUE",'5-man'!$F$4="Yes"),25,50),0,BA206+1)))</f>
        <v/>
      </c>
      <c r="BC206">
        <f>IF('5-man'!BC$25="R",0,IF(BB205&gt;=100,0,IF(BB206+1&gt;=IF(OR('5-man'!$F$4=TRUE,'5-man'!$F$4="TRUE",'5-man'!$F$4="Yes"),25,50),0,BB206+1)))</f>
        <v/>
      </c>
      <c r="BD206">
        <f>IF('5-man'!BD$25="R",0,IF(BC205&gt;=100,0,IF(BC206+1&gt;=IF(OR('5-man'!$F$4=TRUE,'5-man'!$F$4="TRUE",'5-man'!$F$4="Yes"),25,50),0,BC206+1)))</f>
        <v/>
      </c>
      <c r="BE206">
        <f>IF('5-man'!BE$25="R",0,IF(BD205&gt;=100,0,IF(BD206+1&gt;=IF(OR('5-man'!$F$4=TRUE,'5-man'!$F$4="TRUE",'5-man'!$F$4="Yes"),25,50),0,BD206+1)))</f>
        <v/>
      </c>
      <c r="BF206">
        <f>IF('5-man'!BF$25="R",0,IF(BE205&gt;=100,0,IF(BE206+1&gt;=IF(OR('5-man'!$F$4=TRUE,'5-man'!$F$4="TRUE",'5-man'!$F$4="Yes"),25,50),0,BE206+1)))</f>
        <v/>
      </c>
      <c r="BG206">
        <f>IF('5-man'!BG$25="R",0,IF(BF205&gt;=100,0,IF(BF206+1&gt;=IF(OR('5-man'!$F$4=TRUE,'5-man'!$F$4="TRUE",'5-man'!$F$4="Yes"),25,50),0,BF206+1)))</f>
        <v/>
      </c>
      <c r="BH206">
        <f>IF('5-man'!BH$25="R",0,IF(BG205&gt;=100,0,IF(BG206+1&gt;=IF(OR('5-man'!$F$4=TRUE,'5-man'!$F$4="TRUE",'5-man'!$F$4="Yes"),25,50),0,BG206+1)))</f>
        <v/>
      </c>
      <c r="BI206">
        <f>IF('5-man'!BI$25="R",0,IF(BH205&gt;=100,0,IF(BH206+1&gt;=IF(OR('5-man'!$F$4=TRUE,'5-man'!$F$4="TRUE",'5-man'!$F$4="Yes"),25,50),0,BH206+1)))</f>
        <v/>
      </c>
      <c r="BJ206">
        <f>IF('5-man'!BJ$25="R",0,IF(BI205&gt;=100,0,IF(BI206+1&gt;=IF(OR('5-man'!$F$4=TRUE,'5-man'!$F$4="TRUE",'5-man'!$F$4="Yes"),25,50),0,BI206+1)))</f>
        <v/>
      </c>
      <c r="BK206">
        <f>IF('5-man'!BK$25="R",0,IF(BJ205&gt;=100,0,IF(BJ206+1&gt;=IF(OR('5-man'!$F$4=TRUE,'5-man'!$F$4="TRUE",'5-man'!$F$4="Yes"),25,50),0,BJ206+1)))</f>
        <v/>
      </c>
      <c r="BL206">
        <f>IF('5-man'!BL$25="R",0,IF(BK205&gt;=100,0,IF(BK206+1&gt;=IF(OR('5-man'!$F$4=TRUE,'5-man'!$F$4="TRUE",'5-man'!$F$4="Yes"),25,50),0,BK206+1)))</f>
        <v/>
      </c>
      <c r="BM206">
        <f>IF('5-man'!BM$25="R",0,IF(BL205&gt;=100,0,IF(BL206+1&gt;=IF(OR('5-man'!$F$4=TRUE,'5-man'!$F$4="TRUE",'5-man'!$F$4="Yes"),25,50),0,BL206+1)))</f>
        <v/>
      </c>
      <c r="BN206">
        <f>IF('5-man'!BN$25="R",0,IF(BM205&gt;=100,0,IF(BM206+1&gt;=IF(OR('5-man'!$F$4=TRUE,'5-man'!$F$4="TRUE",'5-man'!$F$4="Yes"),25,50),0,BM206+1)))</f>
        <v/>
      </c>
      <c r="BO206">
        <f>IF('5-man'!BO$25="R",0,IF(BN205&gt;=100,0,IF(BN206+1&gt;=IF(OR('5-man'!$F$4=TRUE,'5-man'!$F$4="TRUE",'5-man'!$F$4="Yes"),25,50),0,BN206+1)))</f>
        <v/>
      </c>
      <c r="BP206">
        <f>IF('5-man'!BP$25="R",0,IF(BO205&gt;=100,0,IF(BO206+1&gt;=IF(OR('5-man'!$F$4=TRUE,'5-man'!$F$4="TRUE",'5-man'!$F$4="Yes"),25,50),0,BO206+1)))</f>
        <v/>
      </c>
      <c r="BQ206">
        <f>IF('5-man'!BQ$25="R",0,IF(BP205&gt;=100,0,IF(BP206+1&gt;=IF(OR('5-man'!$F$4=TRUE,'5-man'!$F$4="TRUE",'5-man'!$F$4="Yes"),25,50),0,BP206+1)))</f>
        <v/>
      </c>
      <c r="BR206">
        <f>IF('5-man'!BR$25="R",0,IF(BQ205&gt;=100,0,IF(BQ206+1&gt;=IF(OR('5-man'!$F$4=TRUE,'5-man'!$F$4="TRUE",'5-man'!$F$4="Yes"),25,50),0,BQ206+1)))</f>
        <v/>
      </c>
      <c r="BS206">
        <f>IF('5-man'!BS$25="R",0,IF(BR205&gt;=100,0,IF(BR206+1&gt;=IF(OR('5-man'!$F$4=TRUE,'5-man'!$F$4="TRUE",'5-man'!$F$4="Yes"),25,50),0,BR206+1)))</f>
        <v/>
      </c>
      <c r="BT206">
        <f>IF('5-man'!BT$25="R",0,IF(BS205&gt;=100,0,IF(BS206+1&gt;=IF(OR('5-man'!$F$4=TRUE,'5-man'!$F$4="TRUE",'5-man'!$F$4="Yes"),25,50),0,BS206+1)))</f>
        <v/>
      </c>
      <c r="BU206">
        <f>IF('5-man'!BU$25="R",0,IF(BT205&gt;=100,0,IF(BT206+1&gt;=IF(OR('5-man'!$F$4=TRUE,'5-man'!$F$4="TRUE",'5-man'!$F$4="Yes"),25,50),0,BT206+1)))</f>
        <v/>
      </c>
      <c r="BV206">
        <f>IF('5-man'!BV$25="R",0,IF(BU205&gt;=100,0,IF(BU206+1&gt;=IF(OR('5-man'!$F$4=TRUE,'5-man'!$F$4="TRUE",'5-man'!$F$4="Yes"),25,50),0,BU206+1)))</f>
        <v/>
      </c>
      <c r="BW206">
        <f>IF('5-man'!BW$25="R",0,IF(BV205&gt;=100,0,IF(BV206+1&gt;=IF(OR('5-man'!$F$4=TRUE,'5-man'!$F$4="TRUE",'5-man'!$F$4="Yes"),25,50),0,BV206+1)))</f>
        <v/>
      </c>
      <c r="BX206">
        <f>IF('5-man'!BX$25="R",0,IF(BW205&gt;=100,0,IF(BW206+1&gt;=IF(OR('5-man'!$F$4=TRUE,'5-man'!$F$4="TRUE",'5-man'!$F$4="Yes"),25,50),0,BW206+1)))</f>
        <v/>
      </c>
      <c r="BY206">
        <f>IF('5-man'!BY$25="R",0,IF(BX205&gt;=100,0,IF(BX206+1&gt;=IF(OR('5-man'!$F$4=TRUE,'5-man'!$F$4="TRUE",'5-man'!$F$4="Yes"),25,50),0,BX206+1)))</f>
        <v/>
      </c>
      <c r="BZ206">
        <f>IF('5-man'!BZ$25="R",0,IF(BY205&gt;=100,0,IF(BY206+1&gt;=IF(OR('5-man'!$F$4=TRUE,'5-man'!$F$4="TRUE",'5-man'!$F$4="Yes"),25,50),0,BY206+1)))</f>
        <v/>
      </c>
      <c r="CA206">
        <f>IF('5-man'!CA$25="R",0,IF(BZ205&gt;=100,0,IF(BZ206+1&gt;=IF(OR('5-man'!$F$4=TRUE,'5-man'!$F$4="TRUE",'5-man'!$F$4="Yes"),25,50),0,BZ206+1)))</f>
        <v/>
      </c>
      <c r="CB206">
        <f>IF('5-man'!CB$25="R",0,IF(CA205&gt;=100,0,IF(CA206+1&gt;=IF(OR('5-man'!$F$4=TRUE,'5-man'!$F$4="TRUE",'5-man'!$F$4="Yes"),25,50),0,CA206+1)))</f>
        <v/>
      </c>
      <c r="CC206">
        <f>IF('5-man'!CC$25="R",0,IF(CB205&gt;=100,0,IF(CB206+1&gt;=IF(OR('5-man'!$F$4=TRUE,'5-man'!$F$4="TRUE",'5-man'!$F$4="Yes"),25,50),0,CB206+1)))</f>
        <v/>
      </c>
      <c r="CD206">
        <f>IF('5-man'!CD$25="R",0,IF(CC205&gt;=100,0,IF(CC206+1&gt;=IF(OR('5-man'!$F$4=TRUE,'5-man'!$F$4="TRUE",'5-man'!$F$4="Yes"),25,50),0,CC206+1)))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row>
    <row r="211">
      <c r="A211" t="inlineStr">
        <is>
          <t>P1 act</t>
        </is>
      </c>
      <c r="C211">
        <f>IF(OR('5-man'!C$25="P",'5-man'!C$25="R",AND('5-man'!C$24&lt;=IF('5-man'!$BF$4="",999,'5-man'!$BF$4),OR('5-man'!C$25="D",LEFT('5-man'!C$25,3)="ST&gt;",OR(AND('5-man'!C$26="ST&gt;1",C212&gt;=100),AND('5-man'!C$27="ST&gt;1",C220&gt;=100),AND('5-man'!C$28="ST&gt;1",C228&gt;=100),AND('5-man'!C$29="ST&gt;1",C236&gt;=100))))),'5-man'!C$24,0)</f>
        <v/>
      </c>
      <c r="D211">
        <f>IF(OR('5-man'!D$25="P",'5-man'!D$25="R",AND('5-man'!D$24&lt;=IF('5-man'!$BF$4="",999,'5-man'!$BF$4),OR('5-man'!D$25="D",LEFT('5-man'!D$25,3)="ST&gt;",OR(AND('5-man'!D$26="ST&gt;1",D212&gt;=100),AND('5-man'!D$27="ST&gt;1",D220&gt;=100),AND('5-man'!D$28="ST&gt;1",D228&gt;=100),AND('5-man'!D$29="ST&gt;1",D236&gt;=100))))),'5-man'!D$24,0)</f>
        <v/>
      </c>
      <c r="E211">
        <f>IF(OR('5-man'!E$25="P",'5-man'!E$25="R",AND('5-man'!E$24&lt;=IF('5-man'!$BF$4="",999,'5-man'!$BF$4),OR('5-man'!E$25="D",LEFT('5-man'!E$25,3)="ST&gt;",OR(AND('5-man'!E$26="ST&gt;1",E212&gt;=100),AND('5-man'!E$27="ST&gt;1",E220&gt;=100),AND('5-man'!E$28="ST&gt;1",E228&gt;=100),AND('5-man'!E$29="ST&gt;1",E236&gt;=100))))),'5-man'!E$24,0)</f>
        <v/>
      </c>
      <c r="F211">
        <f>IF(OR('5-man'!F$25="P",'5-man'!F$25="R",AND('5-man'!F$24&lt;=IF('5-man'!$BF$4="",999,'5-man'!$BF$4),OR('5-man'!F$25="D",LEFT('5-man'!F$25,3)="ST&gt;",OR(AND('5-man'!F$26="ST&gt;1",F212&gt;=100),AND('5-man'!F$27="ST&gt;1",F220&gt;=100),AND('5-man'!F$28="ST&gt;1",F228&gt;=100),AND('5-man'!F$29="ST&gt;1",F236&gt;=100))))),'5-man'!F$24,0)</f>
        <v/>
      </c>
      <c r="G211">
        <f>IF(OR('5-man'!G$25="P",'5-man'!G$25="R",AND('5-man'!G$24&lt;=IF('5-man'!$BF$4="",999,'5-man'!$BF$4),OR('5-man'!G$25="D",LEFT('5-man'!G$25,3)="ST&gt;",OR(AND('5-man'!G$26="ST&gt;1",G212&gt;=100),AND('5-man'!G$27="ST&gt;1",G220&gt;=100),AND('5-man'!G$28="ST&gt;1",G228&gt;=100),AND('5-man'!G$29="ST&gt;1",G236&gt;=100))))),'5-man'!G$24,0)</f>
        <v/>
      </c>
      <c r="H211">
        <f>IF(OR('5-man'!H$25="P",'5-man'!H$25="R",AND('5-man'!H$24&lt;=IF('5-man'!$BF$4="",999,'5-man'!$BF$4),OR('5-man'!H$25="D",LEFT('5-man'!H$25,3)="ST&gt;",OR(AND('5-man'!H$26="ST&gt;1",H212&gt;=100),AND('5-man'!H$27="ST&gt;1",H220&gt;=100),AND('5-man'!H$28="ST&gt;1",H228&gt;=100),AND('5-man'!H$29="ST&gt;1",H236&gt;=100))))),'5-man'!H$24,0)</f>
        <v/>
      </c>
      <c r="I211">
        <f>IF(OR('5-man'!I$25="P",'5-man'!I$25="R",AND('5-man'!I$24&lt;=IF('5-man'!$BF$4="",999,'5-man'!$BF$4),OR('5-man'!I$25="D",LEFT('5-man'!I$25,3)="ST&gt;",OR(AND('5-man'!I$26="ST&gt;1",I212&gt;=100),AND('5-man'!I$27="ST&gt;1",I220&gt;=100),AND('5-man'!I$28="ST&gt;1",I228&gt;=100),AND('5-man'!I$29="ST&gt;1",I236&gt;=100))))),'5-man'!I$24,0)</f>
        <v/>
      </c>
      <c r="J211">
        <f>IF(OR('5-man'!J$25="P",'5-man'!J$25="R",AND('5-man'!J$24&lt;=IF('5-man'!$BF$4="",999,'5-man'!$BF$4),OR('5-man'!J$25="D",LEFT('5-man'!J$25,3)="ST&gt;",OR(AND('5-man'!J$26="ST&gt;1",J212&gt;=100),AND('5-man'!J$27="ST&gt;1",J220&gt;=100),AND('5-man'!J$28="ST&gt;1",J228&gt;=100),AND('5-man'!J$29="ST&gt;1",J236&gt;=100))))),'5-man'!J$24,0)</f>
        <v/>
      </c>
      <c r="K211">
        <f>IF(OR('5-man'!K$25="P",'5-man'!K$25="R",AND('5-man'!K$24&lt;=IF('5-man'!$BF$4="",999,'5-man'!$BF$4),OR('5-man'!K$25="D",LEFT('5-man'!K$25,3)="ST&gt;",OR(AND('5-man'!K$26="ST&gt;1",K212&gt;=100),AND('5-man'!K$27="ST&gt;1",K220&gt;=100),AND('5-man'!K$28="ST&gt;1",K228&gt;=100),AND('5-man'!K$29="ST&gt;1",K236&gt;=100))))),'5-man'!K$24,0)</f>
        <v/>
      </c>
      <c r="L211">
        <f>IF(OR('5-man'!L$25="P",'5-man'!L$25="R",AND('5-man'!L$24&lt;=IF('5-man'!$BF$4="",999,'5-man'!$BF$4),OR('5-man'!L$25="D",LEFT('5-man'!L$25,3)="ST&gt;",OR(AND('5-man'!L$26="ST&gt;1",L212&gt;=100),AND('5-man'!L$27="ST&gt;1",L220&gt;=100),AND('5-man'!L$28="ST&gt;1",L228&gt;=100),AND('5-man'!L$29="ST&gt;1",L236&gt;=100))))),'5-man'!L$24,0)</f>
        <v/>
      </c>
      <c r="M211">
        <f>IF(OR('5-man'!M$25="P",'5-man'!M$25="R",AND('5-man'!M$24&lt;=IF('5-man'!$BF$4="",999,'5-man'!$BF$4),OR('5-man'!M$25="D",LEFT('5-man'!M$25,3)="ST&gt;",OR(AND('5-man'!M$26="ST&gt;1",M212&gt;=100),AND('5-man'!M$27="ST&gt;1",M220&gt;=100),AND('5-man'!M$28="ST&gt;1",M228&gt;=100),AND('5-man'!M$29="ST&gt;1",M236&gt;=100))))),'5-man'!M$24,0)</f>
        <v/>
      </c>
      <c r="N211">
        <f>IF(OR('5-man'!N$25="P",'5-man'!N$25="R",AND('5-man'!N$24&lt;=IF('5-man'!$BF$4="",999,'5-man'!$BF$4),OR('5-man'!N$25="D",LEFT('5-man'!N$25,3)="ST&gt;",OR(AND('5-man'!N$26="ST&gt;1",N212&gt;=100),AND('5-man'!N$27="ST&gt;1",N220&gt;=100),AND('5-man'!N$28="ST&gt;1",N228&gt;=100),AND('5-man'!N$29="ST&gt;1",N236&gt;=100))))),'5-man'!N$24,0)</f>
        <v/>
      </c>
      <c r="O211">
        <f>IF(OR('5-man'!O$25="P",'5-man'!O$25="R",AND('5-man'!O$24&lt;=IF('5-man'!$BF$4="",999,'5-man'!$BF$4),OR('5-man'!O$25="D",LEFT('5-man'!O$25,3)="ST&gt;",OR(AND('5-man'!O$26="ST&gt;1",O212&gt;=100),AND('5-man'!O$27="ST&gt;1",O220&gt;=100),AND('5-man'!O$28="ST&gt;1",O228&gt;=100),AND('5-man'!O$29="ST&gt;1",O236&gt;=100))))),'5-man'!O$24,0)</f>
        <v/>
      </c>
      <c r="P211">
        <f>IF(OR('5-man'!P$25="P",'5-man'!P$25="R",AND('5-man'!P$24&lt;=IF('5-man'!$BF$4="",999,'5-man'!$BF$4),OR('5-man'!P$25="D",LEFT('5-man'!P$25,3)="ST&gt;",OR(AND('5-man'!P$26="ST&gt;1",P212&gt;=100),AND('5-man'!P$27="ST&gt;1",P220&gt;=100),AND('5-man'!P$28="ST&gt;1",P228&gt;=100),AND('5-man'!P$29="ST&gt;1",P236&gt;=100))))),'5-man'!P$24,0)</f>
        <v/>
      </c>
      <c r="Q211">
        <f>IF(OR('5-man'!Q$25="P",'5-man'!Q$25="R",AND('5-man'!Q$24&lt;=IF('5-man'!$BF$4="",999,'5-man'!$BF$4),OR('5-man'!Q$25="D",LEFT('5-man'!Q$25,3)="ST&gt;",OR(AND('5-man'!Q$26="ST&gt;1",Q212&gt;=100),AND('5-man'!Q$27="ST&gt;1",Q220&gt;=100),AND('5-man'!Q$28="ST&gt;1",Q228&gt;=100),AND('5-man'!Q$29="ST&gt;1",Q236&gt;=100))))),'5-man'!Q$24,0)</f>
        <v/>
      </c>
      <c r="R211">
        <f>IF(OR('5-man'!R$25="P",'5-man'!R$25="R",AND('5-man'!R$24&lt;=IF('5-man'!$BF$4="",999,'5-man'!$BF$4),OR('5-man'!R$25="D",LEFT('5-man'!R$25,3)="ST&gt;",OR(AND('5-man'!R$26="ST&gt;1",R212&gt;=100),AND('5-man'!R$27="ST&gt;1",R220&gt;=100),AND('5-man'!R$28="ST&gt;1",R228&gt;=100),AND('5-man'!R$29="ST&gt;1",R236&gt;=100))))),'5-man'!R$24,0)</f>
        <v/>
      </c>
      <c r="S211">
        <f>IF(OR('5-man'!S$25="P",'5-man'!S$25="R",AND('5-man'!S$24&lt;=IF('5-man'!$BF$4="",999,'5-man'!$BF$4),OR('5-man'!S$25="D",LEFT('5-man'!S$25,3)="ST&gt;",OR(AND('5-man'!S$26="ST&gt;1",S212&gt;=100),AND('5-man'!S$27="ST&gt;1",S220&gt;=100),AND('5-man'!S$28="ST&gt;1",S228&gt;=100),AND('5-man'!S$29="ST&gt;1",S236&gt;=100))))),'5-man'!S$24,0)</f>
        <v/>
      </c>
      <c r="T211">
        <f>IF(OR('5-man'!T$25="P",'5-man'!T$25="R",AND('5-man'!T$24&lt;=IF('5-man'!$BF$4="",999,'5-man'!$BF$4),OR('5-man'!T$25="D",LEFT('5-man'!T$25,3)="ST&gt;",OR(AND('5-man'!T$26="ST&gt;1",T212&gt;=100),AND('5-man'!T$27="ST&gt;1",T220&gt;=100),AND('5-man'!T$28="ST&gt;1",T228&gt;=100),AND('5-man'!T$29="ST&gt;1",T236&gt;=100))))),'5-man'!T$24,0)</f>
        <v/>
      </c>
      <c r="U211">
        <f>IF(OR('5-man'!U$25="P",'5-man'!U$25="R",AND('5-man'!U$24&lt;=IF('5-man'!$BF$4="",999,'5-man'!$BF$4),OR('5-man'!U$25="D",LEFT('5-man'!U$25,3)="ST&gt;",OR(AND('5-man'!U$26="ST&gt;1",U212&gt;=100),AND('5-man'!U$27="ST&gt;1",U220&gt;=100),AND('5-man'!U$28="ST&gt;1",U228&gt;=100),AND('5-man'!U$29="ST&gt;1",U236&gt;=100))))),'5-man'!U$24,0)</f>
        <v/>
      </c>
      <c r="V211">
        <f>IF(OR('5-man'!V$25="P",'5-man'!V$25="R",AND('5-man'!V$24&lt;=IF('5-man'!$BF$4="",999,'5-man'!$BF$4),OR('5-man'!V$25="D",LEFT('5-man'!V$25,3)="ST&gt;",OR(AND('5-man'!V$26="ST&gt;1",V212&gt;=100),AND('5-man'!V$27="ST&gt;1",V220&gt;=100),AND('5-man'!V$28="ST&gt;1",V228&gt;=100),AND('5-man'!V$29="ST&gt;1",V236&gt;=100))))),'5-man'!V$24,0)</f>
        <v/>
      </c>
      <c r="W211">
        <f>IF(OR('5-man'!W$25="P",'5-man'!W$25="R",AND('5-man'!W$24&lt;=IF('5-man'!$BF$4="",999,'5-man'!$BF$4),OR('5-man'!W$25="D",LEFT('5-man'!W$25,3)="ST&gt;",OR(AND('5-man'!W$26="ST&gt;1",W212&gt;=100),AND('5-man'!W$27="ST&gt;1",W220&gt;=100),AND('5-man'!W$28="ST&gt;1",W228&gt;=100),AND('5-man'!W$29="ST&gt;1",W236&gt;=100))))),'5-man'!W$24,0)</f>
        <v/>
      </c>
      <c r="X211">
        <f>IF(OR('5-man'!X$25="P",'5-man'!X$25="R",AND('5-man'!X$24&lt;=IF('5-man'!$BF$4="",999,'5-man'!$BF$4),OR('5-man'!X$25="D",LEFT('5-man'!X$25,3)="ST&gt;",OR(AND('5-man'!X$26="ST&gt;1",X212&gt;=100),AND('5-man'!X$27="ST&gt;1",X220&gt;=100),AND('5-man'!X$28="ST&gt;1",X228&gt;=100),AND('5-man'!X$29="ST&gt;1",X236&gt;=100))))),'5-man'!X$24,0)</f>
        <v/>
      </c>
      <c r="Y211">
        <f>IF(OR('5-man'!Y$25="P",'5-man'!Y$25="R",AND('5-man'!Y$24&lt;=IF('5-man'!$BF$4="",999,'5-man'!$BF$4),OR('5-man'!Y$25="D",LEFT('5-man'!Y$25,3)="ST&gt;",OR(AND('5-man'!Y$26="ST&gt;1",Y212&gt;=100),AND('5-man'!Y$27="ST&gt;1",Y220&gt;=100),AND('5-man'!Y$28="ST&gt;1",Y228&gt;=100),AND('5-man'!Y$29="ST&gt;1",Y236&gt;=100))))),'5-man'!Y$24,0)</f>
        <v/>
      </c>
      <c r="Z211">
        <f>IF(OR('5-man'!Z$25="P",'5-man'!Z$25="R",AND('5-man'!Z$24&lt;=IF('5-man'!$BF$4="",999,'5-man'!$BF$4),OR('5-man'!Z$25="D",LEFT('5-man'!Z$25,3)="ST&gt;",OR(AND('5-man'!Z$26="ST&gt;1",Z212&gt;=100),AND('5-man'!Z$27="ST&gt;1",Z220&gt;=100),AND('5-man'!Z$28="ST&gt;1",Z228&gt;=100),AND('5-man'!Z$29="ST&gt;1",Z236&gt;=100))))),'5-man'!Z$24,0)</f>
        <v/>
      </c>
      <c r="AA211">
        <f>IF(OR('5-man'!AA$25="P",'5-man'!AA$25="R",AND('5-man'!AA$24&lt;=IF('5-man'!$BF$4="",999,'5-man'!$BF$4),OR('5-man'!AA$25="D",LEFT('5-man'!AA$25,3)="ST&gt;",OR(AND('5-man'!AA$26="ST&gt;1",AA212&gt;=100),AND('5-man'!AA$27="ST&gt;1",AA220&gt;=100),AND('5-man'!AA$28="ST&gt;1",AA228&gt;=100),AND('5-man'!AA$29="ST&gt;1",AA236&gt;=100))))),'5-man'!AA$24,0)</f>
        <v/>
      </c>
      <c r="AB211">
        <f>IF(OR('5-man'!AB$25="P",'5-man'!AB$25="R",AND('5-man'!AB$24&lt;=IF('5-man'!$BF$4="",999,'5-man'!$BF$4),OR('5-man'!AB$25="D",LEFT('5-man'!AB$25,3)="ST&gt;",OR(AND('5-man'!AB$26="ST&gt;1",AB212&gt;=100),AND('5-man'!AB$27="ST&gt;1",AB220&gt;=100),AND('5-man'!AB$28="ST&gt;1",AB228&gt;=100),AND('5-man'!AB$29="ST&gt;1",AB236&gt;=100))))),'5-man'!AB$24,0)</f>
        <v/>
      </c>
      <c r="AC211">
        <f>IF(OR('5-man'!AC$25="P",'5-man'!AC$25="R",AND('5-man'!AC$24&lt;=IF('5-man'!$BF$4="",999,'5-man'!$BF$4),OR('5-man'!AC$25="D",LEFT('5-man'!AC$25,3)="ST&gt;",OR(AND('5-man'!AC$26="ST&gt;1",AC212&gt;=100),AND('5-man'!AC$27="ST&gt;1",AC220&gt;=100),AND('5-man'!AC$28="ST&gt;1",AC228&gt;=100),AND('5-man'!AC$29="ST&gt;1",AC236&gt;=100))))),'5-man'!AC$24,0)</f>
        <v/>
      </c>
      <c r="AD211">
        <f>IF(OR('5-man'!AD$25="P",'5-man'!AD$25="R",AND('5-man'!AD$24&lt;=IF('5-man'!$BF$4="",999,'5-man'!$BF$4),OR('5-man'!AD$25="D",LEFT('5-man'!AD$25,3)="ST&gt;",OR(AND('5-man'!AD$26="ST&gt;1",AD212&gt;=100),AND('5-man'!AD$27="ST&gt;1",AD220&gt;=100),AND('5-man'!AD$28="ST&gt;1",AD228&gt;=100),AND('5-man'!AD$29="ST&gt;1",AD236&gt;=100))))),'5-man'!AD$24,0)</f>
        <v/>
      </c>
      <c r="AE211">
        <f>IF(OR('5-man'!AE$25="P",'5-man'!AE$25="R",AND('5-man'!AE$24&lt;=IF('5-man'!$BF$4="",999,'5-man'!$BF$4),OR('5-man'!AE$25="D",LEFT('5-man'!AE$25,3)="ST&gt;",OR(AND('5-man'!AE$26="ST&gt;1",AE212&gt;=100),AND('5-man'!AE$27="ST&gt;1",AE220&gt;=100),AND('5-man'!AE$28="ST&gt;1",AE228&gt;=100),AND('5-man'!AE$29="ST&gt;1",AE236&gt;=100))))),'5-man'!AE$24,0)</f>
        <v/>
      </c>
      <c r="AF211">
        <f>IF(OR('5-man'!AF$25="P",'5-man'!AF$25="R",AND('5-man'!AF$24&lt;=IF('5-man'!$BF$4="",999,'5-man'!$BF$4),OR('5-man'!AF$25="D",LEFT('5-man'!AF$25,3)="ST&gt;",OR(AND('5-man'!AF$26="ST&gt;1",AF212&gt;=100),AND('5-man'!AF$27="ST&gt;1",AF220&gt;=100),AND('5-man'!AF$28="ST&gt;1",AF228&gt;=100),AND('5-man'!AF$29="ST&gt;1",AF236&gt;=100))))),'5-man'!AF$24,0)</f>
        <v/>
      </c>
      <c r="AG211">
        <f>IF(OR('5-man'!AG$25="P",'5-man'!AG$25="R",AND('5-man'!AG$24&lt;=IF('5-man'!$BF$4="",999,'5-man'!$BF$4),OR('5-man'!AG$25="D",LEFT('5-man'!AG$25,3)="ST&gt;",OR(AND('5-man'!AG$26="ST&gt;1",AG212&gt;=100),AND('5-man'!AG$27="ST&gt;1",AG220&gt;=100),AND('5-man'!AG$28="ST&gt;1",AG228&gt;=100),AND('5-man'!AG$29="ST&gt;1",AG236&gt;=100))))),'5-man'!AG$24,0)</f>
        <v/>
      </c>
      <c r="AH211">
        <f>IF(OR('5-man'!AH$25="P",'5-man'!AH$25="R",AND('5-man'!AH$24&lt;=IF('5-man'!$BF$4="",999,'5-man'!$BF$4),OR('5-man'!AH$25="D",LEFT('5-man'!AH$25,3)="ST&gt;",OR(AND('5-man'!AH$26="ST&gt;1",AH212&gt;=100),AND('5-man'!AH$27="ST&gt;1",AH220&gt;=100),AND('5-man'!AH$28="ST&gt;1",AH228&gt;=100),AND('5-man'!AH$29="ST&gt;1",AH236&gt;=100))))),'5-man'!AH$24,0)</f>
        <v/>
      </c>
      <c r="AI211">
        <f>IF(OR('5-man'!AI$25="P",'5-man'!AI$25="R",AND('5-man'!AI$24&lt;=IF('5-man'!$BF$4="",999,'5-man'!$BF$4),OR('5-man'!AI$25="D",LEFT('5-man'!AI$25,3)="ST&gt;",OR(AND('5-man'!AI$26="ST&gt;1",AI212&gt;=100),AND('5-man'!AI$27="ST&gt;1",AI220&gt;=100),AND('5-man'!AI$28="ST&gt;1",AI228&gt;=100),AND('5-man'!AI$29="ST&gt;1",AI236&gt;=100))))),'5-man'!AI$24,0)</f>
        <v/>
      </c>
      <c r="AJ211">
        <f>IF(OR('5-man'!AJ$25="P",'5-man'!AJ$25="R",AND('5-man'!AJ$24&lt;=IF('5-man'!$BF$4="",999,'5-man'!$BF$4),OR('5-man'!AJ$25="D",LEFT('5-man'!AJ$25,3)="ST&gt;",OR(AND('5-man'!AJ$26="ST&gt;1",AJ212&gt;=100),AND('5-man'!AJ$27="ST&gt;1",AJ220&gt;=100),AND('5-man'!AJ$28="ST&gt;1",AJ228&gt;=100),AND('5-man'!AJ$29="ST&gt;1",AJ236&gt;=100))))),'5-man'!AJ$24,0)</f>
        <v/>
      </c>
      <c r="AK211">
        <f>IF(OR('5-man'!AK$25="P",'5-man'!AK$25="R",AND('5-man'!AK$24&lt;=IF('5-man'!$BF$4="",999,'5-man'!$BF$4),OR('5-man'!AK$25="D",LEFT('5-man'!AK$25,3)="ST&gt;",OR(AND('5-man'!AK$26="ST&gt;1",AK212&gt;=100),AND('5-man'!AK$27="ST&gt;1",AK220&gt;=100),AND('5-man'!AK$28="ST&gt;1",AK228&gt;=100),AND('5-man'!AK$29="ST&gt;1",AK236&gt;=100))))),'5-man'!AK$24,0)</f>
        <v/>
      </c>
      <c r="AL211">
        <f>IF(OR('5-man'!AL$25="P",'5-man'!AL$25="R",AND('5-man'!AL$24&lt;=IF('5-man'!$BF$4="",999,'5-man'!$BF$4),OR('5-man'!AL$25="D",LEFT('5-man'!AL$25,3)="ST&gt;",OR(AND('5-man'!AL$26="ST&gt;1",AL212&gt;=100),AND('5-man'!AL$27="ST&gt;1",AL220&gt;=100),AND('5-man'!AL$28="ST&gt;1",AL228&gt;=100),AND('5-man'!AL$29="ST&gt;1",AL236&gt;=100))))),'5-man'!AL$24,0)</f>
        <v/>
      </c>
      <c r="AM211">
        <f>IF(OR('5-man'!AM$25="P",'5-man'!AM$25="R",AND('5-man'!AM$24&lt;=IF('5-man'!$BF$4="",999,'5-man'!$BF$4),OR('5-man'!AM$25="D",LEFT('5-man'!AM$25,3)="ST&gt;",OR(AND('5-man'!AM$26="ST&gt;1",AM212&gt;=100),AND('5-man'!AM$27="ST&gt;1",AM220&gt;=100),AND('5-man'!AM$28="ST&gt;1",AM228&gt;=100),AND('5-man'!AM$29="ST&gt;1",AM236&gt;=100))))),'5-man'!AM$24,0)</f>
        <v/>
      </c>
      <c r="AN211">
        <f>IF(OR('5-man'!AN$25="P",'5-man'!AN$25="R",AND('5-man'!AN$24&lt;=IF('5-man'!$BF$4="",999,'5-man'!$BF$4),OR('5-man'!AN$25="D",LEFT('5-man'!AN$25,3)="ST&gt;",OR(AND('5-man'!AN$26="ST&gt;1",AN212&gt;=100),AND('5-man'!AN$27="ST&gt;1",AN220&gt;=100),AND('5-man'!AN$28="ST&gt;1",AN228&gt;=100),AND('5-man'!AN$29="ST&gt;1",AN236&gt;=100))))),'5-man'!AN$24,0)</f>
        <v/>
      </c>
      <c r="AO211">
        <f>IF(OR('5-man'!AO$25="P",'5-man'!AO$25="R",AND('5-man'!AO$24&lt;=IF('5-man'!$BF$4="",999,'5-man'!$BF$4),OR('5-man'!AO$25="D",LEFT('5-man'!AO$25,3)="ST&gt;",OR(AND('5-man'!AO$26="ST&gt;1",AO212&gt;=100),AND('5-man'!AO$27="ST&gt;1",AO220&gt;=100),AND('5-man'!AO$28="ST&gt;1",AO228&gt;=100),AND('5-man'!AO$29="ST&gt;1",AO236&gt;=100))))),'5-man'!AO$24,0)</f>
        <v/>
      </c>
      <c r="AP211">
        <f>IF(OR('5-man'!AP$25="P",'5-man'!AP$25="R",AND('5-man'!AP$24&lt;=IF('5-man'!$BF$4="",999,'5-man'!$BF$4),OR('5-man'!AP$25="D",LEFT('5-man'!AP$25,3)="ST&gt;",OR(AND('5-man'!AP$26="ST&gt;1",AP212&gt;=100),AND('5-man'!AP$27="ST&gt;1",AP220&gt;=100),AND('5-man'!AP$28="ST&gt;1",AP228&gt;=100),AND('5-man'!AP$29="ST&gt;1",AP236&gt;=100))))),'5-man'!AP$24,0)</f>
        <v/>
      </c>
      <c r="AQ211">
        <f>IF(OR('5-man'!AQ$25="P",'5-man'!AQ$25="R",AND('5-man'!AQ$24&lt;=IF('5-man'!$BF$4="",999,'5-man'!$BF$4),OR('5-man'!AQ$25="D",LEFT('5-man'!AQ$25,3)="ST&gt;",OR(AND('5-man'!AQ$26="ST&gt;1",AQ212&gt;=100),AND('5-man'!AQ$27="ST&gt;1",AQ220&gt;=100),AND('5-man'!AQ$28="ST&gt;1",AQ228&gt;=100),AND('5-man'!AQ$29="ST&gt;1",AQ236&gt;=100))))),'5-man'!AQ$24,0)</f>
        <v/>
      </c>
      <c r="AR211">
        <f>IF(OR('5-man'!AR$25="P",'5-man'!AR$25="R",AND('5-man'!AR$24&lt;=IF('5-man'!$BF$4="",999,'5-man'!$BF$4),OR('5-man'!AR$25="D",LEFT('5-man'!AR$25,3)="ST&gt;",OR(AND('5-man'!AR$26="ST&gt;1",AR212&gt;=100),AND('5-man'!AR$27="ST&gt;1",AR220&gt;=100),AND('5-man'!AR$28="ST&gt;1",AR228&gt;=100),AND('5-man'!AR$29="ST&gt;1",AR236&gt;=100))))),'5-man'!AR$24,0)</f>
        <v/>
      </c>
      <c r="AS211">
        <f>IF(OR('5-man'!AS$25="P",'5-man'!AS$25="R",AND('5-man'!AS$24&lt;=IF('5-man'!$BF$4="",999,'5-man'!$BF$4),OR('5-man'!AS$25="D",LEFT('5-man'!AS$25,3)="ST&gt;",OR(AND('5-man'!AS$26="ST&gt;1",AS212&gt;=100),AND('5-man'!AS$27="ST&gt;1",AS220&gt;=100),AND('5-man'!AS$28="ST&gt;1",AS228&gt;=100),AND('5-man'!AS$29="ST&gt;1",AS236&gt;=100))))),'5-man'!AS$24,0)</f>
        <v/>
      </c>
      <c r="AT211">
        <f>IF(OR('5-man'!AT$25="P",'5-man'!AT$25="R",AND('5-man'!AT$24&lt;=IF('5-man'!$BF$4="",999,'5-man'!$BF$4),OR('5-man'!AT$25="D",LEFT('5-man'!AT$25,3)="ST&gt;",OR(AND('5-man'!AT$26="ST&gt;1",AT212&gt;=100),AND('5-man'!AT$27="ST&gt;1",AT220&gt;=100),AND('5-man'!AT$28="ST&gt;1",AT228&gt;=100),AND('5-man'!AT$29="ST&gt;1",AT236&gt;=100))))),'5-man'!AT$24,0)</f>
        <v/>
      </c>
      <c r="AU211">
        <f>IF(OR('5-man'!AU$25="P",'5-man'!AU$25="R",AND('5-man'!AU$24&lt;=IF('5-man'!$BF$4="",999,'5-man'!$BF$4),OR('5-man'!AU$25="D",LEFT('5-man'!AU$25,3)="ST&gt;",OR(AND('5-man'!AU$26="ST&gt;1",AU212&gt;=100),AND('5-man'!AU$27="ST&gt;1",AU220&gt;=100),AND('5-man'!AU$28="ST&gt;1",AU228&gt;=100),AND('5-man'!AU$29="ST&gt;1",AU236&gt;=100))))),'5-man'!AU$24,0)</f>
        <v/>
      </c>
      <c r="AV211">
        <f>IF(OR('5-man'!AV$25="P",'5-man'!AV$25="R",AND('5-man'!AV$24&lt;=IF('5-man'!$BF$4="",999,'5-man'!$BF$4),OR('5-man'!AV$25="D",LEFT('5-man'!AV$25,3)="ST&gt;",OR(AND('5-man'!AV$26="ST&gt;1",AV212&gt;=100),AND('5-man'!AV$27="ST&gt;1",AV220&gt;=100),AND('5-man'!AV$28="ST&gt;1",AV228&gt;=100),AND('5-man'!AV$29="ST&gt;1",AV236&gt;=100))))),'5-man'!AV$24,0)</f>
        <v/>
      </c>
      <c r="AW211">
        <f>IF(OR('5-man'!AW$25="P",'5-man'!AW$25="R",AND('5-man'!AW$24&lt;=IF('5-man'!$BF$4="",999,'5-man'!$BF$4),OR('5-man'!AW$25="D",LEFT('5-man'!AW$25,3)="ST&gt;",OR(AND('5-man'!AW$26="ST&gt;1",AW212&gt;=100),AND('5-man'!AW$27="ST&gt;1",AW220&gt;=100),AND('5-man'!AW$28="ST&gt;1",AW228&gt;=100),AND('5-man'!AW$29="ST&gt;1",AW236&gt;=100))))),'5-man'!AW$24,0)</f>
        <v/>
      </c>
      <c r="AX211">
        <f>IF(OR('5-man'!AX$25="P",'5-man'!AX$25="R",AND('5-man'!AX$24&lt;=IF('5-man'!$BF$4="",999,'5-man'!$BF$4),OR('5-man'!AX$25="D",LEFT('5-man'!AX$25,3)="ST&gt;",OR(AND('5-man'!AX$26="ST&gt;1",AX212&gt;=100),AND('5-man'!AX$27="ST&gt;1",AX220&gt;=100),AND('5-man'!AX$28="ST&gt;1",AX228&gt;=100),AND('5-man'!AX$29="ST&gt;1",AX236&gt;=100))))),'5-man'!AX$24,0)</f>
        <v/>
      </c>
      <c r="AY211">
        <f>IF(OR('5-man'!AY$25="P",'5-man'!AY$25="R",AND('5-man'!AY$24&lt;=IF('5-man'!$BF$4="",999,'5-man'!$BF$4),OR('5-man'!AY$25="D",LEFT('5-man'!AY$25,3)="ST&gt;",OR(AND('5-man'!AY$26="ST&gt;1",AY212&gt;=100),AND('5-man'!AY$27="ST&gt;1",AY220&gt;=100),AND('5-man'!AY$28="ST&gt;1",AY228&gt;=100),AND('5-man'!AY$29="ST&gt;1",AY236&gt;=100))))),'5-man'!AY$24,0)</f>
        <v/>
      </c>
      <c r="AZ211">
        <f>IF(OR('5-man'!AZ$25="P",'5-man'!AZ$25="R",AND('5-man'!AZ$24&lt;=IF('5-man'!$BF$4="",999,'5-man'!$BF$4),OR('5-man'!AZ$25="D",LEFT('5-man'!AZ$25,3)="ST&gt;",OR(AND('5-man'!AZ$26="ST&gt;1",AZ212&gt;=100),AND('5-man'!AZ$27="ST&gt;1",AZ220&gt;=100),AND('5-man'!AZ$28="ST&gt;1",AZ228&gt;=100),AND('5-man'!AZ$29="ST&gt;1",AZ236&gt;=100))))),'5-man'!AZ$24,0)</f>
        <v/>
      </c>
      <c r="BA211">
        <f>IF(OR('5-man'!BA$25="P",'5-man'!BA$25="R",AND('5-man'!BA$24&lt;=IF('5-man'!$BF$4="",999,'5-man'!$BF$4),OR('5-man'!BA$25="D",LEFT('5-man'!BA$25,3)="ST&gt;",OR(AND('5-man'!BA$26="ST&gt;1",BA212&gt;=100),AND('5-man'!BA$27="ST&gt;1",BA220&gt;=100),AND('5-man'!BA$28="ST&gt;1",BA228&gt;=100),AND('5-man'!BA$29="ST&gt;1",BA236&gt;=100))))),'5-man'!BA$24,0)</f>
        <v/>
      </c>
      <c r="BB211">
        <f>IF(OR('5-man'!BB$25="P",'5-man'!BB$25="R",AND('5-man'!BB$24&lt;=IF('5-man'!$BF$4="",999,'5-man'!$BF$4),OR('5-man'!BB$25="D",LEFT('5-man'!BB$25,3)="ST&gt;",OR(AND('5-man'!BB$26="ST&gt;1",BB212&gt;=100),AND('5-man'!BB$27="ST&gt;1",BB220&gt;=100),AND('5-man'!BB$28="ST&gt;1",BB228&gt;=100),AND('5-man'!BB$29="ST&gt;1",BB236&gt;=100))))),'5-man'!BB$24,0)</f>
        <v/>
      </c>
      <c r="BC211">
        <f>IF(OR('5-man'!BC$25="P",'5-man'!BC$25="R",AND('5-man'!BC$24&lt;=IF('5-man'!$BF$4="",999,'5-man'!$BF$4),OR('5-man'!BC$25="D",LEFT('5-man'!BC$25,3)="ST&gt;",OR(AND('5-man'!BC$26="ST&gt;1",BC212&gt;=100),AND('5-man'!BC$27="ST&gt;1",BC220&gt;=100),AND('5-man'!BC$28="ST&gt;1",BC228&gt;=100),AND('5-man'!BC$29="ST&gt;1",BC236&gt;=100))))),'5-man'!BC$24,0)</f>
        <v/>
      </c>
      <c r="BD211">
        <f>IF(OR('5-man'!BD$25="P",'5-man'!BD$25="R",AND('5-man'!BD$24&lt;=IF('5-man'!$BF$4="",999,'5-man'!$BF$4),OR('5-man'!BD$25="D",LEFT('5-man'!BD$25,3)="ST&gt;",OR(AND('5-man'!BD$26="ST&gt;1",BD212&gt;=100),AND('5-man'!BD$27="ST&gt;1",BD220&gt;=100),AND('5-man'!BD$28="ST&gt;1",BD228&gt;=100),AND('5-man'!BD$29="ST&gt;1",BD236&gt;=100))))),'5-man'!BD$24,0)</f>
        <v/>
      </c>
      <c r="BE211">
        <f>IF(OR('5-man'!BE$25="P",'5-man'!BE$25="R",AND('5-man'!BE$24&lt;=IF('5-man'!$BF$4="",999,'5-man'!$BF$4),OR('5-man'!BE$25="D",LEFT('5-man'!BE$25,3)="ST&gt;",OR(AND('5-man'!BE$26="ST&gt;1",BE212&gt;=100),AND('5-man'!BE$27="ST&gt;1",BE220&gt;=100),AND('5-man'!BE$28="ST&gt;1",BE228&gt;=100),AND('5-man'!BE$29="ST&gt;1",BE236&gt;=100))))),'5-man'!BE$24,0)</f>
        <v/>
      </c>
      <c r="BF211">
        <f>IF(OR('5-man'!BF$25="P",'5-man'!BF$25="R",AND('5-man'!BF$24&lt;=IF('5-man'!$BF$4="",999,'5-man'!$BF$4),OR('5-man'!BF$25="D",LEFT('5-man'!BF$25,3)="ST&gt;",OR(AND('5-man'!BF$26="ST&gt;1",BF212&gt;=100),AND('5-man'!BF$27="ST&gt;1",BF220&gt;=100),AND('5-man'!BF$28="ST&gt;1",BF228&gt;=100),AND('5-man'!BF$29="ST&gt;1",BF236&gt;=100))))),'5-man'!BF$24,0)</f>
        <v/>
      </c>
      <c r="BG211">
        <f>IF(OR('5-man'!BG$25="P",'5-man'!BG$25="R",AND('5-man'!BG$24&lt;=IF('5-man'!$BF$4="",999,'5-man'!$BF$4),OR('5-man'!BG$25="D",LEFT('5-man'!BG$25,3)="ST&gt;",OR(AND('5-man'!BG$26="ST&gt;1",BG212&gt;=100),AND('5-man'!BG$27="ST&gt;1",BG220&gt;=100),AND('5-man'!BG$28="ST&gt;1",BG228&gt;=100),AND('5-man'!BG$29="ST&gt;1",BG236&gt;=100))))),'5-man'!BG$24,0)</f>
        <v/>
      </c>
      <c r="BH211">
        <f>IF(OR('5-man'!BH$25="P",'5-man'!BH$25="R",AND('5-man'!BH$24&lt;=IF('5-man'!$BF$4="",999,'5-man'!$BF$4),OR('5-man'!BH$25="D",LEFT('5-man'!BH$25,3)="ST&gt;",OR(AND('5-man'!BH$26="ST&gt;1",BH212&gt;=100),AND('5-man'!BH$27="ST&gt;1",BH220&gt;=100),AND('5-man'!BH$28="ST&gt;1",BH228&gt;=100),AND('5-man'!BH$29="ST&gt;1",BH236&gt;=100))))),'5-man'!BH$24,0)</f>
        <v/>
      </c>
      <c r="BI211">
        <f>IF(OR('5-man'!BI$25="P",'5-man'!BI$25="R",AND('5-man'!BI$24&lt;=IF('5-man'!$BF$4="",999,'5-man'!$BF$4),OR('5-man'!BI$25="D",LEFT('5-man'!BI$25,3)="ST&gt;",OR(AND('5-man'!BI$26="ST&gt;1",BI212&gt;=100),AND('5-man'!BI$27="ST&gt;1",BI220&gt;=100),AND('5-man'!BI$28="ST&gt;1",BI228&gt;=100),AND('5-man'!BI$29="ST&gt;1",BI236&gt;=100))))),'5-man'!BI$24,0)</f>
        <v/>
      </c>
      <c r="BJ211">
        <f>IF(OR('5-man'!BJ$25="P",'5-man'!BJ$25="R",AND('5-man'!BJ$24&lt;=IF('5-man'!$BF$4="",999,'5-man'!$BF$4),OR('5-man'!BJ$25="D",LEFT('5-man'!BJ$25,3)="ST&gt;",OR(AND('5-man'!BJ$26="ST&gt;1",BJ212&gt;=100),AND('5-man'!BJ$27="ST&gt;1",BJ220&gt;=100),AND('5-man'!BJ$28="ST&gt;1",BJ228&gt;=100),AND('5-man'!BJ$29="ST&gt;1",BJ236&gt;=100))))),'5-man'!BJ$24,0)</f>
        <v/>
      </c>
      <c r="BK211">
        <f>IF(OR('5-man'!BK$25="P",'5-man'!BK$25="R",AND('5-man'!BK$24&lt;=IF('5-man'!$BF$4="",999,'5-man'!$BF$4),OR('5-man'!BK$25="D",LEFT('5-man'!BK$25,3)="ST&gt;",OR(AND('5-man'!BK$26="ST&gt;1",BK212&gt;=100),AND('5-man'!BK$27="ST&gt;1",BK220&gt;=100),AND('5-man'!BK$28="ST&gt;1",BK228&gt;=100),AND('5-man'!BK$29="ST&gt;1",BK236&gt;=100))))),'5-man'!BK$24,0)</f>
        <v/>
      </c>
      <c r="BL211">
        <f>IF(OR('5-man'!BL$25="P",'5-man'!BL$25="R",AND('5-man'!BL$24&lt;=IF('5-man'!$BF$4="",999,'5-man'!$BF$4),OR('5-man'!BL$25="D",LEFT('5-man'!BL$25,3)="ST&gt;",OR(AND('5-man'!BL$26="ST&gt;1",BL212&gt;=100),AND('5-man'!BL$27="ST&gt;1",BL220&gt;=100),AND('5-man'!BL$28="ST&gt;1",BL228&gt;=100),AND('5-man'!BL$29="ST&gt;1",BL236&gt;=100))))),'5-man'!BL$24,0)</f>
        <v/>
      </c>
      <c r="BM211">
        <f>IF(OR('5-man'!BM$25="P",'5-man'!BM$25="R",AND('5-man'!BM$24&lt;=IF('5-man'!$BF$4="",999,'5-man'!$BF$4),OR('5-man'!BM$25="D",LEFT('5-man'!BM$25,3)="ST&gt;",OR(AND('5-man'!BM$26="ST&gt;1",BM212&gt;=100),AND('5-man'!BM$27="ST&gt;1",BM220&gt;=100),AND('5-man'!BM$28="ST&gt;1",BM228&gt;=100),AND('5-man'!BM$29="ST&gt;1",BM236&gt;=100))))),'5-man'!BM$24,0)</f>
        <v/>
      </c>
      <c r="BN211">
        <f>IF(OR('5-man'!BN$25="P",'5-man'!BN$25="R",AND('5-man'!BN$24&lt;=IF('5-man'!$BF$4="",999,'5-man'!$BF$4),OR('5-man'!BN$25="D",LEFT('5-man'!BN$25,3)="ST&gt;",OR(AND('5-man'!BN$26="ST&gt;1",BN212&gt;=100),AND('5-man'!BN$27="ST&gt;1",BN220&gt;=100),AND('5-man'!BN$28="ST&gt;1",BN228&gt;=100),AND('5-man'!BN$29="ST&gt;1",BN236&gt;=100))))),'5-man'!BN$24,0)</f>
        <v/>
      </c>
      <c r="BO211">
        <f>IF(OR('5-man'!BO$25="P",'5-man'!BO$25="R",AND('5-man'!BO$24&lt;=IF('5-man'!$BF$4="",999,'5-man'!$BF$4),OR('5-man'!BO$25="D",LEFT('5-man'!BO$25,3)="ST&gt;",OR(AND('5-man'!BO$26="ST&gt;1",BO212&gt;=100),AND('5-man'!BO$27="ST&gt;1",BO220&gt;=100),AND('5-man'!BO$28="ST&gt;1",BO228&gt;=100),AND('5-man'!BO$29="ST&gt;1",BO236&gt;=100))))),'5-man'!BO$24,0)</f>
        <v/>
      </c>
      <c r="BP211">
        <f>IF(OR('5-man'!BP$25="P",'5-man'!BP$25="R",AND('5-man'!BP$24&lt;=IF('5-man'!$BF$4="",999,'5-man'!$BF$4),OR('5-man'!BP$25="D",LEFT('5-man'!BP$25,3)="ST&gt;",OR(AND('5-man'!BP$26="ST&gt;1",BP212&gt;=100),AND('5-man'!BP$27="ST&gt;1",BP220&gt;=100),AND('5-man'!BP$28="ST&gt;1",BP228&gt;=100),AND('5-man'!BP$29="ST&gt;1",BP236&gt;=100))))),'5-man'!BP$24,0)</f>
        <v/>
      </c>
      <c r="BQ211">
        <f>IF(OR('5-man'!BQ$25="P",'5-man'!BQ$25="R",AND('5-man'!BQ$24&lt;=IF('5-man'!$BF$4="",999,'5-man'!$BF$4),OR('5-man'!BQ$25="D",LEFT('5-man'!BQ$25,3)="ST&gt;",OR(AND('5-man'!BQ$26="ST&gt;1",BQ212&gt;=100),AND('5-man'!BQ$27="ST&gt;1",BQ220&gt;=100),AND('5-man'!BQ$28="ST&gt;1",BQ228&gt;=100),AND('5-man'!BQ$29="ST&gt;1",BQ236&gt;=100))))),'5-man'!BQ$24,0)</f>
        <v/>
      </c>
      <c r="BR211">
        <f>IF(OR('5-man'!BR$25="P",'5-man'!BR$25="R",AND('5-man'!BR$24&lt;=IF('5-man'!$BF$4="",999,'5-man'!$BF$4),OR('5-man'!BR$25="D",LEFT('5-man'!BR$25,3)="ST&gt;",OR(AND('5-man'!BR$26="ST&gt;1",BR212&gt;=100),AND('5-man'!BR$27="ST&gt;1",BR220&gt;=100),AND('5-man'!BR$28="ST&gt;1",BR228&gt;=100),AND('5-man'!BR$29="ST&gt;1",BR236&gt;=100))))),'5-man'!BR$24,0)</f>
        <v/>
      </c>
      <c r="BS211">
        <f>IF(OR('5-man'!BS$25="P",'5-man'!BS$25="R",AND('5-man'!BS$24&lt;=IF('5-man'!$BF$4="",999,'5-man'!$BF$4),OR('5-man'!BS$25="D",LEFT('5-man'!BS$25,3)="ST&gt;",OR(AND('5-man'!BS$26="ST&gt;1",BS212&gt;=100),AND('5-man'!BS$27="ST&gt;1",BS220&gt;=100),AND('5-man'!BS$28="ST&gt;1",BS228&gt;=100),AND('5-man'!BS$29="ST&gt;1",BS236&gt;=100))))),'5-man'!BS$24,0)</f>
        <v/>
      </c>
      <c r="BT211">
        <f>IF(OR('5-man'!BT$25="P",'5-man'!BT$25="R",AND('5-man'!BT$24&lt;=IF('5-man'!$BF$4="",999,'5-man'!$BF$4),OR('5-man'!BT$25="D",LEFT('5-man'!BT$25,3)="ST&gt;",OR(AND('5-man'!BT$26="ST&gt;1",BT212&gt;=100),AND('5-man'!BT$27="ST&gt;1",BT220&gt;=100),AND('5-man'!BT$28="ST&gt;1",BT228&gt;=100),AND('5-man'!BT$29="ST&gt;1",BT236&gt;=100))))),'5-man'!BT$24,0)</f>
        <v/>
      </c>
      <c r="BU211">
        <f>IF(OR('5-man'!BU$25="P",'5-man'!BU$25="R",AND('5-man'!BU$24&lt;=IF('5-man'!$BF$4="",999,'5-man'!$BF$4),OR('5-man'!BU$25="D",LEFT('5-man'!BU$25,3)="ST&gt;",OR(AND('5-man'!BU$26="ST&gt;1",BU212&gt;=100),AND('5-man'!BU$27="ST&gt;1",BU220&gt;=100),AND('5-man'!BU$28="ST&gt;1",BU228&gt;=100),AND('5-man'!BU$29="ST&gt;1",BU236&gt;=100))))),'5-man'!BU$24,0)</f>
        <v/>
      </c>
      <c r="BV211">
        <f>IF(OR('5-man'!BV$25="P",'5-man'!BV$25="R",AND('5-man'!BV$24&lt;=IF('5-man'!$BF$4="",999,'5-man'!$BF$4),OR('5-man'!BV$25="D",LEFT('5-man'!BV$25,3)="ST&gt;",OR(AND('5-man'!BV$26="ST&gt;1",BV212&gt;=100),AND('5-man'!BV$27="ST&gt;1",BV220&gt;=100),AND('5-man'!BV$28="ST&gt;1",BV228&gt;=100),AND('5-man'!BV$29="ST&gt;1",BV236&gt;=100))))),'5-man'!BV$24,0)</f>
        <v/>
      </c>
      <c r="BW211">
        <f>IF(OR('5-man'!BW$25="P",'5-man'!BW$25="R",AND('5-man'!BW$24&lt;=IF('5-man'!$BF$4="",999,'5-man'!$BF$4),OR('5-man'!BW$25="D",LEFT('5-man'!BW$25,3)="ST&gt;",OR(AND('5-man'!BW$26="ST&gt;1",BW212&gt;=100),AND('5-man'!BW$27="ST&gt;1",BW220&gt;=100),AND('5-man'!BW$28="ST&gt;1",BW228&gt;=100),AND('5-man'!BW$29="ST&gt;1",BW236&gt;=100))))),'5-man'!BW$24,0)</f>
        <v/>
      </c>
      <c r="BX211">
        <f>IF(OR('5-man'!BX$25="P",'5-man'!BX$25="R",AND('5-man'!BX$24&lt;=IF('5-man'!$BF$4="",999,'5-man'!$BF$4),OR('5-man'!BX$25="D",LEFT('5-man'!BX$25,3)="ST&gt;",OR(AND('5-man'!BX$26="ST&gt;1",BX212&gt;=100),AND('5-man'!BX$27="ST&gt;1",BX220&gt;=100),AND('5-man'!BX$28="ST&gt;1",BX228&gt;=100),AND('5-man'!BX$29="ST&gt;1",BX236&gt;=100))))),'5-man'!BX$24,0)</f>
        <v/>
      </c>
      <c r="BY211">
        <f>IF(OR('5-man'!BY$25="P",'5-man'!BY$25="R",AND('5-man'!BY$24&lt;=IF('5-man'!$BF$4="",999,'5-man'!$BF$4),OR('5-man'!BY$25="D",LEFT('5-man'!BY$25,3)="ST&gt;",OR(AND('5-man'!BY$26="ST&gt;1",BY212&gt;=100),AND('5-man'!BY$27="ST&gt;1",BY220&gt;=100),AND('5-man'!BY$28="ST&gt;1",BY228&gt;=100),AND('5-man'!BY$29="ST&gt;1",BY236&gt;=100))))),'5-man'!BY$24,0)</f>
        <v/>
      </c>
      <c r="BZ211">
        <f>IF(OR('5-man'!BZ$25="P",'5-man'!BZ$25="R",AND('5-man'!BZ$24&lt;=IF('5-man'!$BF$4="",999,'5-man'!$BF$4),OR('5-man'!BZ$25="D",LEFT('5-man'!BZ$25,3)="ST&gt;",OR(AND('5-man'!BZ$26="ST&gt;1",BZ212&gt;=100),AND('5-man'!BZ$27="ST&gt;1",BZ220&gt;=100),AND('5-man'!BZ$28="ST&gt;1",BZ228&gt;=100),AND('5-man'!BZ$29="ST&gt;1",BZ236&gt;=100))))),'5-man'!BZ$24,0)</f>
        <v/>
      </c>
      <c r="CA211">
        <f>IF(OR('5-man'!CA$25="P",'5-man'!CA$25="R",AND('5-man'!CA$24&lt;=IF('5-man'!$BF$4="",999,'5-man'!$BF$4),OR('5-man'!CA$25="D",LEFT('5-man'!CA$25,3)="ST&gt;",OR(AND('5-man'!CA$26="ST&gt;1",CA212&gt;=100),AND('5-man'!CA$27="ST&gt;1",CA220&gt;=100),AND('5-man'!CA$28="ST&gt;1",CA228&gt;=100),AND('5-man'!CA$29="ST&gt;1",CA236&gt;=100))))),'5-man'!CA$24,0)</f>
        <v/>
      </c>
      <c r="CB211">
        <f>IF(OR('5-man'!CB$25="P",'5-man'!CB$25="R",AND('5-man'!CB$24&lt;=IF('5-man'!$BF$4="",999,'5-man'!$BF$4),OR('5-man'!CB$25="D",LEFT('5-man'!CB$25,3)="ST&gt;",OR(AND('5-man'!CB$26="ST&gt;1",CB212&gt;=100),AND('5-man'!CB$27="ST&gt;1",CB220&gt;=100),AND('5-man'!CB$28="ST&gt;1",CB228&gt;=100),AND('5-man'!CB$29="ST&gt;1",CB236&gt;=100))))),'5-man'!CB$24,0)</f>
        <v/>
      </c>
      <c r="CC211">
        <f>IF(OR('5-man'!CC$25="P",'5-man'!CC$25="R",AND('5-man'!CC$24&lt;=IF('5-man'!$BF$4="",999,'5-man'!$BF$4),OR('5-man'!CC$25="D",LEFT('5-man'!CC$25,3)="ST&gt;",OR(AND('5-man'!CC$26="ST&gt;1",CC212&gt;=100),AND('5-man'!CC$27="ST&gt;1",CC220&gt;=100),AND('5-man'!CC$28="ST&gt;1",CC228&gt;=100),AND('5-man'!CC$29="ST&gt;1",CC236&gt;=100))))),'5-man'!CC$24,0)</f>
        <v/>
      </c>
      <c r="CD211">
        <f>IF(OR('5-man'!CD$25="P",'5-man'!CD$25="R",AND('5-man'!CD$24&lt;=IF('5-man'!$BF$4="",999,'5-man'!$BF$4),OR('5-man'!CD$25="D",LEFT('5-man'!CD$25,3)="ST&gt;",OR(AND('5-man'!CD$26="ST&gt;1",CD212&gt;=100),AND('5-man'!CD$27="ST&gt;1",CD220&gt;=100),AND('5-man'!CD$28="ST&gt;1",CD228&gt;=100),AND('5-man'!CD$29="ST&gt;1",CD236&gt;=100))))),'5-man'!CD$24,0)</f>
        <v/>
      </c>
    </row>
    <row r="212">
      <c r="A212" t="inlineStr">
        <is>
          <t>P2 s1</t>
        </is>
      </c>
      <c r="C212">
        <f>MIN(100,B213+IF(AND(B213&lt;100,B214+1&gt;=IF(OR('5-man'!$F$5=TRUE,'5-man'!$F$5="TRUE",'5-man'!$F$5="Yes"),25,50)),10,0)+IF('5-man'!C$24=$Q$218,25,0))</f>
        <v/>
      </c>
      <c r="D212">
        <f>MIN(100,C213+IF(AND(C213&lt;100,C214+1&gt;=IF(OR('5-man'!$F$5=TRUE,'5-man'!$F$5="TRUE",'5-man'!$F$5="Yes"),25,50)),10,0)+IF('5-man'!D$24=$Q$218,25,0))</f>
        <v/>
      </c>
      <c r="E212">
        <f>MIN(100,D213+IF(AND(D213&lt;100,D214+1&gt;=IF(OR('5-man'!$F$5=TRUE,'5-man'!$F$5="TRUE",'5-man'!$F$5="Yes"),25,50)),10,0)+IF('5-man'!E$24=$Q$218,25,0))</f>
        <v/>
      </c>
      <c r="F212">
        <f>MIN(100,E213+IF(AND(E213&lt;100,E214+1&gt;=IF(OR('5-man'!$F$5=TRUE,'5-man'!$F$5="TRUE",'5-man'!$F$5="Yes"),25,50)),10,0)+IF('5-man'!F$24=$Q$218,25,0))</f>
        <v/>
      </c>
      <c r="G212">
        <f>MIN(100,F213+IF(AND(F213&lt;100,F214+1&gt;=IF(OR('5-man'!$F$5=TRUE,'5-man'!$F$5="TRUE",'5-man'!$F$5="Yes"),25,50)),10,0)+IF('5-man'!G$24=$Q$218,25,0))</f>
        <v/>
      </c>
      <c r="H212">
        <f>MIN(100,G213+IF(AND(G213&lt;100,G214+1&gt;=IF(OR('5-man'!$F$5=TRUE,'5-man'!$F$5="TRUE",'5-man'!$F$5="Yes"),25,50)),10,0)+IF('5-man'!H$24=$Q$218,25,0))</f>
        <v/>
      </c>
      <c r="I212">
        <f>MIN(100,H213+IF(AND(H213&lt;100,H214+1&gt;=IF(OR('5-man'!$F$5=TRUE,'5-man'!$F$5="TRUE",'5-man'!$F$5="Yes"),25,50)),10,0)+IF('5-man'!I$24=$Q$218,25,0))</f>
        <v/>
      </c>
      <c r="J212">
        <f>MIN(100,I213+IF(AND(I213&lt;100,I214+1&gt;=IF(OR('5-man'!$F$5=TRUE,'5-man'!$F$5="TRUE",'5-man'!$F$5="Yes"),25,50)),10,0)+IF('5-man'!J$24=$Q$218,25,0))</f>
        <v/>
      </c>
      <c r="K212">
        <f>MIN(100,J213+IF(AND(J213&lt;100,J214+1&gt;=IF(OR('5-man'!$F$5=TRUE,'5-man'!$F$5="TRUE",'5-man'!$F$5="Yes"),25,50)),10,0)+IF('5-man'!K$24=$Q$218,25,0))</f>
        <v/>
      </c>
      <c r="L212">
        <f>MIN(100,K213+IF(AND(K213&lt;100,K214+1&gt;=IF(OR('5-man'!$F$5=TRUE,'5-man'!$F$5="TRUE",'5-man'!$F$5="Yes"),25,50)),10,0)+IF('5-man'!L$24=$Q$218,25,0))</f>
        <v/>
      </c>
      <c r="M212">
        <f>MIN(100,L213+IF(AND(L213&lt;100,L214+1&gt;=IF(OR('5-man'!$F$5=TRUE,'5-man'!$F$5="TRUE",'5-man'!$F$5="Yes"),25,50)),10,0)+IF('5-man'!M$24=$Q$218,25,0))</f>
        <v/>
      </c>
      <c r="N212">
        <f>MIN(100,M213+IF(AND(M213&lt;100,M214+1&gt;=IF(OR('5-man'!$F$5=TRUE,'5-man'!$F$5="TRUE",'5-man'!$F$5="Yes"),25,50)),10,0)+IF('5-man'!N$24=$Q$218,25,0))</f>
        <v/>
      </c>
      <c r="O212">
        <f>MIN(100,N213+IF(AND(N213&lt;100,N214+1&gt;=IF(OR('5-man'!$F$5=TRUE,'5-man'!$F$5="TRUE",'5-man'!$F$5="Yes"),25,50)),10,0)+IF('5-man'!O$24=$Q$218,25,0))</f>
        <v/>
      </c>
      <c r="P212">
        <f>MIN(100,O213+IF(AND(O213&lt;100,O214+1&gt;=IF(OR('5-man'!$F$5=TRUE,'5-man'!$F$5="TRUE",'5-man'!$F$5="Yes"),25,50)),10,0)+IF('5-man'!P$24=$Q$218,25,0))</f>
        <v/>
      </c>
      <c r="Q212">
        <f>MIN(100,P213+IF(AND(P213&lt;100,P214+1&gt;=IF(OR('5-man'!$F$5=TRUE,'5-man'!$F$5="TRUE",'5-man'!$F$5="Yes"),25,50)),10,0)+IF('5-man'!Q$24=$Q$218,25,0))</f>
        <v/>
      </c>
      <c r="R212">
        <f>MIN(100,Q213+IF(AND(Q213&lt;100,Q214+1&gt;=IF(OR('5-man'!$F$5=TRUE,'5-man'!$F$5="TRUE",'5-man'!$F$5="Yes"),25,50)),10,0)+IF('5-man'!R$24=$Q$218,25,0))</f>
        <v/>
      </c>
      <c r="S212">
        <f>MIN(100,R213+IF(AND(R213&lt;100,R214+1&gt;=IF(OR('5-man'!$F$5=TRUE,'5-man'!$F$5="TRUE",'5-man'!$F$5="Yes"),25,50)),10,0)+IF('5-man'!S$24=$Q$218,25,0))</f>
        <v/>
      </c>
      <c r="T212">
        <f>MIN(100,S213+IF(AND(S213&lt;100,S214+1&gt;=IF(OR('5-man'!$F$5=TRUE,'5-man'!$F$5="TRUE",'5-man'!$F$5="Yes"),25,50)),10,0)+IF('5-man'!T$24=$Q$218,25,0))</f>
        <v/>
      </c>
      <c r="U212">
        <f>MIN(100,T213+IF(AND(T213&lt;100,T214+1&gt;=IF(OR('5-man'!$F$5=TRUE,'5-man'!$F$5="TRUE",'5-man'!$F$5="Yes"),25,50)),10,0)+IF('5-man'!U$24=$Q$218,25,0))</f>
        <v/>
      </c>
      <c r="V212">
        <f>MIN(100,U213+IF(AND(U213&lt;100,U214+1&gt;=IF(OR('5-man'!$F$5=TRUE,'5-man'!$F$5="TRUE",'5-man'!$F$5="Yes"),25,50)),10,0)+IF('5-man'!V$24=$Q$218,25,0))</f>
        <v/>
      </c>
      <c r="W212">
        <f>MIN(100,V213+IF(AND(V213&lt;100,V214+1&gt;=IF(OR('5-man'!$F$5=TRUE,'5-man'!$F$5="TRUE",'5-man'!$F$5="Yes"),25,50)),10,0)+IF('5-man'!W$24=$Q$218,25,0))</f>
        <v/>
      </c>
      <c r="X212">
        <f>MIN(100,W213+IF(AND(W213&lt;100,W214+1&gt;=IF(OR('5-man'!$F$5=TRUE,'5-man'!$F$5="TRUE",'5-man'!$F$5="Yes"),25,50)),10,0)+IF('5-man'!X$24=$Q$218,25,0))</f>
        <v/>
      </c>
      <c r="Y212">
        <f>MIN(100,X213+IF(AND(X213&lt;100,X214+1&gt;=IF(OR('5-man'!$F$5=TRUE,'5-man'!$F$5="TRUE",'5-man'!$F$5="Yes"),25,50)),10,0)+IF('5-man'!Y$24=$Q$218,25,0))</f>
        <v/>
      </c>
      <c r="Z212">
        <f>MIN(100,Y213+IF(AND(Y213&lt;100,Y214+1&gt;=IF(OR('5-man'!$F$5=TRUE,'5-man'!$F$5="TRUE",'5-man'!$F$5="Yes"),25,50)),10,0)+IF('5-man'!Z$24=$Q$218,25,0))</f>
        <v/>
      </c>
      <c r="AA212">
        <f>MIN(100,Z213+IF(AND(Z213&lt;100,Z214+1&gt;=IF(OR('5-man'!$F$5=TRUE,'5-man'!$F$5="TRUE",'5-man'!$F$5="Yes"),25,50)),10,0)+IF('5-man'!AA$24=$Q$218,25,0))</f>
        <v/>
      </c>
      <c r="AB212">
        <f>MIN(100,AA213+IF(AND(AA213&lt;100,AA214+1&gt;=IF(OR('5-man'!$F$5=TRUE,'5-man'!$F$5="TRUE",'5-man'!$F$5="Yes"),25,50)),10,0)+IF('5-man'!AB$24=$Q$218,25,0))</f>
        <v/>
      </c>
      <c r="AC212">
        <f>MIN(100,AB213+IF(AND(AB213&lt;100,AB214+1&gt;=IF(OR('5-man'!$F$5=TRUE,'5-man'!$F$5="TRUE",'5-man'!$F$5="Yes"),25,50)),10,0)+IF('5-man'!AC$24=$Q$218,25,0))</f>
        <v/>
      </c>
      <c r="AD212">
        <f>MIN(100,AC213+IF(AND(AC213&lt;100,AC214+1&gt;=IF(OR('5-man'!$F$5=TRUE,'5-man'!$F$5="TRUE",'5-man'!$F$5="Yes"),25,50)),10,0)+IF('5-man'!AD$24=$Q$218,25,0))</f>
        <v/>
      </c>
      <c r="AE212">
        <f>MIN(100,AD213+IF(AND(AD213&lt;100,AD214+1&gt;=IF(OR('5-man'!$F$5=TRUE,'5-man'!$F$5="TRUE",'5-man'!$F$5="Yes"),25,50)),10,0)+IF('5-man'!AE$24=$Q$218,25,0))</f>
        <v/>
      </c>
      <c r="AF212">
        <f>MIN(100,AE213+IF(AND(AE213&lt;100,AE214+1&gt;=IF(OR('5-man'!$F$5=TRUE,'5-man'!$F$5="TRUE",'5-man'!$F$5="Yes"),25,50)),10,0)+IF('5-man'!AF$24=$Q$218,25,0))</f>
        <v/>
      </c>
      <c r="AG212">
        <f>MIN(100,AF213+IF(AND(AF213&lt;100,AF214+1&gt;=IF(OR('5-man'!$F$5=TRUE,'5-man'!$F$5="TRUE",'5-man'!$F$5="Yes"),25,50)),10,0)+IF('5-man'!AG$24=$Q$218,25,0))</f>
        <v/>
      </c>
      <c r="AH212">
        <f>MIN(100,AG213+IF(AND(AG213&lt;100,AG214+1&gt;=IF(OR('5-man'!$F$5=TRUE,'5-man'!$F$5="TRUE",'5-man'!$F$5="Yes"),25,50)),10,0)+IF('5-man'!AH$24=$Q$218,25,0))</f>
        <v/>
      </c>
      <c r="AI212">
        <f>MIN(100,AH213+IF(AND(AH213&lt;100,AH214+1&gt;=IF(OR('5-man'!$F$5=TRUE,'5-man'!$F$5="TRUE",'5-man'!$F$5="Yes"),25,50)),10,0)+IF('5-man'!AI$24=$Q$218,25,0))</f>
        <v/>
      </c>
      <c r="AJ212">
        <f>MIN(100,AI213+IF(AND(AI213&lt;100,AI214+1&gt;=IF(OR('5-man'!$F$5=TRUE,'5-man'!$F$5="TRUE",'5-man'!$F$5="Yes"),25,50)),10,0)+IF('5-man'!AJ$24=$Q$218,25,0))</f>
        <v/>
      </c>
      <c r="AK212">
        <f>MIN(100,AJ213+IF(AND(AJ213&lt;100,AJ214+1&gt;=IF(OR('5-man'!$F$5=TRUE,'5-man'!$F$5="TRUE",'5-man'!$F$5="Yes"),25,50)),10,0)+IF('5-man'!AK$24=$Q$218,25,0))</f>
        <v/>
      </c>
      <c r="AL212">
        <f>MIN(100,AK213+IF(AND(AK213&lt;100,AK214+1&gt;=IF(OR('5-man'!$F$5=TRUE,'5-man'!$F$5="TRUE",'5-man'!$F$5="Yes"),25,50)),10,0)+IF('5-man'!AL$24=$Q$218,25,0))</f>
        <v/>
      </c>
      <c r="AM212">
        <f>MIN(100,AL213+IF(AND(AL213&lt;100,AL214+1&gt;=IF(OR('5-man'!$F$5=TRUE,'5-man'!$F$5="TRUE",'5-man'!$F$5="Yes"),25,50)),10,0)+IF('5-man'!AM$24=$Q$218,25,0))</f>
        <v/>
      </c>
      <c r="AN212">
        <f>MIN(100,AM213+IF(AND(AM213&lt;100,AM214+1&gt;=IF(OR('5-man'!$F$5=TRUE,'5-man'!$F$5="TRUE",'5-man'!$F$5="Yes"),25,50)),10,0)+IF('5-man'!AN$24=$Q$218,25,0))</f>
        <v/>
      </c>
      <c r="AO212">
        <f>MIN(100,AN213+IF(AND(AN213&lt;100,AN214+1&gt;=IF(OR('5-man'!$F$5=TRUE,'5-man'!$F$5="TRUE",'5-man'!$F$5="Yes"),25,50)),10,0)+IF('5-man'!AO$24=$Q$218,25,0))</f>
        <v/>
      </c>
      <c r="AP212">
        <f>MIN(100,AO213+IF(AND(AO213&lt;100,AO214+1&gt;=IF(OR('5-man'!$F$5=TRUE,'5-man'!$F$5="TRUE",'5-man'!$F$5="Yes"),25,50)),10,0)+IF('5-man'!AP$24=$Q$218,25,0))</f>
        <v/>
      </c>
      <c r="AQ212">
        <f>MIN(100,AP213+IF(AND(AP213&lt;100,AP214+1&gt;=IF(OR('5-man'!$F$5=TRUE,'5-man'!$F$5="TRUE",'5-man'!$F$5="Yes"),25,50)),10,0)+IF('5-man'!AQ$24=$Q$218,25,0))</f>
        <v/>
      </c>
      <c r="AR212">
        <f>MIN(100,AQ213+IF(AND(AQ213&lt;100,AQ214+1&gt;=IF(OR('5-man'!$F$5=TRUE,'5-man'!$F$5="TRUE",'5-man'!$F$5="Yes"),25,50)),10,0)+IF('5-man'!AR$24=$Q$218,25,0))</f>
        <v/>
      </c>
      <c r="AS212">
        <f>MIN(100,AR213+IF(AND(AR213&lt;100,AR214+1&gt;=IF(OR('5-man'!$F$5=TRUE,'5-man'!$F$5="TRUE",'5-man'!$F$5="Yes"),25,50)),10,0)+IF('5-man'!AS$24=$Q$218,25,0))</f>
        <v/>
      </c>
      <c r="AT212">
        <f>MIN(100,AS213+IF(AND(AS213&lt;100,AS214+1&gt;=IF(OR('5-man'!$F$5=TRUE,'5-man'!$F$5="TRUE",'5-man'!$F$5="Yes"),25,50)),10,0)+IF('5-man'!AT$24=$Q$218,25,0))</f>
        <v/>
      </c>
      <c r="AU212">
        <f>MIN(100,AT213+IF(AND(AT213&lt;100,AT214+1&gt;=IF(OR('5-man'!$F$5=TRUE,'5-man'!$F$5="TRUE",'5-man'!$F$5="Yes"),25,50)),10,0)+IF('5-man'!AU$24=$Q$218,25,0))</f>
        <v/>
      </c>
      <c r="AV212">
        <f>MIN(100,AU213+IF(AND(AU213&lt;100,AU214+1&gt;=IF(OR('5-man'!$F$5=TRUE,'5-man'!$F$5="TRUE",'5-man'!$F$5="Yes"),25,50)),10,0)+IF('5-man'!AV$24=$Q$218,25,0))</f>
        <v/>
      </c>
      <c r="AW212">
        <f>MIN(100,AV213+IF(AND(AV213&lt;100,AV214+1&gt;=IF(OR('5-man'!$F$5=TRUE,'5-man'!$F$5="TRUE",'5-man'!$F$5="Yes"),25,50)),10,0)+IF('5-man'!AW$24=$Q$218,25,0))</f>
        <v/>
      </c>
      <c r="AX212">
        <f>MIN(100,AW213+IF(AND(AW213&lt;100,AW214+1&gt;=IF(OR('5-man'!$F$5=TRUE,'5-man'!$F$5="TRUE",'5-man'!$F$5="Yes"),25,50)),10,0)+IF('5-man'!AX$24=$Q$218,25,0))</f>
        <v/>
      </c>
      <c r="AY212">
        <f>MIN(100,AX213+IF(AND(AX213&lt;100,AX214+1&gt;=IF(OR('5-man'!$F$5=TRUE,'5-man'!$F$5="TRUE",'5-man'!$F$5="Yes"),25,50)),10,0)+IF('5-man'!AY$24=$Q$218,25,0))</f>
        <v/>
      </c>
      <c r="AZ212">
        <f>MIN(100,AY213+IF(AND(AY213&lt;100,AY214+1&gt;=IF(OR('5-man'!$F$5=TRUE,'5-man'!$F$5="TRUE",'5-man'!$F$5="Yes"),25,50)),10,0)+IF('5-man'!AZ$24=$Q$218,25,0))</f>
        <v/>
      </c>
      <c r="BA212">
        <f>MIN(100,AZ213+IF(AND(AZ213&lt;100,AZ214+1&gt;=IF(OR('5-man'!$F$5=TRUE,'5-man'!$F$5="TRUE",'5-man'!$F$5="Yes"),25,50)),10,0)+IF('5-man'!BA$24=$Q$218,25,0))</f>
        <v/>
      </c>
      <c r="BB212">
        <f>MIN(100,BA213+IF(AND(BA213&lt;100,BA214+1&gt;=IF(OR('5-man'!$F$5=TRUE,'5-man'!$F$5="TRUE",'5-man'!$F$5="Yes"),25,50)),10,0)+IF('5-man'!BB$24=$Q$218,25,0))</f>
        <v/>
      </c>
      <c r="BC212">
        <f>MIN(100,BB213+IF(AND(BB213&lt;100,BB214+1&gt;=IF(OR('5-man'!$F$5=TRUE,'5-man'!$F$5="TRUE",'5-man'!$F$5="Yes"),25,50)),10,0)+IF('5-man'!BC$24=$Q$218,25,0))</f>
        <v/>
      </c>
      <c r="BD212">
        <f>MIN(100,BC213+IF(AND(BC213&lt;100,BC214+1&gt;=IF(OR('5-man'!$F$5=TRUE,'5-man'!$F$5="TRUE",'5-man'!$F$5="Yes"),25,50)),10,0)+IF('5-man'!BD$24=$Q$218,25,0))</f>
        <v/>
      </c>
      <c r="BE212">
        <f>MIN(100,BD213+IF(AND(BD213&lt;100,BD214+1&gt;=IF(OR('5-man'!$F$5=TRUE,'5-man'!$F$5="TRUE",'5-man'!$F$5="Yes"),25,50)),10,0)+IF('5-man'!BE$24=$Q$218,25,0))</f>
        <v/>
      </c>
      <c r="BF212">
        <f>MIN(100,BE213+IF(AND(BE213&lt;100,BE214+1&gt;=IF(OR('5-man'!$F$5=TRUE,'5-man'!$F$5="TRUE",'5-man'!$F$5="Yes"),25,50)),10,0)+IF('5-man'!BF$24=$Q$218,25,0))</f>
        <v/>
      </c>
      <c r="BG212">
        <f>MIN(100,BF213+IF(AND(BF213&lt;100,BF214+1&gt;=IF(OR('5-man'!$F$5=TRUE,'5-man'!$F$5="TRUE",'5-man'!$F$5="Yes"),25,50)),10,0)+IF('5-man'!BG$24=$Q$218,25,0))</f>
        <v/>
      </c>
      <c r="BH212">
        <f>MIN(100,BG213+IF(AND(BG213&lt;100,BG214+1&gt;=IF(OR('5-man'!$F$5=TRUE,'5-man'!$F$5="TRUE",'5-man'!$F$5="Yes"),25,50)),10,0)+IF('5-man'!BH$24=$Q$218,25,0))</f>
        <v/>
      </c>
      <c r="BI212">
        <f>MIN(100,BH213+IF(AND(BH213&lt;100,BH214+1&gt;=IF(OR('5-man'!$F$5=TRUE,'5-man'!$F$5="TRUE",'5-man'!$F$5="Yes"),25,50)),10,0)+IF('5-man'!BI$24=$Q$218,25,0))</f>
        <v/>
      </c>
      <c r="BJ212">
        <f>MIN(100,BI213+IF(AND(BI213&lt;100,BI214+1&gt;=IF(OR('5-man'!$F$5=TRUE,'5-man'!$F$5="TRUE",'5-man'!$F$5="Yes"),25,50)),10,0)+IF('5-man'!BJ$24=$Q$218,25,0))</f>
        <v/>
      </c>
      <c r="BK212">
        <f>MIN(100,BJ213+IF(AND(BJ213&lt;100,BJ214+1&gt;=IF(OR('5-man'!$F$5=TRUE,'5-man'!$F$5="TRUE",'5-man'!$F$5="Yes"),25,50)),10,0)+IF('5-man'!BK$24=$Q$218,25,0))</f>
        <v/>
      </c>
      <c r="BL212">
        <f>MIN(100,BK213+IF(AND(BK213&lt;100,BK214+1&gt;=IF(OR('5-man'!$F$5=TRUE,'5-man'!$F$5="TRUE",'5-man'!$F$5="Yes"),25,50)),10,0)+IF('5-man'!BL$24=$Q$218,25,0))</f>
        <v/>
      </c>
      <c r="BM212">
        <f>MIN(100,BL213+IF(AND(BL213&lt;100,BL214+1&gt;=IF(OR('5-man'!$F$5=TRUE,'5-man'!$F$5="TRUE",'5-man'!$F$5="Yes"),25,50)),10,0)+IF('5-man'!BM$24=$Q$218,25,0))</f>
        <v/>
      </c>
      <c r="BN212">
        <f>MIN(100,BM213+IF(AND(BM213&lt;100,BM214+1&gt;=IF(OR('5-man'!$F$5=TRUE,'5-man'!$F$5="TRUE",'5-man'!$F$5="Yes"),25,50)),10,0)+IF('5-man'!BN$24=$Q$218,25,0))</f>
        <v/>
      </c>
      <c r="BO212">
        <f>MIN(100,BN213+IF(AND(BN213&lt;100,BN214+1&gt;=IF(OR('5-man'!$F$5=TRUE,'5-man'!$F$5="TRUE",'5-man'!$F$5="Yes"),25,50)),10,0)+IF('5-man'!BO$24=$Q$218,25,0))</f>
        <v/>
      </c>
      <c r="BP212">
        <f>MIN(100,BO213+IF(AND(BO213&lt;100,BO214+1&gt;=IF(OR('5-man'!$F$5=TRUE,'5-man'!$F$5="TRUE",'5-man'!$F$5="Yes"),25,50)),10,0)+IF('5-man'!BP$24=$Q$218,25,0))</f>
        <v/>
      </c>
      <c r="BQ212">
        <f>MIN(100,BP213+IF(AND(BP213&lt;100,BP214+1&gt;=IF(OR('5-man'!$F$5=TRUE,'5-man'!$F$5="TRUE",'5-man'!$F$5="Yes"),25,50)),10,0)+IF('5-man'!BQ$24=$Q$218,25,0))</f>
        <v/>
      </c>
      <c r="BR212">
        <f>MIN(100,BQ213+IF(AND(BQ213&lt;100,BQ214+1&gt;=IF(OR('5-man'!$F$5=TRUE,'5-man'!$F$5="TRUE",'5-man'!$F$5="Yes"),25,50)),10,0)+IF('5-man'!BR$24=$Q$218,25,0))</f>
        <v/>
      </c>
      <c r="BS212">
        <f>MIN(100,BR213+IF(AND(BR213&lt;100,BR214+1&gt;=IF(OR('5-man'!$F$5=TRUE,'5-man'!$F$5="TRUE",'5-man'!$F$5="Yes"),25,50)),10,0)+IF('5-man'!BS$24=$Q$218,25,0))</f>
        <v/>
      </c>
      <c r="BT212">
        <f>MIN(100,BS213+IF(AND(BS213&lt;100,BS214+1&gt;=IF(OR('5-man'!$F$5=TRUE,'5-man'!$F$5="TRUE",'5-man'!$F$5="Yes"),25,50)),10,0)+IF('5-man'!BT$24=$Q$218,25,0))</f>
        <v/>
      </c>
      <c r="BU212">
        <f>MIN(100,BT213+IF(AND(BT213&lt;100,BT214+1&gt;=IF(OR('5-man'!$F$5=TRUE,'5-man'!$F$5="TRUE",'5-man'!$F$5="Yes"),25,50)),10,0)+IF('5-man'!BU$24=$Q$218,25,0))</f>
        <v/>
      </c>
      <c r="BV212">
        <f>MIN(100,BU213+IF(AND(BU213&lt;100,BU214+1&gt;=IF(OR('5-man'!$F$5=TRUE,'5-man'!$F$5="TRUE",'5-man'!$F$5="Yes"),25,50)),10,0)+IF('5-man'!BV$24=$Q$218,25,0))</f>
        <v/>
      </c>
      <c r="BW212">
        <f>MIN(100,BV213+IF(AND(BV213&lt;100,BV214+1&gt;=IF(OR('5-man'!$F$5=TRUE,'5-man'!$F$5="TRUE",'5-man'!$F$5="Yes"),25,50)),10,0)+IF('5-man'!BW$24=$Q$218,25,0))</f>
        <v/>
      </c>
      <c r="BX212">
        <f>MIN(100,BW213+IF(AND(BW213&lt;100,BW214+1&gt;=IF(OR('5-man'!$F$5=TRUE,'5-man'!$F$5="TRUE",'5-man'!$F$5="Yes"),25,50)),10,0)+IF('5-man'!BX$24=$Q$218,25,0))</f>
        <v/>
      </c>
      <c r="BY212">
        <f>MIN(100,BX213+IF(AND(BX213&lt;100,BX214+1&gt;=IF(OR('5-man'!$F$5=TRUE,'5-man'!$F$5="TRUE",'5-man'!$F$5="Yes"),25,50)),10,0)+IF('5-man'!BY$24=$Q$218,25,0))</f>
        <v/>
      </c>
      <c r="BZ212">
        <f>MIN(100,BY213+IF(AND(BY213&lt;100,BY214+1&gt;=IF(OR('5-man'!$F$5=TRUE,'5-man'!$F$5="TRUE",'5-man'!$F$5="Yes"),25,50)),10,0)+IF('5-man'!BZ$24=$Q$218,25,0))</f>
        <v/>
      </c>
      <c r="CA212">
        <f>MIN(100,BZ213+IF(AND(BZ213&lt;100,BZ214+1&gt;=IF(OR('5-man'!$F$5=TRUE,'5-man'!$F$5="TRUE",'5-man'!$F$5="Yes"),25,50)),10,0)+IF('5-man'!CA$24=$Q$218,25,0))</f>
        <v/>
      </c>
      <c r="CB212">
        <f>MIN(100,CA213+IF(AND(CA213&lt;100,CA214+1&gt;=IF(OR('5-man'!$F$5=TRUE,'5-man'!$F$5="TRUE",'5-man'!$F$5="Yes"),25,50)),10,0)+IF('5-man'!CB$24=$Q$218,25,0))</f>
        <v/>
      </c>
      <c r="CC212">
        <f>MIN(100,CB213+IF(AND(CB213&lt;100,CB214+1&gt;=IF(OR('5-man'!$F$5=TRUE,'5-man'!$F$5="TRUE",'5-man'!$F$5="Yes"),25,50)),10,0)+IF('5-man'!CC$24=$Q$218,25,0))</f>
        <v/>
      </c>
      <c r="CD212">
        <f>MIN(100,CC213+IF(AND(CC213&lt;100,CC214+1&gt;=IF(OR('5-man'!$F$5=TRUE,'5-man'!$F$5="TRUE",'5-man'!$F$5="Yes"),25,50)),10,0)+IF('5-man'!CD$24=$Q$218,25,0))</f>
        <v/>
      </c>
    </row>
    <row r="213">
      <c r="A213" t="inlineStr">
        <is>
          <t>P2 spec</t>
        </is>
      </c>
      <c r="B213">
        <f>IF('5-man'!$C$5="",100,'5-man'!$C$5)</f>
        <v/>
      </c>
      <c r="C213">
        <f>IF('5-man'!C$26="R",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5-man'!D$26="R",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5-man'!E$26="R",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5-man'!F$26="R",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5-man'!G$26="R",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5-man'!H$26="R",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5-man'!I$26="R",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5-man'!J$26="R",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5-man'!K$26="R",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5-man'!L$26="R",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5-man'!M$26="R",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5-man'!N$26="R",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5-man'!O$26="R",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5-man'!P$26="R",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5-man'!Q$26="R",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5-man'!R$26="R",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5-man'!S$26="R",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5-man'!T$26="R",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5-man'!U$26="R",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5-man'!V$26="R",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5-man'!W$26="R",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5-man'!X$26="R",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5-man'!Y$26="R",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5-man'!Z$26="R",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5-man'!AA$26="R",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5-man'!AB$26="R",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5-man'!AC$26="R",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5-man'!AD$26="R",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5-man'!AE$26="R",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5-man'!AF$26="R",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5-man'!AG$26="R",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5-man'!AH$26="R",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5-man'!AI$26="R",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5-man'!AJ$26="R",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5-man'!AK$26="R",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5-man'!AL$26="R",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5-man'!AM$26="R",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5-man'!AN$26="R",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5-man'!AO$26="R",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5-man'!AP$26="R",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5-man'!AQ$26="R",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5-man'!AR$26="R",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5-man'!AS$26="R",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5-man'!AT$26="R",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5-man'!AU$26="R",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5-man'!AV$26="R",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5-man'!AW$26="R",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5-man'!AX$26="R",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5-man'!AY$26="R",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5-man'!AZ$26="R",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5-man'!BA$26="R",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5-man'!BB$26="R",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5-man'!BC$26="R",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5-man'!BD$26="R",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5-man'!BE$26="R",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5-man'!BF$26="R",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5-man'!BG$26="R",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5-man'!BH$26="R",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5-man'!BI$26="R",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5-man'!BJ$26="R",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5-man'!BK$26="R",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5-man'!BL$26="R",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5-man'!BM$26="R",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5-man'!BN$26="R",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5-man'!BO$26="R",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5-man'!BP$26="R",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5-man'!BQ$26="R",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5-man'!BR$26="R",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5-man'!BS$26="R",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5-man'!BT$26="R",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5-man'!BU$26="R",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5-man'!BV$26="R",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5-man'!BW$26="R",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5-man'!BX$26="R",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5-man'!BY$26="R",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5-man'!BZ$26="R",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5-man'!CA$26="R",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5-man'!CB$26="R",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5-man'!CC$26="R",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5-man'!CD$26="R",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IF('5-man'!C$26="R",0,IF(B213&gt;=100,0,IF(B214+1&gt;=IF(OR('5-man'!$F$5=TRUE,'5-man'!$F$5="TRUE",'5-man'!$F$5="Yes"),25,50),0,B214+1)))</f>
        <v/>
      </c>
      <c r="D214">
        <f>IF('5-man'!D$26="R",0,IF(C213&gt;=100,0,IF(C214+1&gt;=IF(OR('5-man'!$F$5=TRUE,'5-man'!$F$5="TRUE",'5-man'!$F$5="Yes"),25,50),0,C214+1)))</f>
        <v/>
      </c>
      <c r="E214">
        <f>IF('5-man'!E$26="R",0,IF(D213&gt;=100,0,IF(D214+1&gt;=IF(OR('5-man'!$F$5=TRUE,'5-man'!$F$5="TRUE",'5-man'!$F$5="Yes"),25,50),0,D214+1)))</f>
        <v/>
      </c>
      <c r="F214">
        <f>IF('5-man'!F$26="R",0,IF(E213&gt;=100,0,IF(E214+1&gt;=IF(OR('5-man'!$F$5=TRUE,'5-man'!$F$5="TRUE",'5-man'!$F$5="Yes"),25,50),0,E214+1)))</f>
        <v/>
      </c>
      <c r="G214">
        <f>IF('5-man'!G$26="R",0,IF(F213&gt;=100,0,IF(F214+1&gt;=IF(OR('5-man'!$F$5=TRUE,'5-man'!$F$5="TRUE",'5-man'!$F$5="Yes"),25,50),0,F214+1)))</f>
        <v/>
      </c>
      <c r="H214">
        <f>IF('5-man'!H$26="R",0,IF(G213&gt;=100,0,IF(G214+1&gt;=IF(OR('5-man'!$F$5=TRUE,'5-man'!$F$5="TRUE",'5-man'!$F$5="Yes"),25,50),0,G214+1)))</f>
        <v/>
      </c>
      <c r="I214">
        <f>IF('5-man'!I$26="R",0,IF(H213&gt;=100,0,IF(H214+1&gt;=IF(OR('5-man'!$F$5=TRUE,'5-man'!$F$5="TRUE",'5-man'!$F$5="Yes"),25,50),0,H214+1)))</f>
        <v/>
      </c>
      <c r="J214">
        <f>IF('5-man'!J$26="R",0,IF(I213&gt;=100,0,IF(I214+1&gt;=IF(OR('5-man'!$F$5=TRUE,'5-man'!$F$5="TRUE",'5-man'!$F$5="Yes"),25,50),0,I214+1)))</f>
        <v/>
      </c>
      <c r="K214">
        <f>IF('5-man'!K$26="R",0,IF(J213&gt;=100,0,IF(J214+1&gt;=IF(OR('5-man'!$F$5=TRUE,'5-man'!$F$5="TRUE",'5-man'!$F$5="Yes"),25,50),0,J214+1)))</f>
        <v/>
      </c>
      <c r="L214">
        <f>IF('5-man'!L$26="R",0,IF(K213&gt;=100,0,IF(K214+1&gt;=IF(OR('5-man'!$F$5=TRUE,'5-man'!$F$5="TRUE",'5-man'!$F$5="Yes"),25,50),0,K214+1)))</f>
        <v/>
      </c>
      <c r="M214">
        <f>IF('5-man'!M$26="R",0,IF(L213&gt;=100,0,IF(L214+1&gt;=IF(OR('5-man'!$F$5=TRUE,'5-man'!$F$5="TRUE",'5-man'!$F$5="Yes"),25,50),0,L214+1)))</f>
        <v/>
      </c>
      <c r="N214">
        <f>IF('5-man'!N$26="R",0,IF(M213&gt;=100,0,IF(M214+1&gt;=IF(OR('5-man'!$F$5=TRUE,'5-man'!$F$5="TRUE",'5-man'!$F$5="Yes"),25,50),0,M214+1)))</f>
        <v/>
      </c>
      <c r="O214">
        <f>IF('5-man'!O$26="R",0,IF(N213&gt;=100,0,IF(N214+1&gt;=IF(OR('5-man'!$F$5=TRUE,'5-man'!$F$5="TRUE",'5-man'!$F$5="Yes"),25,50),0,N214+1)))</f>
        <v/>
      </c>
      <c r="P214">
        <f>IF('5-man'!P$26="R",0,IF(O213&gt;=100,0,IF(O214+1&gt;=IF(OR('5-man'!$F$5=TRUE,'5-man'!$F$5="TRUE",'5-man'!$F$5="Yes"),25,50),0,O214+1)))</f>
        <v/>
      </c>
      <c r="Q214">
        <f>IF('5-man'!Q$26="R",0,IF(P213&gt;=100,0,IF(P214+1&gt;=IF(OR('5-man'!$F$5=TRUE,'5-man'!$F$5="TRUE",'5-man'!$F$5="Yes"),25,50),0,P214+1)))</f>
        <v/>
      </c>
      <c r="R214">
        <f>IF('5-man'!R$26="R",0,IF(Q213&gt;=100,0,IF(Q214+1&gt;=IF(OR('5-man'!$F$5=TRUE,'5-man'!$F$5="TRUE",'5-man'!$F$5="Yes"),25,50),0,Q214+1)))</f>
        <v/>
      </c>
      <c r="S214">
        <f>IF('5-man'!S$26="R",0,IF(R213&gt;=100,0,IF(R214+1&gt;=IF(OR('5-man'!$F$5=TRUE,'5-man'!$F$5="TRUE",'5-man'!$F$5="Yes"),25,50),0,R214+1)))</f>
        <v/>
      </c>
      <c r="T214">
        <f>IF('5-man'!T$26="R",0,IF(S213&gt;=100,0,IF(S214+1&gt;=IF(OR('5-man'!$F$5=TRUE,'5-man'!$F$5="TRUE",'5-man'!$F$5="Yes"),25,50),0,S214+1)))</f>
        <v/>
      </c>
      <c r="U214">
        <f>IF('5-man'!U$26="R",0,IF(T213&gt;=100,0,IF(T214+1&gt;=IF(OR('5-man'!$F$5=TRUE,'5-man'!$F$5="TRUE",'5-man'!$F$5="Yes"),25,50),0,T214+1)))</f>
        <v/>
      </c>
      <c r="V214">
        <f>IF('5-man'!V$26="R",0,IF(U213&gt;=100,0,IF(U214+1&gt;=IF(OR('5-man'!$F$5=TRUE,'5-man'!$F$5="TRUE",'5-man'!$F$5="Yes"),25,50),0,U214+1)))</f>
        <v/>
      </c>
      <c r="W214">
        <f>IF('5-man'!W$26="R",0,IF(V213&gt;=100,0,IF(V214+1&gt;=IF(OR('5-man'!$F$5=TRUE,'5-man'!$F$5="TRUE",'5-man'!$F$5="Yes"),25,50),0,V214+1)))</f>
        <v/>
      </c>
      <c r="X214">
        <f>IF('5-man'!X$26="R",0,IF(W213&gt;=100,0,IF(W214+1&gt;=IF(OR('5-man'!$F$5=TRUE,'5-man'!$F$5="TRUE",'5-man'!$F$5="Yes"),25,50),0,W214+1)))</f>
        <v/>
      </c>
      <c r="Y214">
        <f>IF('5-man'!Y$26="R",0,IF(X213&gt;=100,0,IF(X214+1&gt;=IF(OR('5-man'!$F$5=TRUE,'5-man'!$F$5="TRUE",'5-man'!$F$5="Yes"),25,50),0,X214+1)))</f>
        <v/>
      </c>
      <c r="Z214">
        <f>IF('5-man'!Z$26="R",0,IF(Y213&gt;=100,0,IF(Y214+1&gt;=IF(OR('5-man'!$F$5=TRUE,'5-man'!$F$5="TRUE",'5-man'!$F$5="Yes"),25,50),0,Y214+1)))</f>
        <v/>
      </c>
      <c r="AA214">
        <f>IF('5-man'!AA$26="R",0,IF(Z213&gt;=100,0,IF(Z214+1&gt;=IF(OR('5-man'!$F$5=TRUE,'5-man'!$F$5="TRUE",'5-man'!$F$5="Yes"),25,50),0,Z214+1)))</f>
        <v/>
      </c>
      <c r="AB214">
        <f>IF('5-man'!AB$26="R",0,IF(AA213&gt;=100,0,IF(AA214+1&gt;=IF(OR('5-man'!$F$5=TRUE,'5-man'!$F$5="TRUE",'5-man'!$F$5="Yes"),25,50),0,AA214+1)))</f>
        <v/>
      </c>
      <c r="AC214">
        <f>IF('5-man'!AC$26="R",0,IF(AB213&gt;=100,0,IF(AB214+1&gt;=IF(OR('5-man'!$F$5=TRUE,'5-man'!$F$5="TRUE",'5-man'!$F$5="Yes"),25,50),0,AB214+1)))</f>
        <v/>
      </c>
      <c r="AD214">
        <f>IF('5-man'!AD$26="R",0,IF(AC213&gt;=100,0,IF(AC214+1&gt;=IF(OR('5-man'!$F$5=TRUE,'5-man'!$F$5="TRUE",'5-man'!$F$5="Yes"),25,50),0,AC214+1)))</f>
        <v/>
      </c>
      <c r="AE214">
        <f>IF('5-man'!AE$26="R",0,IF(AD213&gt;=100,0,IF(AD214+1&gt;=IF(OR('5-man'!$F$5=TRUE,'5-man'!$F$5="TRUE",'5-man'!$F$5="Yes"),25,50),0,AD214+1)))</f>
        <v/>
      </c>
      <c r="AF214">
        <f>IF('5-man'!AF$26="R",0,IF(AE213&gt;=100,0,IF(AE214+1&gt;=IF(OR('5-man'!$F$5=TRUE,'5-man'!$F$5="TRUE",'5-man'!$F$5="Yes"),25,50),0,AE214+1)))</f>
        <v/>
      </c>
      <c r="AG214">
        <f>IF('5-man'!AG$26="R",0,IF(AF213&gt;=100,0,IF(AF214+1&gt;=IF(OR('5-man'!$F$5=TRUE,'5-man'!$F$5="TRUE",'5-man'!$F$5="Yes"),25,50),0,AF214+1)))</f>
        <v/>
      </c>
      <c r="AH214">
        <f>IF('5-man'!AH$26="R",0,IF(AG213&gt;=100,0,IF(AG214+1&gt;=IF(OR('5-man'!$F$5=TRUE,'5-man'!$F$5="TRUE",'5-man'!$F$5="Yes"),25,50),0,AG214+1)))</f>
        <v/>
      </c>
      <c r="AI214">
        <f>IF('5-man'!AI$26="R",0,IF(AH213&gt;=100,0,IF(AH214+1&gt;=IF(OR('5-man'!$F$5=TRUE,'5-man'!$F$5="TRUE",'5-man'!$F$5="Yes"),25,50),0,AH214+1)))</f>
        <v/>
      </c>
      <c r="AJ214">
        <f>IF('5-man'!AJ$26="R",0,IF(AI213&gt;=100,0,IF(AI214+1&gt;=IF(OR('5-man'!$F$5=TRUE,'5-man'!$F$5="TRUE",'5-man'!$F$5="Yes"),25,50),0,AI214+1)))</f>
        <v/>
      </c>
      <c r="AK214">
        <f>IF('5-man'!AK$26="R",0,IF(AJ213&gt;=100,0,IF(AJ214+1&gt;=IF(OR('5-man'!$F$5=TRUE,'5-man'!$F$5="TRUE",'5-man'!$F$5="Yes"),25,50),0,AJ214+1)))</f>
        <v/>
      </c>
      <c r="AL214">
        <f>IF('5-man'!AL$26="R",0,IF(AK213&gt;=100,0,IF(AK214+1&gt;=IF(OR('5-man'!$F$5=TRUE,'5-man'!$F$5="TRUE",'5-man'!$F$5="Yes"),25,50),0,AK214+1)))</f>
        <v/>
      </c>
      <c r="AM214">
        <f>IF('5-man'!AM$26="R",0,IF(AL213&gt;=100,0,IF(AL214+1&gt;=IF(OR('5-man'!$F$5=TRUE,'5-man'!$F$5="TRUE",'5-man'!$F$5="Yes"),25,50),0,AL214+1)))</f>
        <v/>
      </c>
      <c r="AN214">
        <f>IF('5-man'!AN$26="R",0,IF(AM213&gt;=100,0,IF(AM214+1&gt;=IF(OR('5-man'!$F$5=TRUE,'5-man'!$F$5="TRUE",'5-man'!$F$5="Yes"),25,50),0,AM214+1)))</f>
        <v/>
      </c>
      <c r="AO214">
        <f>IF('5-man'!AO$26="R",0,IF(AN213&gt;=100,0,IF(AN214+1&gt;=IF(OR('5-man'!$F$5=TRUE,'5-man'!$F$5="TRUE",'5-man'!$F$5="Yes"),25,50),0,AN214+1)))</f>
        <v/>
      </c>
      <c r="AP214">
        <f>IF('5-man'!AP$26="R",0,IF(AO213&gt;=100,0,IF(AO214+1&gt;=IF(OR('5-man'!$F$5=TRUE,'5-man'!$F$5="TRUE",'5-man'!$F$5="Yes"),25,50),0,AO214+1)))</f>
        <v/>
      </c>
      <c r="AQ214">
        <f>IF('5-man'!AQ$26="R",0,IF(AP213&gt;=100,0,IF(AP214+1&gt;=IF(OR('5-man'!$F$5=TRUE,'5-man'!$F$5="TRUE",'5-man'!$F$5="Yes"),25,50),0,AP214+1)))</f>
        <v/>
      </c>
      <c r="AR214">
        <f>IF('5-man'!AR$26="R",0,IF(AQ213&gt;=100,0,IF(AQ214+1&gt;=IF(OR('5-man'!$F$5=TRUE,'5-man'!$F$5="TRUE",'5-man'!$F$5="Yes"),25,50),0,AQ214+1)))</f>
        <v/>
      </c>
      <c r="AS214">
        <f>IF('5-man'!AS$26="R",0,IF(AR213&gt;=100,0,IF(AR214+1&gt;=IF(OR('5-man'!$F$5=TRUE,'5-man'!$F$5="TRUE",'5-man'!$F$5="Yes"),25,50),0,AR214+1)))</f>
        <v/>
      </c>
      <c r="AT214">
        <f>IF('5-man'!AT$26="R",0,IF(AS213&gt;=100,0,IF(AS214+1&gt;=IF(OR('5-man'!$F$5=TRUE,'5-man'!$F$5="TRUE",'5-man'!$F$5="Yes"),25,50),0,AS214+1)))</f>
        <v/>
      </c>
      <c r="AU214">
        <f>IF('5-man'!AU$26="R",0,IF(AT213&gt;=100,0,IF(AT214+1&gt;=IF(OR('5-man'!$F$5=TRUE,'5-man'!$F$5="TRUE",'5-man'!$F$5="Yes"),25,50),0,AT214+1)))</f>
        <v/>
      </c>
      <c r="AV214">
        <f>IF('5-man'!AV$26="R",0,IF(AU213&gt;=100,0,IF(AU214+1&gt;=IF(OR('5-man'!$F$5=TRUE,'5-man'!$F$5="TRUE",'5-man'!$F$5="Yes"),25,50),0,AU214+1)))</f>
        <v/>
      </c>
      <c r="AW214">
        <f>IF('5-man'!AW$26="R",0,IF(AV213&gt;=100,0,IF(AV214+1&gt;=IF(OR('5-man'!$F$5=TRUE,'5-man'!$F$5="TRUE",'5-man'!$F$5="Yes"),25,50),0,AV214+1)))</f>
        <v/>
      </c>
      <c r="AX214">
        <f>IF('5-man'!AX$26="R",0,IF(AW213&gt;=100,0,IF(AW214+1&gt;=IF(OR('5-man'!$F$5=TRUE,'5-man'!$F$5="TRUE",'5-man'!$F$5="Yes"),25,50),0,AW214+1)))</f>
        <v/>
      </c>
      <c r="AY214">
        <f>IF('5-man'!AY$26="R",0,IF(AX213&gt;=100,0,IF(AX214+1&gt;=IF(OR('5-man'!$F$5=TRUE,'5-man'!$F$5="TRUE",'5-man'!$F$5="Yes"),25,50),0,AX214+1)))</f>
        <v/>
      </c>
      <c r="AZ214">
        <f>IF('5-man'!AZ$26="R",0,IF(AY213&gt;=100,0,IF(AY214+1&gt;=IF(OR('5-man'!$F$5=TRUE,'5-man'!$F$5="TRUE",'5-man'!$F$5="Yes"),25,50),0,AY214+1)))</f>
        <v/>
      </c>
      <c r="BA214">
        <f>IF('5-man'!BA$26="R",0,IF(AZ213&gt;=100,0,IF(AZ214+1&gt;=IF(OR('5-man'!$F$5=TRUE,'5-man'!$F$5="TRUE",'5-man'!$F$5="Yes"),25,50),0,AZ214+1)))</f>
        <v/>
      </c>
      <c r="BB214">
        <f>IF('5-man'!BB$26="R",0,IF(BA213&gt;=100,0,IF(BA214+1&gt;=IF(OR('5-man'!$F$5=TRUE,'5-man'!$F$5="TRUE",'5-man'!$F$5="Yes"),25,50),0,BA214+1)))</f>
        <v/>
      </c>
      <c r="BC214">
        <f>IF('5-man'!BC$26="R",0,IF(BB213&gt;=100,0,IF(BB214+1&gt;=IF(OR('5-man'!$F$5=TRUE,'5-man'!$F$5="TRUE",'5-man'!$F$5="Yes"),25,50),0,BB214+1)))</f>
        <v/>
      </c>
      <c r="BD214">
        <f>IF('5-man'!BD$26="R",0,IF(BC213&gt;=100,0,IF(BC214+1&gt;=IF(OR('5-man'!$F$5=TRUE,'5-man'!$F$5="TRUE",'5-man'!$F$5="Yes"),25,50),0,BC214+1)))</f>
        <v/>
      </c>
      <c r="BE214">
        <f>IF('5-man'!BE$26="R",0,IF(BD213&gt;=100,0,IF(BD214+1&gt;=IF(OR('5-man'!$F$5=TRUE,'5-man'!$F$5="TRUE",'5-man'!$F$5="Yes"),25,50),0,BD214+1)))</f>
        <v/>
      </c>
      <c r="BF214">
        <f>IF('5-man'!BF$26="R",0,IF(BE213&gt;=100,0,IF(BE214+1&gt;=IF(OR('5-man'!$F$5=TRUE,'5-man'!$F$5="TRUE",'5-man'!$F$5="Yes"),25,50),0,BE214+1)))</f>
        <v/>
      </c>
      <c r="BG214">
        <f>IF('5-man'!BG$26="R",0,IF(BF213&gt;=100,0,IF(BF214+1&gt;=IF(OR('5-man'!$F$5=TRUE,'5-man'!$F$5="TRUE",'5-man'!$F$5="Yes"),25,50),0,BF214+1)))</f>
        <v/>
      </c>
      <c r="BH214">
        <f>IF('5-man'!BH$26="R",0,IF(BG213&gt;=100,0,IF(BG214+1&gt;=IF(OR('5-man'!$F$5=TRUE,'5-man'!$F$5="TRUE",'5-man'!$F$5="Yes"),25,50),0,BG214+1)))</f>
        <v/>
      </c>
      <c r="BI214">
        <f>IF('5-man'!BI$26="R",0,IF(BH213&gt;=100,0,IF(BH214+1&gt;=IF(OR('5-man'!$F$5=TRUE,'5-man'!$F$5="TRUE",'5-man'!$F$5="Yes"),25,50),0,BH214+1)))</f>
        <v/>
      </c>
      <c r="BJ214">
        <f>IF('5-man'!BJ$26="R",0,IF(BI213&gt;=100,0,IF(BI214+1&gt;=IF(OR('5-man'!$F$5=TRUE,'5-man'!$F$5="TRUE",'5-man'!$F$5="Yes"),25,50),0,BI214+1)))</f>
        <v/>
      </c>
      <c r="BK214">
        <f>IF('5-man'!BK$26="R",0,IF(BJ213&gt;=100,0,IF(BJ214+1&gt;=IF(OR('5-man'!$F$5=TRUE,'5-man'!$F$5="TRUE",'5-man'!$F$5="Yes"),25,50),0,BJ214+1)))</f>
        <v/>
      </c>
      <c r="BL214">
        <f>IF('5-man'!BL$26="R",0,IF(BK213&gt;=100,0,IF(BK214+1&gt;=IF(OR('5-man'!$F$5=TRUE,'5-man'!$F$5="TRUE",'5-man'!$F$5="Yes"),25,50),0,BK214+1)))</f>
        <v/>
      </c>
      <c r="BM214">
        <f>IF('5-man'!BM$26="R",0,IF(BL213&gt;=100,0,IF(BL214+1&gt;=IF(OR('5-man'!$F$5=TRUE,'5-man'!$F$5="TRUE",'5-man'!$F$5="Yes"),25,50),0,BL214+1)))</f>
        <v/>
      </c>
      <c r="BN214">
        <f>IF('5-man'!BN$26="R",0,IF(BM213&gt;=100,0,IF(BM214+1&gt;=IF(OR('5-man'!$F$5=TRUE,'5-man'!$F$5="TRUE",'5-man'!$F$5="Yes"),25,50),0,BM214+1)))</f>
        <v/>
      </c>
      <c r="BO214">
        <f>IF('5-man'!BO$26="R",0,IF(BN213&gt;=100,0,IF(BN214+1&gt;=IF(OR('5-man'!$F$5=TRUE,'5-man'!$F$5="TRUE",'5-man'!$F$5="Yes"),25,50),0,BN214+1)))</f>
        <v/>
      </c>
      <c r="BP214">
        <f>IF('5-man'!BP$26="R",0,IF(BO213&gt;=100,0,IF(BO214+1&gt;=IF(OR('5-man'!$F$5=TRUE,'5-man'!$F$5="TRUE",'5-man'!$F$5="Yes"),25,50),0,BO214+1)))</f>
        <v/>
      </c>
      <c r="BQ214">
        <f>IF('5-man'!BQ$26="R",0,IF(BP213&gt;=100,0,IF(BP214+1&gt;=IF(OR('5-man'!$F$5=TRUE,'5-man'!$F$5="TRUE",'5-man'!$F$5="Yes"),25,50),0,BP214+1)))</f>
        <v/>
      </c>
      <c r="BR214">
        <f>IF('5-man'!BR$26="R",0,IF(BQ213&gt;=100,0,IF(BQ214+1&gt;=IF(OR('5-man'!$F$5=TRUE,'5-man'!$F$5="TRUE",'5-man'!$F$5="Yes"),25,50),0,BQ214+1)))</f>
        <v/>
      </c>
      <c r="BS214">
        <f>IF('5-man'!BS$26="R",0,IF(BR213&gt;=100,0,IF(BR214+1&gt;=IF(OR('5-man'!$F$5=TRUE,'5-man'!$F$5="TRUE",'5-man'!$F$5="Yes"),25,50),0,BR214+1)))</f>
        <v/>
      </c>
      <c r="BT214">
        <f>IF('5-man'!BT$26="R",0,IF(BS213&gt;=100,0,IF(BS214+1&gt;=IF(OR('5-man'!$F$5=TRUE,'5-man'!$F$5="TRUE",'5-man'!$F$5="Yes"),25,50),0,BS214+1)))</f>
        <v/>
      </c>
      <c r="BU214">
        <f>IF('5-man'!BU$26="R",0,IF(BT213&gt;=100,0,IF(BT214+1&gt;=IF(OR('5-man'!$F$5=TRUE,'5-man'!$F$5="TRUE",'5-man'!$F$5="Yes"),25,50),0,BT214+1)))</f>
        <v/>
      </c>
      <c r="BV214">
        <f>IF('5-man'!BV$26="R",0,IF(BU213&gt;=100,0,IF(BU214+1&gt;=IF(OR('5-man'!$F$5=TRUE,'5-man'!$F$5="TRUE",'5-man'!$F$5="Yes"),25,50),0,BU214+1)))</f>
        <v/>
      </c>
      <c r="BW214">
        <f>IF('5-man'!BW$26="R",0,IF(BV213&gt;=100,0,IF(BV214+1&gt;=IF(OR('5-man'!$F$5=TRUE,'5-man'!$F$5="TRUE",'5-man'!$F$5="Yes"),25,50),0,BV214+1)))</f>
        <v/>
      </c>
      <c r="BX214">
        <f>IF('5-man'!BX$26="R",0,IF(BW213&gt;=100,0,IF(BW214+1&gt;=IF(OR('5-man'!$F$5=TRUE,'5-man'!$F$5="TRUE",'5-man'!$F$5="Yes"),25,50),0,BW214+1)))</f>
        <v/>
      </c>
      <c r="BY214">
        <f>IF('5-man'!BY$26="R",0,IF(BX213&gt;=100,0,IF(BX214+1&gt;=IF(OR('5-man'!$F$5=TRUE,'5-man'!$F$5="TRUE",'5-man'!$F$5="Yes"),25,50),0,BX214+1)))</f>
        <v/>
      </c>
      <c r="BZ214">
        <f>IF('5-man'!BZ$26="R",0,IF(BY213&gt;=100,0,IF(BY214+1&gt;=IF(OR('5-man'!$F$5=TRUE,'5-man'!$F$5="TRUE",'5-man'!$F$5="Yes"),25,50),0,BY214+1)))</f>
        <v/>
      </c>
      <c r="CA214">
        <f>IF('5-man'!CA$26="R",0,IF(BZ213&gt;=100,0,IF(BZ214+1&gt;=IF(OR('5-man'!$F$5=TRUE,'5-man'!$F$5="TRUE",'5-man'!$F$5="Yes"),25,50),0,BZ214+1)))</f>
        <v/>
      </c>
      <c r="CB214">
        <f>IF('5-man'!CB$26="R",0,IF(CA213&gt;=100,0,IF(CA214+1&gt;=IF(OR('5-man'!$F$5=TRUE,'5-man'!$F$5="TRUE",'5-man'!$F$5="Yes"),25,50),0,CA214+1)))</f>
        <v/>
      </c>
      <c r="CC214">
        <f>IF('5-man'!CC$26="R",0,IF(CB213&gt;=100,0,IF(CB214+1&gt;=IF(OR('5-man'!$F$5=TRUE,'5-man'!$F$5="TRUE",'5-man'!$F$5="Yes"),25,50),0,CB214+1)))</f>
        <v/>
      </c>
      <c r="CD214">
        <f>IF('5-man'!CD$26="R",0,IF(CC213&gt;=100,0,IF(CC214+1&gt;=IF(OR('5-man'!$F$5=TRUE,'5-man'!$F$5="TRUE",'5-man'!$F$5="Yes"),25,50),0,CC214+1)))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row>
    <row r="219">
      <c r="A219" t="inlineStr">
        <is>
          <t>P2 act</t>
        </is>
      </c>
      <c r="C219">
        <f>IF(OR('5-man'!C$26="P",'5-man'!C$26="R",AND('5-man'!C$24&lt;=IF('5-man'!$BF$4="",999,'5-man'!$BF$4),OR('5-man'!C$26="D",LEFT('5-man'!C$26,3)="ST&gt;",OR(AND('5-man'!C$25="ST&gt;2",C204&gt;=100),AND('5-man'!C$27="ST&gt;2",C220&gt;=100),AND('5-man'!C$28="ST&gt;2",C228&gt;=100),AND('5-man'!C$29="ST&gt;2",C236&gt;=100))))),'5-man'!C$24,0)</f>
        <v/>
      </c>
      <c r="D219">
        <f>IF(OR('5-man'!D$26="P",'5-man'!D$26="R",AND('5-man'!D$24&lt;=IF('5-man'!$BF$4="",999,'5-man'!$BF$4),OR('5-man'!D$26="D",LEFT('5-man'!D$26,3)="ST&gt;",OR(AND('5-man'!D$25="ST&gt;2",D204&gt;=100),AND('5-man'!D$27="ST&gt;2",D220&gt;=100),AND('5-man'!D$28="ST&gt;2",D228&gt;=100),AND('5-man'!D$29="ST&gt;2",D236&gt;=100))))),'5-man'!D$24,0)</f>
        <v/>
      </c>
      <c r="E219">
        <f>IF(OR('5-man'!E$26="P",'5-man'!E$26="R",AND('5-man'!E$24&lt;=IF('5-man'!$BF$4="",999,'5-man'!$BF$4),OR('5-man'!E$26="D",LEFT('5-man'!E$26,3)="ST&gt;",OR(AND('5-man'!E$25="ST&gt;2",E204&gt;=100),AND('5-man'!E$27="ST&gt;2",E220&gt;=100),AND('5-man'!E$28="ST&gt;2",E228&gt;=100),AND('5-man'!E$29="ST&gt;2",E236&gt;=100))))),'5-man'!E$24,0)</f>
        <v/>
      </c>
      <c r="F219">
        <f>IF(OR('5-man'!F$26="P",'5-man'!F$26="R",AND('5-man'!F$24&lt;=IF('5-man'!$BF$4="",999,'5-man'!$BF$4),OR('5-man'!F$26="D",LEFT('5-man'!F$26,3)="ST&gt;",OR(AND('5-man'!F$25="ST&gt;2",F204&gt;=100),AND('5-man'!F$27="ST&gt;2",F220&gt;=100),AND('5-man'!F$28="ST&gt;2",F228&gt;=100),AND('5-man'!F$29="ST&gt;2",F236&gt;=100))))),'5-man'!F$24,0)</f>
        <v/>
      </c>
      <c r="G219">
        <f>IF(OR('5-man'!G$26="P",'5-man'!G$26="R",AND('5-man'!G$24&lt;=IF('5-man'!$BF$4="",999,'5-man'!$BF$4),OR('5-man'!G$26="D",LEFT('5-man'!G$26,3)="ST&gt;",OR(AND('5-man'!G$25="ST&gt;2",G204&gt;=100),AND('5-man'!G$27="ST&gt;2",G220&gt;=100),AND('5-man'!G$28="ST&gt;2",G228&gt;=100),AND('5-man'!G$29="ST&gt;2",G236&gt;=100))))),'5-man'!G$24,0)</f>
        <v/>
      </c>
      <c r="H219">
        <f>IF(OR('5-man'!H$26="P",'5-man'!H$26="R",AND('5-man'!H$24&lt;=IF('5-man'!$BF$4="",999,'5-man'!$BF$4),OR('5-man'!H$26="D",LEFT('5-man'!H$26,3)="ST&gt;",OR(AND('5-man'!H$25="ST&gt;2",H204&gt;=100),AND('5-man'!H$27="ST&gt;2",H220&gt;=100),AND('5-man'!H$28="ST&gt;2",H228&gt;=100),AND('5-man'!H$29="ST&gt;2",H236&gt;=100))))),'5-man'!H$24,0)</f>
        <v/>
      </c>
      <c r="I219">
        <f>IF(OR('5-man'!I$26="P",'5-man'!I$26="R",AND('5-man'!I$24&lt;=IF('5-man'!$BF$4="",999,'5-man'!$BF$4),OR('5-man'!I$26="D",LEFT('5-man'!I$26,3)="ST&gt;",OR(AND('5-man'!I$25="ST&gt;2",I204&gt;=100),AND('5-man'!I$27="ST&gt;2",I220&gt;=100),AND('5-man'!I$28="ST&gt;2",I228&gt;=100),AND('5-man'!I$29="ST&gt;2",I236&gt;=100))))),'5-man'!I$24,0)</f>
        <v/>
      </c>
      <c r="J219">
        <f>IF(OR('5-man'!J$26="P",'5-man'!J$26="R",AND('5-man'!J$24&lt;=IF('5-man'!$BF$4="",999,'5-man'!$BF$4),OR('5-man'!J$26="D",LEFT('5-man'!J$26,3)="ST&gt;",OR(AND('5-man'!J$25="ST&gt;2",J204&gt;=100),AND('5-man'!J$27="ST&gt;2",J220&gt;=100),AND('5-man'!J$28="ST&gt;2",J228&gt;=100),AND('5-man'!J$29="ST&gt;2",J236&gt;=100))))),'5-man'!J$24,0)</f>
        <v/>
      </c>
      <c r="K219">
        <f>IF(OR('5-man'!K$26="P",'5-man'!K$26="R",AND('5-man'!K$24&lt;=IF('5-man'!$BF$4="",999,'5-man'!$BF$4),OR('5-man'!K$26="D",LEFT('5-man'!K$26,3)="ST&gt;",OR(AND('5-man'!K$25="ST&gt;2",K204&gt;=100),AND('5-man'!K$27="ST&gt;2",K220&gt;=100),AND('5-man'!K$28="ST&gt;2",K228&gt;=100),AND('5-man'!K$29="ST&gt;2",K236&gt;=100))))),'5-man'!K$24,0)</f>
        <v/>
      </c>
      <c r="L219">
        <f>IF(OR('5-man'!L$26="P",'5-man'!L$26="R",AND('5-man'!L$24&lt;=IF('5-man'!$BF$4="",999,'5-man'!$BF$4),OR('5-man'!L$26="D",LEFT('5-man'!L$26,3)="ST&gt;",OR(AND('5-man'!L$25="ST&gt;2",L204&gt;=100),AND('5-man'!L$27="ST&gt;2",L220&gt;=100),AND('5-man'!L$28="ST&gt;2",L228&gt;=100),AND('5-man'!L$29="ST&gt;2",L236&gt;=100))))),'5-man'!L$24,0)</f>
        <v/>
      </c>
      <c r="M219">
        <f>IF(OR('5-man'!M$26="P",'5-man'!M$26="R",AND('5-man'!M$24&lt;=IF('5-man'!$BF$4="",999,'5-man'!$BF$4),OR('5-man'!M$26="D",LEFT('5-man'!M$26,3)="ST&gt;",OR(AND('5-man'!M$25="ST&gt;2",M204&gt;=100),AND('5-man'!M$27="ST&gt;2",M220&gt;=100),AND('5-man'!M$28="ST&gt;2",M228&gt;=100),AND('5-man'!M$29="ST&gt;2",M236&gt;=100))))),'5-man'!M$24,0)</f>
        <v/>
      </c>
      <c r="N219">
        <f>IF(OR('5-man'!N$26="P",'5-man'!N$26="R",AND('5-man'!N$24&lt;=IF('5-man'!$BF$4="",999,'5-man'!$BF$4),OR('5-man'!N$26="D",LEFT('5-man'!N$26,3)="ST&gt;",OR(AND('5-man'!N$25="ST&gt;2",N204&gt;=100),AND('5-man'!N$27="ST&gt;2",N220&gt;=100),AND('5-man'!N$28="ST&gt;2",N228&gt;=100),AND('5-man'!N$29="ST&gt;2",N236&gt;=100))))),'5-man'!N$24,0)</f>
        <v/>
      </c>
      <c r="O219">
        <f>IF(OR('5-man'!O$26="P",'5-man'!O$26="R",AND('5-man'!O$24&lt;=IF('5-man'!$BF$4="",999,'5-man'!$BF$4),OR('5-man'!O$26="D",LEFT('5-man'!O$26,3)="ST&gt;",OR(AND('5-man'!O$25="ST&gt;2",O204&gt;=100),AND('5-man'!O$27="ST&gt;2",O220&gt;=100),AND('5-man'!O$28="ST&gt;2",O228&gt;=100),AND('5-man'!O$29="ST&gt;2",O236&gt;=100))))),'5-man'!O$24,0)</f>
        <v/>
      </c>
      <c r="P219">
        <f>IF(OR('5-man'!P$26="P",'5-man'!P$26="R",AND('5-man'!P$24&lt;=IF('5-man'!$BF$4="",999,'5-man'!$BF$4),OR('5-man'!P$26="D",LEFT('5-man'!P$26,3)="ST&gt;",OR(AND('5-man'!P$25="ST&gt;2",P204&gt;=100),AND('5-man'!P$27="ST&gt;2",P220&gt;=100),AND('5-man'!P$28="ST&gt;2",P228&gt;=100),AND('5-man'!P$29="ST&gt;2",P236&gt;=100))))),'5-man'!P$24,0)</f>
        <v/>
      </c>
      <c r="Q219">
        <f>IF(OR('5-man'!Q$26="P",'5-man'!Q$26="R",AND('5-man'!Q$24&lt;=IF('5-man'!$BF$4="",999,'5-man'!$BF$4),OR('5-man'!Q$26="D",LEFT('5-man'!Q$26,3)="ST&gt;",OR(AND('5-man'!Q$25="ST&gt;2",Q204&gt;=100),AND('5-man'!Q$27="ST&gt;2",Q220&gt;=100),AND('5-man'!Q$28="ST&gt;2",Q228&gt;=100),AND('5-man'!Q$29="ST&gt;2",Q236&gt;=100))))),'5-man'!Q$24,0)</f>
        <v/>
      </c>
      <c r="R219">
        <f>IF(OR('5-man'!R$26="P",'5-man'!R$26="R",AND('5-man'!R$24&lt;=IF('5-man'!$BF$4="",999,'5-man'!$BF$4),OR('5-man'!R$26="D",LEFT('5-man'!R$26,3)="ST&gt;",OR(AND('5-man'!R$25="ST&gt;2",R204&gt;=100),AND('5-man'!R$27="ST&gt;2",R220&gt;=100),AND('5-man'!R$28="ST&gt;2",R228&gt;=100),AND('5-man'!R$29="ST&gt;2",R236&gt;=100))))),'5-man'!R$24,0)</f>
        <v/>
      </c>
      <c r="S219">
        <f>IF(OR('5-man'!S$26="P",'5-man'!S$26="R",AND('5-man'!S$24&lt;=IF('5-man'!$BF$4="",999,'5-man'!$BF$4),OR('5-man'!S$26="D",LEFT('5-man'!S$26,3)="ST&gt;",OR(AND('5-man'!S$25="ST&gt;2",S204&gt;=100),AND('5-man'!S$27="ST&gt;2",S220&gt;=100),AND('5-man'!S$28="ST&gt;2",S228&gt;=100),AND('5-man'!S$29="ST&gt;2",S236&gt;=100))))),'5-man'!S$24,0)</f>
        <v/>
      </c>
      <c r="T219">
        <f>IF(OR('5-man'!T$26="P",'5-man'!T$26="R",AND('5-man'!T$24&lt;=IF('5-man'!$BF$4="",999,'5-man'!$BF$4),OR('5-man'!T$26="D",LEFT('5-man'!T$26,3)="ST&gt;",OR(AND('5-man'!T$25="ST&gt;2",T204&gt;=100),AND('5-man'!T$27="ST&gt;2",T220&gt;=100),AND('5-man'!T$28="ST&gt;2",T228&gt;=100),AND('5-man'!T$29="ST&gt;2",T236&gt;=100))))),'5-man'!T$24,0)</f>
        <v/>
      </c>
      <c r="U219">
        <f>IF(OR('5-man'!U$26="P",'5-man'!U$26="R",AND('5-man'!U$24&lt;=IF('5-man'!$BF$4="",999,'5-man'!$BF$4),OR('5-man'!U$26="D",LEFT('5-man'!U$26,3)="ST&gt;",OR(AND('5-man'!U$25="ST&gt;2",U204&gt;=100),AND('5-man'!U$27="ST&gt;2",U220&gt;=100),AND('5-man'!U$28="ST&gt;2",U228&gt;=100),AND('5-man'!U$29="ST&gt;2",U236&gt;=100))))),'5-man'!U$24,0)</f>
        <v/>
      </c>
      <c r="V219">
        <f>IF(OR('5-man'!V$26="P",'5-man'!V$26="R",AND('5-man'!V$24&lt;=IF('5-man'!$BF$4="",999,'5-man'!$BF$4),OR('5-man'!V$26="D",LEFT('5-man'!V$26,3)="ST&gt;",OR(AND('5-man'!V$25="ST&gt;2",V204&gt;=100),AND('5-man'!V$27="ST&gt;2",V220&gt;=100),AND('5-man'!V$28="ST&gt;2",V228&gt;=100),AND('5-man'!V$29="ST&gt;2",V236&gt;=100))))),'5-man'!V$24,0)</f>
        <v/>
      </c>
      <c r="W219">
        <f>IF(OR('5-man'!W$26="P",'5-man'!W$26="R",AND('5-man'!W$24&lt;=IF('5-man'!$BF$4="",999,'5-man'!$BF$4),OR('5-man'!W$26="D",LEFT('5-man'!W$26,3)="ST&gt;",OR(AND('5-man'!W$25="ST&gt;2",W204&gt;=100),AND('5-man'!W$27="ST&gt;2",W220&gt;=100),AND('5-man'!W$28="ST&gt;2",W228&gt;=100),AND('5-man'!W$29="ST&gt;2",W236&gt;=100))))),'5-man'!W$24,0)</f>
        <v/>
      </c>
      <c r="X219">
        <f>IF(OR('5-man'!X$26="P",'5-man'!X$26="R",AND('5-man'!X$24&lt;=IF('5-man'!$BF$4="",999,'5-man'!$BF$4),OR('5-man'!X$26="D",LEFT('5-man'!X$26,3)="ST&gt;",OR(AND('5-man'!X$25="ST&gt;2",X204&gt;=100),AND('5-man'!X$27="ST&gt;2",X220&gt;=100),AND('5-man'!X$28="ST&gt;2",X228&gt;=100),AND('5-man'!X$29="ST&gt;2",X236&gt;=100))))),'5-man'!X$24,0)</f>
        <v/>
      </c>
      <c r="Y219">
        <f>IF(OR('5-man'!Y$26="P",'5-man'!Y$26="R",AND('5-man'!Y$24&lt;=IF('5-man'!$BF$4="",999,'5-man'!$BF$4),OR('5-man'!Y$26="D",LEFT('5-man'!Y$26,3)="ST&gt;",OR(AND('5-man'!Y$25="ST&gt;2",Y204&gt;=100),AND('5-man'!Y$27="ST&gt;2",Y220&gt;=100),AND('5-man'!Y$28="ST&gt;2",Y228&gt;=100),AND('5-man'!Y$29="ST&gt;2",Y236&gt;=100))))),'5-man'!Y$24,0)</f>
        <v/>
      </c>
      <c r="Z219">
        <f>IF(OR('5-man'!Z$26="P",'5-man'!Z$26="R",AND('5-man'!Z$24&lt;=IF('5-man'!$BF$4="",999,'5-man'!$BF$4),OR('5-man'!Z$26="D",LEFT('5-man'!Z$26,3)="ST&gt;",OR(AND('5-man'!Z$25="ST&gt;2",Z204&gt;=100),AND('5-man'!Z$27="ST&gt;2",Z220&gt;=100),AND('5-man'!Z$28="ST&gt;2",Z228&gt;=100),AND('5-man'!Z$29="ST&gt;2",Z236&gt;=100))))),'5-man'!Z$24,0)</f>
        <v/>
      </c>
      <c r="AA219">
        <f>IF(OR('5-man'!AA$26="P",'5-man'!AA$26="R",AND('5-man'!AA$24&lt;=IF('5-man'!$BF$4="",999,'5-man'!$BF$4),OR('5-man'!AA$26="D",LEFT('5-man'!AA$26,3)="ST&gt;",OR(AND('5-man'!AA$25="ST&gt;2",AA204&gt;=100),AND('5-man'!AA$27="ST&gt;2",AA220&gt;=100),AND('5-man'!AA$28="ST&gt;2",AA228&gt;=100),AND('5-man'!AA$29="ST&gt;2",AA236&gt;=100))))),'5-man'!AA$24,0)</f>
        <v/>
      </c>
      <c r="AB219">
        <f>IF(OR('5-man'!AB$26="P",'5-man'!AB$26="R",AND('5-man'!AB$24&lt;=IF('5-man'!$BF$4="",999,'5-man'!$BF$4),OR('5-man'!AB$26="D",LEFT('5-man'!AB$26,3)="ST&gt;",OR(AND('5-man'!AB$25="ST&gt;2",AB204&gt;=100),AND('5-man'!AB$27="ST&gt;2",AB220&gt;=100),AND('5-man'!AB$28="ST&gt;2",AB228&gt;=100),AND('5-man'!AB$29="ST&gt;2",AB236&gt;=100))))),'5-man'!AB$24,0)</f>
        <v/>
      </c>
      <c r="AC219">
        <f>IF(OR('5-man'!AC$26="P",'5-man'!AC$26="R",AND('5-man'!AC$24&lt;=IF('5-man'!$BF$4="",999,'5-man'!$BF$4),OR('5-man'!AC$26="D",LEFT('5-man'!AC$26,3)="ST&gt;",OR(AND('5-man'!AC$25="ST&gt;2",AC204&gt;=100),AND('5-man'!AC$27="ST&gt;2",AC220&gt;=100),AND('5-man'!AC$28="ST&gt;2",AC228&gt;=100),AND('5-man'!AC$29="ST&gt;2",AC236&gt;=100))))),'5-man'!AC$24,0)</f>
        <v/>
      </c>
      <c r="AD219">
        <f>IF(OR('5-man'!AD$26="P",'5-man'!AD$26="R",AND('5-man'!AD$24&lt;=IF('5-man'!$BF$4="",999,'5-man'!$BF$4),OR('5-man'!AD$26="D",LEFT('5-man'!AD$26,3)="ST&gt;",OR(AND('5-man'!AD$25="ST&gt;2",AD204&gt;=100),AND('5-man'!AD$27="ST&gt;2",AD220&gt;=100),AND('5-man'!AD$28="ST&gt;2",AD228&gt;=100),AND('5-man'!AD$29="ST&gt;2",AD236&gt;=100))))),'5-man'!AD$24,0)</f>
        <v/>
      </c>
      <c r="AE219">
        <f>IF(OR('5-man'!AE$26="P",'5-man'!AE$26="R",AND('5-man'!AE$24&lt;=IF('5-man'!$BF$4="",999,'5-man'!$BF$4),OR('5-man'!AE$26="D",LEFT('5-man'!AE$26,3)="ST&gt;",OR(AND('5-man'!AE$25="ST&gt;2",AE204&gt;=100),AND('5-man'!AE$27="ST&gt;2",AE220&gt;=100),AND('5-man'!AE$28="ST&gt;2",AE228&gt;=100),AND('5-man'!AE$29="ST&gt;2",AE236&gt;=100))))),'5-man'!AE$24,0)</f>
        <v/>
      </c>
      <c r="AF219">
        <f>IF(OR('5-man'!AF$26="P",'5-man'!AF$26="R",AND('5-man'!AF$24&lt;=IF('5-man'!$BF$4="",999,'5-man'!$BF$4),OR('5-man'!AF$26="D",LEFT('5-man'!AF$26,3)="ST&gt;",OR(AND('5-man'!AF$25="ST&gt;2",AF204&gt;=100),AND('5-man'!AF$27="ST&gt;2",AF220&gt;=100),AND('5-man'!AF$28="ST&gt;2",AF228&gt;=100),AND('5-man'!AF$29="ST&gt;2",AF236&gt;=100))))),'5-man'!AF$24,0)</f>
        <v/>
      </c>
      <c r="AG219">
        <f>IF(OR('5-man'!AG$26="P",'5-man'!AG$26="R",AND('5-man'!AG$24&lt;=IF('5-man'!$BF$4="",999,'5-man'!$BF$4),OR('5-man'!AG$26="D",LEFT('5-man'!AG$26,3)="ST&gt;",OR(AND('5-man'!AG$25="ST&gt;2",AG204&gt;=100),AND('5-man'!AG$27="ST&gt;2",AG220&gt;=100),AND('5-man'!AG$28="ST&gt;2",AG228&gt;=100),AND('5-man'!AG$29="ST&gt;2",AG236&gt;=100))))),'5-man'!AG$24,0)</f>
        <v/>
      </c>
      <c r="AH219">
        <f>IF(OR('5-man'!AH$26="P",'5-man'!AH$26="R",AND('5-man'!AH$24&lt;=IF('5-man'!$BF$4="",999,'5-man'!$BF$4),OR('5-man'!AH$26="D",LEFT('5-man'!AH$26,3)="ST&gt;",OR(AND('5-man'!AH$25="ST&gt;2",AH204&gt;=100),AND('5-man'!AH$27="ST&gt;2",AH220&gt;=100),AND('5-man'!AH$28="ST&gt;2",AH228&gt;=100),AND('5-man'!AH$29="ST&gt;2",AH236&gt;=100))))),'5-man'!AH$24,0)</f>
        <v/>
      </c>
      <c r="AI219">
        <f>IF(OR('5-man'!AI$26="P",'5-man'!AI$26="R",AND('5-man'!AI$24&lt;=IF('5-man'!$BF$4="",999,'5-man'!$BF$4),OR('5-man'!AI$26="D",LEFT('5-man'!AI$26,3)="ST&gt;",OR(AND('5-man'!AI$25="ST&gt;2",AI204&gt;=100),AND('5-man'!AI$27="ST&gt;2",AI220&gt;=100),AND('5-man'!AI$28="ST&gt;2",AI228&gt;=100),AND('5-man'!AI$29="ST&gt;2",AI236&gt;=100))))),'5-man'!AI$24,0)</f>
        <v/>
      </c>
      <c r="AJ219">
        <f>IF(OR('5-man'!AJ$26="P",'5-man'!AJ$26="R",AND('5-man'!AJ$24&lt;=IF('5-man'!$BF$4="",999,'5-man'!$BF$4),OR('5-man'!AJ$26="D",LEFT('5-man'!AJ$26,3)="ST&gt;",OR(AND('5-man'!AJ$25="ST&gt;2",AJ204&gt;=100),AND('5-man'!AJ$27="ST&gt;2",AJ220&gt;=100),AND('5-man'!AJ$28="ST&gt;2",AJ228&gt;=100),AND('5-man'!AJ$29="ST&gt;2",AJ236&gt;=100))))),'5-man'!AJ$24,0)</f>
        <v/>
      </c>
      <c r="AK219">
        <f>IF(OR('5-man'!AK$26="P",'5-man'!AK$26="R",AND('5-man'!AK$24&lt;=IF('5-man'!$BF$4="",999,'5-man'!$BF$4),OR('5-man'!AK$26="D",LEFT('5-man'!AK$26,3)="ST&gt;",OR(AND('5-man'!AK$25="ST&gt;2",AK204&gt;=100),AND('5-man'!AK$27="ST&gt;2",AK220&gt;=100),AND('5-man'!AK$28="ST&gt;2",AK228&gt;=100),AND('5-man'!AK$29="ST&gt;2",AK236&gt;=100))))),'5-man'!AK$24,0)</f>
        <v/>
      </c>
      <c r="AL219">
        <f>IF(OR('5-man'!AL$26="P",'5-man'!AL$26="R",AND('5-man'!AL$24&lt;=IF('5-man'!$BF$4="",999,'5-man'!$BF$4),OR('5-man'!AL$26="D",LEFT('5-man'!AL$26,3)="ST&gt;",OR(AND('5-man'!AL$25="ST&gt;2",AL204&gt;=100),AND('5-man'!AL$27="ST&gt;2",AL220&gt;=100),AND('5-man'!AL$28="ST&gt;2",AL228&gt;=100),AND('5-man'!AL$29="ST&gt;2",AL236&gt;=100))))),'5-man'!AL$24,0)</f>
        <v/>
      </c>
      <c r="AM219">
        <f>IF(OR('5-man'!AM$26="P",'5-man'!AM$26="R",AND('5-man'!AM$24&lt;=IF('5-man'!$BF$4="",999,'5-man'!$BF$4),OR('5-man'!AM$26="D",LEFT('5-man'!AM$26,3)="ST&gt;",OR(AND('5-man'!AM$25="ST&gt;2",AM204&gt;=100),AND('5-man'!AM$27="ST&gt;2",AM220&gt;=100),AND('5-man'!AM$28="ST&gt;2",AM228&gt;=100),AND('5-man'!AM$29="ST&gt;2",AM236&gt;=100))))),'5-man'!AM$24,0)</f>
        <v/>
      </c>
      <c r="AN219">
        <f>IF(OR('5-man'!AN$26="P",'5-man'!AN$26="R",AND('5-man'!AN$24&lt;=IF('5-man'!$BF$4="",999,'5-man'!$BF$4),OR('5-man'!AN$26="D",LEFT('5-man'!AN$26,3)="ST&gt;",OR(AND('5-man'!AN$25="ST&gt;2",AN204&gt;=100),AND('5-man'!AN$27="ST&gt;2",AN220&gt;=100),AND('5-man'!AN$28="ST&gt;2",AN228&gt;=100),AND('5-man'!AN$29="ST&gt;2",AN236&gt;=100))))),'5-man'!AN$24,0)</f>
        <v/>
      </c>
      <c r="AO219">
        <f>IF(OR('5-man'!AO$26="P",'5-man'!AO$26="R",AND('5-man'!AO$24&lt;=IF('5-man'!$BF$4="",999,'5-man'!$BF$4),OR('5-man'!AO$26="D",LEFT('5-man'!AO$26,3)="ST&gt;",OR(AND('5-man'!AO$25="ST&gt;2",AO204&gt;=100),AND('5-man'!AO$27="ST&gt;2",AO220&gt;=100),AND('5-man'!AO$28="ST&gt;2",AO228&gt;=100),AND('5-man'!AO$29="ST&gt;2",AO236&gt;=100))))),'5-man'!AO$24,0)</f>
        <v/>
      </c>
      <c r="AP219">
        <f>IF(OR('5-man'!AP$26="P",'5-man'!AP$26="R",AND('5-man'!AP$24&lt;=IF('5-man'!$BF$4="",999,'5-man'!$BF$4),OR('5-man'!AP$26="D",LEFT('5-man'!AP$26,3)="ST&gt;",OR(AND('5-man'!AP$25="ST&gt;2",AP204&gt;=100),AND('5-man'!AP$27="ST&gt;2",AP220&gt;=100),AND('5-man'!AP$28="ST&gt;2",AP228&gt;=100),AND('5-man'!AP$29="ST&gt;2",AP236&gt;=100))))),'5-man'!AP$24,0)</f>
        <v/>
      </c>
      <c r="AQ219">
        <f>IF(OR('5-man'!AQ$26="P",'5-man'!AQ$26="R",AND('5-man'!AQ$24&lt;=IF('5-man'!$BF$4="",999,'5-man'!$BF$4),OR('5-man'!AQ$26="D",LEFT('5-man'!AQ$26,3)="ST&gt;",OR(AND('5-man'!AQ$25="ST&gt;2",AQ204&gt;=100),AND('5-man'!AQ$27="ST&gt;2",AQ220&gt;=100),AND('5-man'!AQ$28="ST&gt;2",AQ228&gt;=100),AND('5-man'!AQ$29="ST&gt;2",AQ236&gt;=100))))),'5-man'!AQ$24,0)</f>
        <v/>
      </c>
      <c r="AR219">
        <f>IF(OR('5-man'!AR$26="P",'5-man'!AR$26="R",AND('5-man'!AR$24&lt;=IF('5-man'!$BF$4="",999,'5-man'!$BF$4),OR('5-man'!AR$26="D",LEFT('5-man'!AR$26,3)="ST&gt;",OR(AND('5-man'!AR$25="ST&gt;2",AR204&gt;=100),AND('5-man'!AR$27="ST&gt;2",AR220&gt;=100),AND('5-man'!AR$28="ST&gt;2",AR228&gt;=100),AND('5-man'!AR$29="ST&gt;2",AR236&gt;=100))))),'5-man'!AR$24,0)</f>
        <v/>
      </c>
      <c r="AS219">
        <f>IF(OR('5-man'!AS$26="P",'5-man'!AS$26="R",AND('5-man'!AS$24&lt;=IF('5-man'!$BF$4="",999,'5-man'!$BF$4),OR('5-man'!AS$26="D",LEFT('5-man'!AS$26,3)="ST&gt;",OR(AND('5-man'!AS$25="ST&gt;2",AS204&gt;=100),AND('5-man'!AS$27="ST&gt;2",AS220&gt;=100),AND('5-man'!AS$28="ST&gt;2",AS228&gt;=100),AND('5-man'!AS$29="ST&gt;2",AS236&gt;=100))))),'5-man'!AS$24,0)</f>
        <v/>
      </c>
      <c r="AT219">
        <f>IF(OR('5-man'!AT$26="P",'5-man'!AT$26="R",AND('5-man'!AT$24&lt;=IF('5-man'!$BF$4="",999,'5-man'!$BF$4),OR('5-man'!AT$26="D",LEFT('5-man'!AT$26,3)="ST&gt;",OR(AND('5-man'!AT$25="ST&gt;2",AT204&gt;=100),AND('5-man'!AT$27="ST&gt;2",AT220&gt;=100),AND('5-man'!AT$28="ST&gt;2",AT228&gt;=100),AND('5-man'!AT$29="ST&gt;2",AT236&gt;=100))))),'5-man'!AT$24,0)</f>
        <v/>
      </c>
      <c r="AU219">
        <f>IF(OR('5-man'!AU$26="P",'5-man'!AU$26="R",AND('5-man'!AU$24&lt;=IF('5-man'!$BF$4="",999,'5-man'!$BF$4),OR('5-man'!AU$26="D",LEFT('5-man'!AU$26,3)="ST&gt;",OR(AND('5-man'!AU$25="ST&gt;2",AU204&gt;=100),AND('5-man'!AU$27="ST&gt;2",AU220&gt;=100),AND('5-man'!AU$28="ST&gt;2",AU228&gt;=100),AND('5-man'!AU$29="ST&gt;2",AU236&gt;=100))))),'5-man'!AU$24,0)</f>
        <v/>
      </c>
      <c r="AV219">
        <f>IF(OR('5-man'!AV$26="P",'5-man'!AV$26="R",AND('5-man'!AV$24&lt;=IF('5-man'!$BF$4="",999,'5-man'!$BF$4),OR('5-man'!AV$26="D",LEFT('5-man'!AV$26,3)="ST&gt;",OR(AND('5-man'!AV$25="ST&gt;2",AV204&gt;=100),AND('5-man'!AV$27="ST&gt;2",AV220&gt;=100),AND('5-man'!AV$28="ST&gt;2",AV228&gt;=100),AND('5-man'!AV$29="ST&gt;2",AV236&gt;=100))))),'5-man'!AV$24,0)</f>
        <v/>
      </c>
      <c r="AW219">
        <f>IF(OR('5-man'!AW$26="P",'5-man'!AW$26="R",AND('5-man'!AW$24&lt;=IF('5-man'!$BF$4="",999,'5-man'!$BF$4),OR('5-man'!AW$26="D",LEFT('5-man'!AW$26,3)="ST&gt;",OR(AND('5-man'!AW$25="ST&gt;2",AW204&gt;=100),AND('5-man'!AW$27="ST&gt;2",AW220&gt;=100),AND('5-man'!AW$28="ST&gt;2",AW228&gt;=100),AND('5-man'!AW$29="ST&gt;2",AW236&gt;=100))))),'5-man'!AW$24,0)</f>
        <v/>
      </c>
      <c r="AX219">
        <f>IF(OR('5-man'!AX$26="P",'5-man'!AX$26="R",AND('5-man'!AX$24&lt;=IF('5-man'!$BF$4="",999,'5-man'!$BF$4),OR('5-man'!AX$26="D",LEFT('5-man'!AX$26,3)="ST&gt;",OR(AND('5-man'!AX$25="ST&gt;2",AX204&gt;=100),AND('5-man'!AX$27="ST&gt;2",AX220&gt;=100),AND('5-man'!AX$28="ST&gt;2",AX228&gt;=100),AND('5-man'!AX$29="ST&gt;2",AX236&gt;=100))))),'5-man'!AX$24,0)</f>
        <v/>
      </c>
      <c r="AY219">
        <f>IF(OR('5-man'!AY$26="P",'5-man'!AY$26="R",AND('5-man'!AY$24&lt;=IF('5-man'!$BF$4="",999,'5-man'!$BF$4),OR('5-man'!AY$26="D",LEFT('5-man'!AY$26,3)="ST&gt;",OR(AND('5-man'!AY$25="ST&gt;2",AY204&gt;=100),AND('5-man'!AY$27="ST&gt;2",AY220&gt;=100),AND('5-man'!AY$28="ST&gt;2",AY228&gt;=100),AND('5-man'!AY$29="ST&gt;2",AY236&gt;=100))))),'5-man'!AY$24,0)</f>
        <v/>
      </c>
      <c r="AZ219">
        <f>IF(OR('5-man'!AZ$26="P",'5-man'!AZ$26="R",AND('5-man'!AZ$24&lt;=IF('5-man'!$BF$4="",999,'5-man'!$BF$4),OR('5-man'!AZ$26="D",LEFT('5-man'!AZ$26,3)="ST&gt;",OR(AND('5-man'!AZ$25="ST&gt;2",AZ204&gt;=100),AND('5-man'!AZ$27="ST&gt;2",AZ220&gt;=100),AND('5-man'!AZ$28="ST&gt;2",AZ228&gt;=100),AND('5-man'!AZ$29="ST&gt;2",AZ236&gt;=100))))),'5-man'!AZ$24,0)</f>
        <v/>
      </c>
      <c r="BA219">
        <f>IF(OR('5-man'!BA$26="P",'5-man'!BA$26="R",AND('5-man'!BA$24&lt;=IF('5-man'!$BF$4="",999,'5-man'!$BF$4),OR('5-man'!BA$26="D",LEFT('5-man'!BA$26,3)="ST&gt;",OR(AND('5-man'!BA$25="ST&gt;2",BA204&gt;=100),AND('5-man'!BA$27="ST&gt;2",BA220&gt;=100),AND('5-man'!BA$28="ST&gt;2",BA228&gt;=100),AND('5-man'!BA$29="ST&gt;2",BA236&gt;=100))))),'5-man'!BA$24,0)</f>
        <v/>
      </c>
      <c r="BB219">
        <f>IF(OR('5-man'!BB$26="P",'5-man'!BB$26="R",AND('5-man'!BB$24&lt;=IF('5-man'!$BF$4="",999,'5-man'!$BF$4),OR('5-man'!BB$26="D",LEFT('5-man'!BB$26,3)="ST&gt;",OR(AND('5-man'!BB$25="ST&gt;2",BB204&gt;=100),AND('5-man'!BB$27="ST&gt;2",BB220&gt;=100),AND('5-man'!BB$28="ST&gt;2",BB228&gt;=100),AND('5-man'!BB$29="ST&gt;2",BB236&gt;=100))))),'5-man'!BB$24,0)</f>
        <v/>
      </c>
      <c r="BC219">
        <f>IF(OR('5-man'!BC$26="P",'5-man'!BC$26="R",AND('5-man'!BC$24&lt;=IF('5-man'!$BF$4="",999,'5-man'!$BF$4),OR('5-man'!BC$26="D",LEFT('5-man'!BC$26,3)="ST&gt;",OR(AND('5-man'!BC$25="ST&gt;2",BC204&gt;=100),AND('5-man'!BC$27="ST&gt;2",BC220&gt;=100),AND('5-man'!BC$28="ST&gt;2",BC228&gt;=100),AND('5-man'!BC$29="ST&gt;2",BC236&gt;=100))))),'5-man'!BC$24,0)</f>
        <v/>
      </c>
      <c r="BD219">
        <f>IF(OR('5-man'!BD$26="P",'5-man'!BD$26="R",AND('5-man'!BD$24&lt;=IF('5-man'!$BF$4="",999,'5-man'!$BF$4),OR('5-man'!BD$26="D",LEFT('5-man'!BD$26,3)="ST&gt;",OR(AND('5-man'!BD$25="ST&gt;2",BD204&gt;=100),AND('5-man'!BD$27="ST&gt;2",BD220&gt;=100),AND('5-man'!BD$28="ST&gt;2",BD228&gt;=100),AND('5-man'!BD$29="ST&gt;2",BD236&gt;=100))))),'5-man'!BD$24,0)</f>
        <v/>
      </c>
      <c r="BE219">
        <f>IF(OR('5-man'!BE$26="P",'5-man'!BE$26="R",AND('5-man'!BE$24&lt;=IF('5-man'!$BF$4="",999,'5-man'!$BF$4),OR('5-man'!BE$26="D",LEFT('5-man'!BE$26,3)="ST&gt;",OR(AND('5-man'!BE$25="ST&gt;2",BE204&gt;=100),AND('5-man'!BE$27="ST&gt;2",BE220&gt;=100),AND('5-man'!BE$28="ST&gt;2",BE228&gt;=100),AND('5-man'!BE$29="ST&gt;2",BE236&gt;=100))))),'5-man'!BE$24,0)</f>
        <v/>
      </c>
      <c r="BF219">
        <f>IF(OR('5-man'!BF$26="P",'5-man'!BF$26="R",AND('5-man'!BF$24&lt;=IF('5-man'!$BF$4="",999,'5-man'!$BF$4),OR('5-man'!BF$26="D",LEFT('5-man'!BF$26,3)="ST&gt;",OR(AND('5-man'!BF$25="ST&gt;2",BF204&gt;=100),AND('5-man'!BF$27="ST&gt;2",BF220&gt;=100),AND('5-man'!BF$28="ST&gt;2",BF228&gt;=100),AND('5-man'!BF$29="ST&gt;2",BF236&gt;=100))))),'5-man'!BF$24,0)</f>
        <v/>
      </c>
      <c r="BG219">
        <f>IF(OR('5-man'!BG$26="P",'5-man'!BG$26="R",AND('5-man'!BG$24&lt;=IF('5-man'!$BF$4="",999,'5-man'!$BF$4),OR('5-man'!BG$26="D",LEFT('5-man'!BG$26,3)="ST&gt;",OR(AND('5-man'!BG$25="ST&gt;2",BG204&gt;=100),AND('5-man'!BG$27="ST&gt;2",BG220&gt;=100),AND('5-man'!BG$28="ST&gt;2",BG228&gt;=100),AND('5-man'!BG$29="ST&gt;2",BG236&gt;=100))))),'5-man'!BG$24,0)</f>
        <v/>
      </c>
      <c r="BH219">
        <f>IF(OR('5-man'!BH$26="P",'5-man'!BH$26="R",AND('5-man'!BH$24&lt;=IF('5-man'!$BF$4="",999,'5-man'!$BF$4),OR('5-man'!BH$26="D",LEFT('5-man'!BH$26,3)="ST&gt;",OR(AND('5-man'!BH$25="ST&gt;2",BH204&gt;=100),AND('5-man'!BH$27="ST&gt;2",BH220&gt;=100),AND('5-man'!BH$28="ST&gt;2",BH228&gt;=100),AND('5-man'!BH$29="ST&gt;2",BH236&gt;=100))))),'5-man'!BH$24,0)</f>
        <v/>
      </c>
      <c r="BI219">
        <f>IF(OR('5-man'!BI$26="P",'5-man'!BI$26="R",AND('5-man'!BI$24&lt;=IF('5-man'!$BF$4="",999,'5-man'!$BF$4),OR('5-man'!BI$26="D",LEFT('5-man'!BI$26,3)="ST&gt;",OR(AND('5-man'!BI$25="ST&gt;2",BI204&gt;=100),AND('5-man'!BI$27="ST&gt;2",BI220&gt;=100),AND('5-man'!BI$28="ST&gt;2",BI228&gt;=100),AND('5-man'!BI$29="ST&gt;2",BI236&gt;=100))))),'5-man'!BI$24,0)</f>
        <v/>
      </c>
      <c r="BJ219">
        <f>IF(OR('5-man'!BJ$26="P",'5-man'!BJ$26="R",AND('5-man'!BJ$24&lt;=IF('5-man'!$BF$4="",999,'5-man'!$BF$4),OR('5-man'!BJ$26="D",LEFT('5-man'!BJ$26,3)="ST&gt;",OR(AND('5-man'!BJ$25="ST&gt;2",BJ204&gt;=100),AND('5-man'!BJ$27="ST&gt;2",BJ220&gt;=100),AND('5-man'!BJ$28="ST&gt;2",BJ228&gt;=100),AND('5-man'!BJ$29="ST&gt;2",BJ236&gt;=100))))),'5-man'!BJ$24,0)</f>
        <v/>
      </c>
      <c r="BK219">
        <f>IF(OR('5-man'!BK$26="P",'5-man'!BK$26="R",AND('5-man'!BK$24&lt;=IF('5-man'!$BF$4="",999,'5-man'!$BF$4),OR('5-man'!BK$26="D",LEFT('5-man'!BK$26,3)="ST&gt;",OR(AND('5-man'!BK$25="ST&gt;2",BK204&gt;=100),AND('5-man'!BK$27="ST&gt;2",BK220&gt;=100),AND('5-man'!BK$28="ST&gt;2",BK228&gt;=100),AND('5-man'!BK$29="ST&gt;2",BK236&gt;=100))))),'5-man'!BK$24,0)</f>
        <v/>
      </c>
      <c r="BL219">
        <f>IF(OR('5-man'!BL$26="P",'5-man'!BL$26="R",AND('5-man'!BL$24&lt;=IF('5-man'!$BF$4="",999,'5-man'!$BF$4),OR('5-man'!BL$26="D",LEFT('5-man'!BL$26,3)="ST&gt;",OR(AND('5-man'!BL$25="ST&gt;2",BL204&gt;=100),AND('5-man'!BL$27="ST&gt;2",BL220&gt;=100),AND('5-man'!BL$28="ST&gt;2",BL228&gt;=100),AND('5-man'!BL$29="ST&gt;2",BL236&gt;=100))))),'5-man'!BL$24,0)</f>
        <v/>
      </c>
      <c r="BM219">
        <f>IF(OR('5-man'!BM$26="P",'5-man'!BM$26="R",AND('5-man'!BM$24&lt;=IF('5-man'!$BF$4="",999,'5-man'!$BF$4),OR('5-man'!BM$26="D",LEFT('5-man'!BM$26,3)="ST&gt;",OR(AND('5-man'!BM$25="ST&gt;2",BM204&gt;=100),AND('5-man'!BM$27="ST&gt;2",BM220&gt;=100),AND('5-man'!BM$28="ST&gt;2",BM228&gt;=100),AND('5-man'!BM$29="ST&gt;2",BM236&gt;=100))))),'5-man'!BM$24,0)</f>
        <v/>
      </c>
      <c r="BN219">
        <f>IF(OR('5-man'!BN$26="P",'5-man'!BN$26="R",AND('5-man'!BN$24&lt;=IF('5-man'!$BF$4="",999,'5-man'!$BF$4),OR('5-man'!BN$26="D",LEFT('5-man'!BN$26,3)="ST&gt;",OR(AND('5-man'!BN$25="ST&gt;2",BN204&gt;=100),AND('5-man'!BN$27="ST&gt;2",BN220&gt;=100),AND('5-man'!BN$28="ST&gt;2",BN228&gt;=100),AND('5-man'!BN$29="ST&gt;2",BN236&gt;=100))))),'5-man'!BN$24,0)</f>
        <v/>
      </c>
      <c r="BO219">
        <f>IF(OR('5-man'!BO$26="P",'5-man'!BO$26="R",AND('5-man'!BO$24&lt;=IF('5-man'!$BF$4="",999,'5-man'!$BF$4),OR('5-man'!BO$26="D",LEFT('5-man'!BO$26,3)="ST&gt;",OR(AND('5-man'!BO$25="ST&gt;2",BO204&gt;=100),AND('5-man'!BO$27="ST&gt;2",BO220&gt;=100),AND('5-man'!BO$28="ST&gt;2",BO228&gt;=100),AND('5-man'!BO$29="ST&gt;2",BO236&gt;=100))))),'5-man'!BO$24,0)</f>
        <v/>
      </c>
      <c r="BP219">
        <f>IF(OR('5-man'!BP$26="P",'5-man'!BP$26="R",AND('5-man'!BP$24&lt;=IF('5-man'!$BF$4="",999,'5-man'!$BF$4),OR('5-man'!BP$26="D",LEFT('5-man'!BP$26,3)="ST&gt;",OR(AND('5-man'!BP$25="ST&gt;2",BP204&gt;=100),AND('5-man'!BP$27="ST&gt;2",BP220&gt;=100),AND('5-man'!BP$28="ST&gt;2",BP228&gt;=100),AND('5-man'!BP$29="ST&gt;2",BP236&gt;=100))))),'5-man'!BP$24,0)</f>
        <v/>
      </c>
      <c r="BQ219">
        <f>IF(OR('5-man'!BQ$26="P",'5-man'!BQ$26="R",AND('5-man'!BQ$24&lt;=IF('5-man'!$BF$4="",999,'5-man'!$BF$4),OR('5-man'!BQ$26="D",LEFT('5-man'!BQ$26,3)="ST&gt;",OR(AND('5-man'!BQ$25="ST&gt;2",BQ204&gt;=100),AND('5-man'!BQ$27="ST&gt;2",BQ220&gt;=100),AND('5-man'!BQ$28="ST&gt;2",BQ228&gt;=100),AND('5-man'!BQ$29="ST&gt;2",BQ236&gt;=100))))),'5-man'!BQ$24,0)</f>
        <v/>
      </c>
      <c r="BR219">
        <f>IF(OR('5-man'!BR$26="P",'5-man'!BR$26="R",AND('5-man'!BR$24&lt;=IF('5-man'!$BF$4="",999,'5-man'!$BF$4),OR('5-man'!BR$26="D",LEFT('5-man'!BR$26,3)="ST&gt;",OR(AND('5-man'!BR$25="ST&gt;2",BR204&gt;=100),AND('5-man'!BR$27="ST&gt;2",BR220&gt;=100),AND('5-man'!BR$28="ST&gt;2",BR228&gt;=100),AND('5-man'!BR$29="ST&gt;2",BR236&gt;=100))))),'5-man'!BR$24,0)</f>
        <v/>
      </c>
      <c r="BS219">
        <f>IF(OR('5-man'!BS$26="P",'5-man'!BS$26="R",AND('5-man'!BS$24&lt;=IF('5-man'!$BF$4="",999,'5-man'!$BF$4),OR('5-man'!BS$26="D",LEFT('5-man'!BS$26,3)="ST&gt;",OR(AND('5-man'!BS$25="ST&gt;2",BS204&gt;=100),AND('5-man'!BS$27="ST&gt;2",BS220&gt;=100),AND('5-man'!BS$28="ST&gt;2",BS228&gt;=100),AND('5-man'!BS$29="ST&gt;2",BS236&gt;=100))))),'5-man'!BS$24,0)</f>
        <v/>
      </c>
      <c r="BT219">
        <f>IF(OR('5-man'!BT$26="P",'5-man'!BT$26="R",AND('5-man'!BT$24&lt;=IF('5-man'!$BF$4="",999,'5-man'!$BF$4),OR('5-man'!BT$26="D",LEFT('5-man'!BT$26,3)="ST&gt;",OR(AND('5-man'!BT$25="ST&gt;2",BT204&gt;=100),AND('5-man'!BT$27="ST&gt;2",BT220&gt;=100),AND('5-man'!BT$28="ST&gt;2",BT228&gt;=100),AND('5-man'!BT$29="ST&gt;2",BT236&gt;=100))))),'5-man'!BT$24,0)</f>
        <v/>
      </c>
      <c r="BU219">
        <f>IF(OR('5-man'!BU$26="P",'5-man'!BU$26="R",AND('5-man'!BU$24&lt;=IF('5-man'!$BF$4="",999,'5-man'!$BF$4),OR('5-man'!BU$26="D",LEFT('5-man'!BU$26,3)="ST&gt;",OR(AND('5-man'!BU$25="ST&gt;2",BU204&gt;=100),AND('5-man'!BU$27="ST&gt;2",BU220&gt;=100),AND('5-man'!BU$28="ST&gt;2",BU228&gt;=100),AND('5-man'!BU$29="ST&gt;2",BU236&gt;=100))))),'5-man'!BU$24,0)</f>
        <v/>
      </c>
      <c r="BV219">
        <f>IF(OR('5-man'!BV$26="P",'5-man'!BV$26="R",AND('5-man'!BV$24&lt;=IF('5-man'!$BF$4="",999,'5-man'!$BF$4),OR('5-man'!BV$26="D",LEFT('5-man'!BV$26,3)="ST&gt;",OR(AND('5-man'!BV$25="ST&gt;2",BV204&gt;=100),AND('5-man'!BV$27="ST&gt;2",BV220&gt;=100),AND('5-man'!BV$28="ST&gt;2",BV228&gt;=100),AND('5-man'!BV$29="ST&gt;2",BV236&gt;=100))))),'5-man'!BV$24,0)</f>
        <v/>
      </c>
      <c r="BW219">
        <f>IF(OR('5-man'!BW$26="P",'5-man'!BW$26="R",AND('5-man'!BW$24&lt;=IF('5-man'!$BF$4="",999,'5-man'!$BF$4),OR('5-man'!BW$26="D",LEFT('5-man'!BW$26,3)="ST&gt;",OR(AND('5-man'!BW$25="ST&gt;2",BW204&gt;=100),AND('5-man'!BW$27="ST&gt;2",BW220&gt;=100),AND('5-man'!BW$28="ST&gt;2",BW228&gt;=100),AND('5-man'!BW$29="ST&gt;2",BW236&gt;=100))))),'5-man'!BW$24,0)</f>
        <v/>
      </c>
      <c r="BX219">
        <f>IF(OR('5-man'!BX$26="P",'5-man'!BX$26="R",AND('5-man'!BX$24&lt;=IF('5-man'!$BF$4="",999,'5-man'!$BF$4),OR('5-man'!BX$26="D",LEFT('5-man'!BX$26,3)="ST&gt;",OR(AND('5-man'!BX$25="ST&gt;2",BX204&gt;=100),AND('5-man'!BX$27="ST&gt;2",BX220&gt;=100),AND('5-man'!BX$28="ST&gt;2",BX228&gt;=100),AND('5-man'!BX$29="ST&gt;2",BX236&gt;=100))))),'5-man'!BX$24,0)</f>
        <v/>
      </c>
      <c r="BY219">
        <f>IF(OR('5-man'!BY$26="P",'5-man'!BY$26="R",AND('5-man'!BY$24&lt;=IF('5-man'!$BF$4="",999,'5-man'!$BF$4),OR('5-man'!BY$26="D",LEFT('5-man'!BY$26,3)="ST&gt;",OR(AND('5-man'!BY$25="ST&gt;2",BY204&gt;=100),AND('5-man'!BY$27="ST&gt;2",BY220&gt;=100),AND('5-man'!BY$28="ST&gt;2",BY228&gt;=100),AND('5-man'!BY$29="ST&gt;2",BY236&gt;=100))))),'5-man'!BY$24,0)</f>
        <v/>
      </c>
      <c r="BZ219">
        <f>IF(OR('5-man'!BZ$26="P",'5-man'!BZ$26="R",AND('5-man'!BZ$24&lt;=IF('5-man'!$BF$4="",999,'5-man'!$BF$4),OR('5-man'!BZ$26="D",LEFT('5-man'!BZ$26,3)="ST&gt;",OR(AND('5-man'!BZ$25="ST&gt;2",BZ204&gt;=100),AND('5-man'!BZ$27="ST&gt;2",BZ220&gt;=100),AND('5-man'!BZ$28="ST&gt;2",BZ228&gt;=100),AND('5-man'!BZ$29="ST&gt;2",BZ236&gt;=100))))),'5-man'!BZ$24,0)</f>
        <v/>
      </c>
      <c r="CA219">
        <f>IF(OR('5-man'!CA$26="P",'5-man'!CA$26="R",AND('5-man'!CA$24&lt;=IF('5-man'!$BF$4="",999,'5-man'!$BF$4),OR('5-man'!CA$26="D",LEFT('5-man'!CA$26,3)="ST&gt;",OR(AND('5-man'!CA$25="ST&gt;2",CA204&gt;=100),AND('5-man'!CA$27="ST&gt;2",CA220&gt;=100),AND('5-man'!CA$28="ST&gt;2",CA228&gt;=100),AND('5-man'!CA$29="ST&gt;2",CA236&gt;=100))))),'5-man'!CA$24,0)</f>
        <v/>
      </c>
      <c r="CB219">
        <f>IF(OR('5-man'!CB$26="P",'5-man'!CB$26="R",AND('5-man'!CB$24&lt;=IF('5-man'!$BF$4="",999,'5-man'!$BF$4),OR('5-man'!CB$26="D",LEFT('5-man'!CB$26,3)="ST&gt;",OR(AND('5-man'!CB$25="ST&gt;2",CB204&gt;=100),AND('5-man'!CB$27="ST&gt;2",CB220&gt;=100),AND('5-man'!CB$28="ST&gt;2",CB228&gt;=100),AND('5-man'!CB$29="ST&gt;2",CB236&gt;=100))))),'5-man'!CB$24,0)</f>
        <v/>
      </c>
      <c r="CC219">
        <f>IF(OR('5-man'!CC$26="P",'5-man'!CC$26="R",AND('5-man'!CC$24&lt;=IF('5-man'!$BF$4="",999,'5-man'!$BF$4),OR('5-man'!CC$26="D",LEFT('5-man'!CC$26,3)="ST&gt;",OR(AND('5-man'!CC$25="ST&gt;2",CC204&gt;=100),AND('5-man'!CC$27="ST&gt;2",CC220&gt;=100),AND('5-man'!CC$28="ST&gt;2",CC228&gt;=100),AND('5-man'!CC$29="ST&gt;2",CC236&gt;=100))))),'5-man'!CC$24,0)</f>
        <v/>
      </c>
      <c r="CD219">
        <f>IF(OR('5-man'!CD$26="P",'5-man'!CD$26="R",AND('5-man'!CD$24&lt;=IF('5-man'!$BF$4="",999,'5-man'!$BF$4),OR('5-man'!CD$26="D",LEFT('5-man'!CD$26,3)="ST&gt;",OR(AND('5-man'!CD$25="ST&gt;2",CD204&gt;=100),AND('5-man'!CD$27="ST&gt;2",CD220&gt;=100),AND('5-man'!CD$28="ST&gt;2",CD228&gt;=100),AND('5-man'!CD$29="ST&gt;2",CD236&gt;=100))))),'5-man'!CD$24,0)</f>
        <v/>
      </c>
    </row>
    <row r="220">
      <c r="A220" t="inlineStr">
        <is>
          <t>P3 s1</t>
        </is>
      </c>
      <c r="C220">
        <f>MIN(100,B221+IF(AND(B221&lt;100,B222+1&gt;=IF(OR('5-man'!$F$6=TRUE,'5-man'!$F$6="TRUE",'5-man'!$F$6="Yes"),25,50)),10,0)+IF('5-man'!C$24=$Q$226,25,0))</f>
        <v/>
      </c>
      <c r="D220">
        <f>MIN(100,C221+IF(AND(C221&lt;100,C222+1&gt;=IF(OR('5-man'!$F$6=TRUE,'5-man'!$F$6="TRUE",'5-man'!$F$6="Yes"),25,50)),10,0)+IF('5-man'!D$24=$Q$226,25,0))</f>
        <v/>
      </c>
      <c r="E220">
        <f>MIN(100,D221+IF(AND(D221&lt;100,D222+1&gt;=IF(OR('5-man'!$F$6=TRUE,'5-man'!$F$6="TRUE",'5-man'!$F$6="Yes"),25,50)),10,0)+IF('5-man'!E$24=$Q$226,25,0))</f>
        <v/>
      </c>
      <c r="F220">
        <f>MIN(100,E221+IF(AND(E221&lt;100,E222+1&gt;=IF(OR('5-man'!$F$6=TRUE,'5-man'!$F$6="TRUE",'5-man'!$F$6="Yes"),25,50)),10,0)+IF('5-man'!F$24=$Q$226,25,0))</f>
        <v/>
      </c>
      <c r="G220">
        <f>MIN(100,F221+IF(AND(F221&lt;100,F222+1&gt;=IF(OR('5-man'!$F$6=TRUE,'5-man'!$F$6="TRUE",'5-man'!$F$6="Yes"),25,50)),10,0)+IF('5-man'!G$24=$Q$226,25,0))</f>
        <v/>
      </c>
      <c r="H220">
        <f>MIN(100,G221+IF(AND(G221&lt;100,G222+1&gt;=IF(OR('5-man'!$F$6=TRUE,'5-man'!$F$6="TRUE",'5-man'!$F$6="Yes"),25,50)),10,0)+IF('5-man'!H$24=$Q$226,25,0))</f>
        <v/>
      </c>
      <c r="I220">
        <f>MIN(100,H221+IF(AND(H221&lt;100,H222+1&gt;=IF(OR('5-man'!$F$6=TRUE,'5-man'!$F$6="TRUE",'5-man'!$F$6="Yes"),25,50)),10,0)+IF('5-man'!I$24=$Q$226,25,0))</f>
        <v/>
      </c>
      <c r="J220">
        <f>MIN(100,I221+IF(AND(I221&lt;100,I222+1&gt;=IF(OR('5-man'!$F$6=TRUE,'5-man'!$F$6="TRUE",'5-man'!$F$6="Yes"),25,50)),10,0)+IF('5-man'!J$24=$Q$226,25,0))</f>
        <v/>
      </c>
      <c r="K220">
        <f>MIN(100,J221+IF(AND(J221&lt;100,J222+1&gt;=IF(OR('5-man'!$F$6=TRUE,'5-man'!$F$6="TRUE",'5-man'!$F$6="Yes"),25,50)),10,0)+IF('5-man'!K$24=$Q$226,25,0))</f>
        <v/>
      </c>
      <c r="L220">
        <f>MIN(100,K221+IF(AND(K221&lt;100,K222+1&gt;=IF(OR('5-man'!$F$6=TRUE,'5-man'!$F$6="TRUE",'5-man'!$F$6="Yes"),25,50)),10,0)+IF('5-man'!L$24=$Q$226,25,0))</f>
        <v/>
      </c>
      <c r="M220">
        <f>MIN(100,L221+IF(AND(L221&lt;100,L222+1&gt;=IF(OR('5-man'!$F$6=TRUE,'5-man'!$F$6="TRUE",'5-man'!$F$6="Yes"),25,50)),10,0)+IF('5-man'!M$24=$Q$226,25,0))</f>
        <v/>
      </c>
      <c r="N220">
        <f>MIN(100,M221+IF(AND(M221&lt;100,M222+1&gt;=IF(OR('5-man'!$F$6=TRUE,'5-man'!$F$6="TRUE",'5-man'!$F$6="Yes"),25,50)),10,0)+IF('5-man'!N$24=$Q$226,25,0))</f>
        <v/>
      </c>
      <c r="O220">
        <f>MIN(100,N221+IF(AND(N221&lt;100,N222+1&gt;=IF(OR('5-man'!$F$6=TRUE,'5-man'!$F$6="TRUE",'5-man'!$F$6="Yes"),25,50)),10,0)+IF('5-man'!O$24=$Q$226,25,0))</f>
        <v/>
      </c>
      <c r="P220">
        <f>MIN(100,O221+IF(AND(O221&lt;100,O222+1&gt;=IF(OR('5-man'!$F$6=TRUE,'5-man'!$F$6="TRUE",'5-man'!$F$6="Yes"),25,50)),10,0)+IF('5-man'!P$24=$Q$226,25,0))</f>
        <v/>
      </c>
      <c r="Q220">
        <f>MIN(100,P221+IF(AND(P221&lt;100,P222+1&gt;=IF(OR('5-man'!$F$6=TRUE,'5-man'!$F$6="TRUE",'5-man'!$F$6="Yes"),25,50)),10,0)+IF('5-man'!Q$24=$Q$226,25,0))</f>
        <v/>
      </c>
      <c r="R220">
        <f>MIN(100,Q221+IF(AND(Q221&lt;100,Q222+1&gt;=IF(OR('5-man'!$F$6=TRUE,'5-man'!$F$6="TRUE",'5-man'!$F$6="Yes"),25,50)),10,0)+IF('5-man'!R$24=$Q$226,25,0))</f>
        <v/>
      </c>
      <c r="S220">
        <f>MIN(100,R221+IF(AND(R221&lt;100,R222+1&gt;=IF(OR('5-man'!$F$6=TRUE,'5-man'!$F$6="TRUE",'5-man'!$F$6="Yes"),25,50)),10,0)+IF('5-man'!S$24=$Q$226,25,0))</f>
        <v/>
      </c>
      <c r="T220">
        <f>MIN(100,S221+IF(AND(S221&lt;100,S222+1&gt;=IF(OR('5-man'!$F$6=TRUE,'5-man'!$F$6="TRUE",'5-man'!$F$6="Yes"),25,50)),10,0)+IF('5-man'!T$24=$Q$226,25,0))</f>
        <v/>
      </c>
      <c r="U220">
        <f>MIN(100,T221+IF(AND(T221&lt;100,T222+1&gt;=IF(OR('5-man'!$F$6=TRUE,'5-man'!$F$6="TRUE",'5-man'!$F$6="Yes"),25,50)),10,0)+IF('5-man'!U$24=$Q$226,25,0))</f>
        <v/>
      </c>
      <c r="V220">
        <f>MIN(100,U221+IF(AND(U221&lt;100,U222+1&gt;=IF(OR('5-man'!$F$6=TRUE,'5-man'!$F$6="TRUE",'5-man'!$F$6="Yes"),25,50)),10,0)+IF('5-man'!V$24=$Q$226,25,0))</f>
        <v/>
      </c>
      <c r="W220">
        <f>MIN(100,V221+IF(AND(V221&lt;100,V222+1&gt;=IF(OR('5-man'!$F$6=TRUE,'5-man'!$F$6="TRUE",'5-man'!$F$6="Yes"),25,50)),10,0)+IF('5-man'!W$24=$Q$226,25,0))</f>
        <v/>
      </c>
      <c r="X220">
        <f>MIN(100,W221+IF(AND(W221&lt;100,W222+1&gt;=IF(OR('5-man'!$F$6=TRUE,'5-man'!$F$6="TRUE",'5-man'!$F$6="Yes"),25,50)),10,0)+IF('5-man'!X$24=$Q$226,25,0))</f>
        <v/>
      </c>
      <c r="Y220">
        <f>MIN(100,X221+IF(AND(X221&lt;100,X222+1&gt;=IF(OR('5-man'!$F$6=TRUE,'5-man'!$F$6="TRUE",'5-man'!$F$6="Yes"),25,50)),10,0)+IF('5-man'!Y$24=$Q$226,25,0))</f>
        <v/>
      </c>
      <c r="Z220">
        <f>MIN(100,Y221+IF(AND(Y221&lt;100,Y222+1&gt;=IF(OR('5-man'!$F$6=TRUE,'5-man'!$F$6="TRUE",'5-man'!$F$6="Yes"),25,50)),10,0)+IF('5-man'!Z$24=$Q$226,25,0))</f>
        <v/>
      </c>
      <c r="AA220">
        <f>MIN(100,Z221+IF(AND(Z221&lt;100,Z222+1&gt;=IF(OR('5-man'!$F$6=TRUE,'5-man'!$F$6="TRUE",'5-man'!$F$6="Yes"),25,50)),10,0)+IF('5-man'!AA$24=$Q$226,25,0))</f>
        <v/>
      </c>
      <c r="AB220">
        <f>MIN(100,AA221+IF(AND(AA221&lt;100,AA222+1&gt;=IF(OR('5-man'!$F$6=TRUE,'5-man'!$F$6="TRUE",'5-man'!$F$6="Yes"),25,50)),10,0)+IF('5-man'!AB$24=$Q$226,25,0))</f>
        <v/>
      </c>
      <c r="AC220">
        <f>MIN(100,AB221+IF(AND(AB221&lt;100,AB222+1&gt;=IF(OR('5-man'!$F$6=TRUE,'5-man'!$F$6="TRUE",'5-man'!$F$6="Yes"),25,50)),10,0)+IF('5-man'!AC$24=$Q$226,25,0))</f>
        <v/>
      </c>
      <c r="AD220">
        <f>MIN(100,AC221+IF(AND(AC221&lt;100,AC222+1&gt;=IF(OR('5-man'!$F$6=TRUE,'5-man'!$F$6="TRUE",'5-man'!$F$6="Yes"),25,50)),10,0)+IF('5-man'!AD$24=$Q$226,25,0))</f>
        <v/>
      </c>
      <c r="AE220">
        <f>MIN(100,AD221+IF(AND(AD221&lt;100,AD222+1&gt;=IF(OR('5-man'!$F$6=TRUE,'5-man'!$F$6="TRUE",'5-man'!$F$6="Yes"),25,50)),10,0)+IF('5-man'!AE$24=$Q$226,25,0))</f>
        <v/>
      </c>
      <c r="AF220">
        <f>MIN(100,AE221+IF(AND(AE221&lt;100,AE222+1&gt;=IF(OR('5-man'!$F$6=TRUE,'5-man'!$F$6="TRUE",'5-man'!$F$6="Yes"),25,50)),10,0)+IF('5-man'!AF$24=$Q$226,25,0))</f>
        <v/>
      </c>
      <c r="AG220">
        <f>MIN(100,AF221+IF(AND(AF221&lt;100,AF222+1&gt;=IF(OR('5-man'!$F$6=TRUE,'5-man'!$F$6="TRUE",'5-man'!$F$6="Yes"),25,50)),10,0)+IF('5-man'!AG$24=$Q$226,25,0))</f>
        <v/>
      </c>
      <c r="AH220">
        <f>MIN(100,AG221+IF(AND(AG221&lt;100,AG222+1&gt;=IF(OR('5-man'!$F$6=TRUE,'5-man'!$F$6="TRUE",'5-man'!$F$6="Yes"),25,50)),10,0)+IF('5-man'!AH$24=$Q$226,25,0))</f>
        <v/>
      </c>
      <c r="AI220">
        <f>MIN(100,AH221+IF(AND(AH221&lt;100,AH222+1&gt;=IF(OR('5-man'!$F$6=TRUE,'5-man'!$F$6="TRUE",'5-man'!$F$6="Yes"),25,50)),10,0)+IF('5-man'!AI$24=$Q$226,25,0))</f>
        <v/>
      </c>
      <c r="AJ220">
        <f>MIN(100,AI221+IF(AND(AI221&lt;100,AI222+1&gt;=IF(OR('5-man'!$F$6=TRUE,'5-man'!$F$6="TRUE",'5-man'!$F$6="Yes"),25,50)),10,0)+IF('5-man'!AJ$24=$Q$226,25,0))</f>
        <v/>
      </c>
      <c r="AK220">
        <f>MIN(100,AJ221+IF(AND(AJ221&lt;100,AJ222+1&gt;=IF(OR('5-man'!$F$6=TRUE,'5-man'!$F$6="TRUE",'5-man'!$F$6="Yes"),25,50)),10,0)+IF('5-man'!AK$24=$Q$226,25,0))</f>
        <v/>
      </c>
      <c r="AL220">
        <f>MIN(100,AK221+IF(AND(AK221&lt;100,AK222+1&gt;=IF(OR('5-man'!$F$6=TRUE,'5-man'!$F$6="TRUE",'5-man'!$F$6="Yes"),25,50)),10,0)+IF('5-man'!AL$24=$Q$226,25,0))</f>
        <v/>
      </c>
      <c r="AM220">
        <f>MIN(100,AL221+IF(AND(AL221&lt;100,AL222+1&gt;=IF(OR('5-man'!$F$6=TRUE,'5-man'!$F$6="TRUE",'5-man'!$F$6="Yes"),25,50)),10,0)+IF('5-man'!AM$24=$Q$226,25,0))</f>
        <v/>
      </c>
      <c r="AN220">
        <f>MIN(100,AM221+IF(AND(AM221&lt;100,AM222+1&gt;=IF(OR('5-man'!$F$6=TRUE,'5-man'!$F$6="TRUE",'5-man'!$F$6="Yes"),25,50)),10,0)+IF('5-man'!AN$24=$Q$226,25,0))</f>
        <v/>
      </c>
      <c r="AO220">
        <f>MIN(100,AN221+IF(AND(AN221&lt;100,AN222+1&gt;=IF(OR('5-man'!$F$6=TRUE,'5-man'!$F$6="TRUE",'5-man'!$F$6="Yes"),25,50)),10,0)+IF('5-man'!AO$24=$Q$226,25,0))</f>
        <v/>
      </c>
      <c r="AP220">
        <f>MIN(100,AO221+IF(AND(AO221&lt;100,AO222+1&gt;=IF(OR('5-man'!$F$6=TRUE,'5-man'!$F$6="TRUE",'5-man'!$F$6="Yes"),25,50)),10,0)+IF('5-man'!AP$24=$Q$226,25,0))</f>
        <v/>
      </c>
      <c r="AQ220">
        <f>MIN(100,AP221+IF(AND(AP221&lt;100,AP222+1&gt;=IF(OR('5-man'!$F$6=TRUE,'5-man'!$F$6="TRUE",'5-man'!$F$6="Yes"),25,50)),10,0)+IF('5-man'!AQ$24=$Q$226,25,0))</f>
        <v/>
      </c>
      <c r="AR220">
        <f>MIN(100,AQ221+IF(AND(AQ221&lt;100,AQ222+1&gt;=IF(OR('5-man'!$F$6=TRUE,'5-man'!$F$6="TRUE",'5-man'!$F$6="Yes"),25,50)),10,0)+IF('5-man'!AR$24=$Q$226,25,0))</f>
        <v/>
      </c>
      <c r="AS220">
        <f>MIN(100,AR221+IF(AND(AR221&lt;100,AR222+1&gt;=IF(OR('5-man'!$F$6=TRUE,'5-man'!$F$6="TRUE",'5-man'!$F$6="Yes"),25,50)),10,0)+IF('5-man'!AS$24=$Q$226,25,0))</f>
        <v/>
      </c>
      <c r="AT220">
        <f>MIN(100,AS221+IF(AND(AS221&lt;100,AS222+1&gt;=IF(OR('5-man'!$F$6=TRUE,'5-man'!$F$6="TRUE",'5-man'!$F$6="Yes"),25,50)),10,0)+IF('5-man'!AT$24=$Q$226,25,0))</f>
        <v/>
      </c>
      <c r="AU220">
        <f>MIN(100,AT221+IF(AND(AT221&lt;100,AT222+1&gt;=IF(OR('5-man'!$F$6=TRUE,'5-man'!$F$6="TRUE",'5-man'!$F$6="Yes"),25,50)),10,0)+IF('5-man'!AU$24=$Q$226,25,0))</f>
        <v/>
      </c>
      <c r="AV220">
        <f>MIN(100,AU221+IF(AND(AU221&lt;100,AU222+1&gt;=IF(OR('5-man'!$F$6=TRUE,'5-man'!$F$6="TRUE",'5-man'!$F$6="Yes"),25,50)),10,0)+IF('5-man'!AV$24=$Q$226,25,0))</f>
        <v/>
      </c>
      <c r="AW220">
        <f>MIN(100,AV221+IF(AND(AV221&lt;100,AV222+1&gt;=IF(OR('5-man'!$F$6=TRUE,'5-man'!$F$6="TRUE",'5-man'!$F$6="Yes"),25,50)),10,0)+IF('5-man'!AW$24=$Q$226,25,0))</f>
        <v/>
      </c>
      <c r="AX220">
        <f>MIN(100,AW221+IF(AND(AW221&lt;100,AW222+1&gt;=IF(OR('5-man'!$F$6=TRUE,'5-man'!$F$6="TRUE",'5-man'!$F$6="Yes"),25,50)),10,0)+IF('5-man'!AX$24=$Q$226,25,0))</f>
        <v/>
      </c>
      <c r="AY220">
        <f>MIN(100,AX221+IF(AND(AX221&lt;100,AX222+1&gt;=IF(OR('5-man'!$F$6=TRUE,'5-man'!$F$6="TRUE",'5-man'!$F$6="Yes"),25,50)),10,0)+IF('5-man'!AY$24=$Q$226,25,0))</f>
        <v/>
      </c>
      <c r="AZ220">
        <f>MIN(100,AY221+IF(AND(AY221&lt;100,AY222+1&gt;=IF(OR('5-man'!$F$6=TRUE,'5-man'!$F$6="TRUE",'5-man'!$F$6="Yes"),25,50)),10,0)+IF('5-man'!AZ$24=$Q$226,25,0))</f>
        <v/>
      </c>
      <c r="BA220">
        <f>MIN(100,AZ221+IF(AND(AZ221&lt;100,AZ222+1&gt;=IF(OR('5-man'!$F$6=TRUE,'5-man'!$F$6="TRUE",'5-man'!$F$6="Yes"),25,50)),10,0)+IF('5-man'!BA$24=$Q$226,25,0))</f>
        <v/>
      </c>
      <c r="BB220">
        <f>MIN(100,BA221+IF(AND(BA221&lt;100,BA222+1&gt;=IF(OR('5-man'!$F$6=TRUE,'5-man'!$F$6="TRUE",'5-man'!$F$6="Yes"),25,50)),10,0)+IF('5-man'!BB$24=$Q$226,25,0))</f>
        <v/>
      </c>
      <c r="BC220">
        <f>MIN(100,BB221+IF(AND(BB221&lt;100,BB222+1&gt;=IF(OR('5-man'!$F$6=TRUE,'5-man'!$F$6="TRUE",'5-man'!$F$6="Yes"),25,50)),10,0)+IF('5-man'!BC$24=$Q$226,25,0))</f>
        <v/>
      </c>
      <c r="BD220">
        <f>MIN(100,BC221+IF(AND(BC221&lt;100,BC222+1&gt;=IF(OR('5-man'!$F$6=TRUE,'5-man'!$F$6="TRUE",'5-man'!$F$6="Yes"),25,50)),10,0)+IF('5-man'!BD$24=$Q$226,25,0))</f>
        <v/>
      </c>
      <c r="BE220">
        <f>MIN(100,BD221+IF(AND(BD221&lt;100,BD222+1&gt;=IF(OR('5-man'!$F$6=TRUE,'5-man'!$F$6="TRUE",'5-man'!$F$6="Yes"),25,50)),10,0)+IF('5-man'!BE$24=$Q$226,25,0))</f>
        <v/>
      </c>
      <c r="BF220">
        <f>MIN(100,BE221+IF(AND(BE221&lt;100,BE222+1&gt;=IF(OR('5-man'!$F$6=TRUE,'5-man'!$F$6="TRUE",'5-man'!$F$6="Yes"),25,50)),10,0)+IF('5-man'!BF$24=$Q$226,25,0))</f>
        <v/>
      </c>
      <c r="BG220">
        <f>MIN(100,BF221+IF(AND(BF221&lt;100,BF222+1&gt;=IF(OR('5-man'!$F$6=TRUE,'5-man'!$F$6="TRUE",'5-man'!$F$6="Yes"),25,50)),10,0)+IF('5-man'!BG$24=$Q$226,25,0))</f>
        <v/>
      </c>
      <c r="BH220">
        <f>MIN(100,BG221+IF(AND(BG221&lt;100,BG222+1&gt;=IF(OR('5-man'!$F$6=TRUE,'5-man'!$F$6="TRUE",'5-man'!$F$6="Yes"),25,50)),10,0)+IF('5-man'!BH$24=$Q$226,25,0))</f>
        <v/>
      </c>
      <c r="BI220">
        <f>MIN(100,BH221+IF(AND(BH221&lt;100,BH222+1&gt;=IF(OR('5-man'!$F$6=TRUE,'5-man'!$F$6="TRUE",'5-man'!$F$6="Yes"),25,50)),10,0)+IF('5-man'!BI$24=$Q$226,25,0))</f>
        <v/>
      </c>
      <c r="BJ220">
        <f>MIN(100,BI221+IF(AND(BI221&lt;100,BI222+1&gt;=IF(OR('5-man'!$F$6=TRUE,'5-man'!$F$6="TRUE",'5-man'!$F$6="Yes"),25,50)),10,0)+IF('5-man'!BJ$24=$Q$226,25,0))</f>
        <v/>
      </c>
      <c r="BK220">
        <f>MIN(100,BJ221+IF(AND(BJ221&lt;100,BJ222+1&gt;=IF(OR('5-man'!$F$6=TRUE,'5-man'!$F$6="TRUE",'5-man'!$F$6="Yes"),25,50)),10,0)+IF('5-man'!BK$24=$Q$226,25,0))</f>
        <v/>
      </c>
      <c r="BL220">
        <f>MIN(100,BK221+IF(AND(BK221&lt;100,BK222+1&gt;=IF(OR('5-man'!$F$6=TRUE,'5-man'!$F$6="TRUE",'5-man'!$F$6="Yes"),25,50)),10,0)+IF('5-man'!BL$24=$Q$226,25,0))</f>
        <v/>
      </c>
      <c r="BM220">
        <f>MIN(100,BL221+IF(AND(BL221&lt;100,BL222+1&gt;=IF(OR('5-man'!$F$6=TRUE,'5-man'!$F$6="TRUE",'5-man'!$F$6="Yes"),25,50)),10,0)+IF('5-man'!BM$24=$Q$226,25,0))</f>
        <v/>
      </c>
      <c r="BN220">
        <f>MIN(100,BM221+IF(AND(BM221&lt;100,BM222+1&gt;=IF(OR('5-man'!$F$6=TRUE,'5-man'!$F$6="TRUE",'5-man'!$F$6="Yes"),25,50)),10,0)+IF('5-man'!BN$24=$Q$226,25,0))</f>
        <v/>
      </c>
      <c r="BO220">
        <f>MIN(100,BN221+IF(AND(BN221&lt;100,BN222+1&gt;=IF(OR('5-man'!$F$6=TRUE,'5-man'!$F$6="TRUE",'5-man'!$F$6="Yes"),25,50)),10,0)+IF('5-man'!BO$24=$Q$226,25,0))</f>
        <v/>
      </c>
      <c r="BP220">
        <f>MIN(100,BO221+IF(AND(BO221&lt;100,BO222+1&gt;=IF(OR('5-man'!$F$6=TRUE,'5-man'!$F$6="TRUE",'5-man'!$F$6="Yes"),25,50)),10,0)+IF('5-man'!BP$24=$Q$226,25,0))</f>
        <v/>
      </c>
      <c r="BQ220">
        <f>MIN(100,BP221+IF(AND(BP221&lt;100,BP222+1&gt;=IF(OR('5-man'!$F$6=TRUE,'5-man'!$F$6="TRUE",'5-man'!$F$6="Yes"),25,50)),10,0)+IF('5-man'!BQ$24=$Q$226,25,0))</f>
        <v/>
      </c>
      <c r="BR220">
        <f>MIN(100,BQ221+IF(AND(BQ221&lt;100,BQ222+1&gt;=IF(OR('5-man'!$F$6=TRUE,'5-man'!$F$6="TRUE",'5-man'!$F$6="Yes"),25,50)),10,0)+IF('5-man'!BR$24=$Q$226,25,0))</f>
        <v/>
      </c>
      <c r="BS220">
        <f>MIN(100,BR221+IF(AND(BR221&lt;100,BR222+1&gt;=IF(OR('5-man'!$F$6=TRUE,'5-man'!$F$6="TRUE",'5-man'!$F$6="Yes"),25,50)),10,0)+IF('5-man'!BS$24=$Q$226,25,0))</f>
        <v/>
      </c>
      <c r="BT220">
        <f>MIN(100,BS221+IF(AND(BS221&lt;100,BS222+1&gt;=IF(OR('5-man'!$F$6=TRUE,'5-man'!$F$6="TRUE",'5-man'!$F$6="Yes"),25,50)),10,0)+IF('5-man'!BT$24=$Q$226,25,0))</f>
        <v/>
      </c>
      <c r="BU220">
        <f>MIN(100,BT221+IF(AND(BT221&lt;100,BT222+1&gt;=IF(OR('5-man'!$F$6=TRUE,'5-man'!$F$6="TRUE",'5-man'!$F$6="Yes"),25,50)),10,0)+IF('5-man'!BU$24=$Q$226,25,0))</f>
        <v/>
      </c>
      <c r="BV220">
        <f>MIN(100,BU221+IF(AND(BU221&lt;100,BU222+1&gt;=IF(OR('5-man'!$F$6=TRUE,'5-man'!$F$6="TRUE",'5-man'!$F$6="Yes"),25,50)),10,0)+IF('5-man'!BV$24=$Q$226,25,0))</f>
        <v/>
      </c>
      <c r="BW220">
        <f>MIN(100,BV221+IF(AND(BV221&lt;100,BV222+1&gt;=IF(OR('5-man'!$F$6=TRUE,'5-man'!$F$6="TRUE",'5-man'!$F$6="Yes"),25,50)),10,0)+IF('5-man'!BW$24=$Q$226,25,0))</f>
        <v/>
      </c>
      <c r="BX220">
        <f>MIN(100,BW221+IF(AND(BW221&lt;100,BW222+1&gt;=IF(OR('5-man'!$F$6=TRUE,'5-man'!$F$6="TRUE",'5-man'!$F$6="Yes"),25,50)),10,0)+IF('5-man'!BX$24=$Q$226,25,0))</f>
        <v/>
      </c>
      <c r="BY220">
        <f>MIN(100,BX221+IF(AND(BX221&lt;100,BX222+1&gt;=IF(OR('5-man'!$F$6=TRUE,'5-man'!$F$6="TRUE",'5-man'!$F$6="Yes"),25,50)),10,0)+IF('5-man'!BY$24=$Q$226,25,0))</f>
        <v/>
      </c>
      <c r="BZ220">
        <f>MIN(100,BY221+IF(AND(BY221&lt;100,BY222+1&gt;=IF(OR('5-man'!$F$6=TRUE,'5-man'!$F$6="TRUE",'5-man'!$F$6="Yes"),25,50)),10,0)+IF('5-man'!BZ$24=$Q$226,25,0))</f>
        <v/>
      </c>
      <c r="CA220">
        <f>MIN(100,BZ221+IF(AND(BZ221&lt;100,BZ222+1&gt;=IF(OR('5-man'!$F$6=TRUE,'5-man'!$F$6="TRUE",'5-man'!$F$6="Yes"),25,50)),10,0)+IF('5-man'!CA$24=$Q$226,25,0))</f>
        <v/>
      </c>
      <c r="CB220">
        <f>MIN(100,CA221+IF(AND(CA221&lt;100,CA222+1&gt;=IF(OR('5-man'!$F$6=TRUE,'5-man'!$F$6="TRUE",'5-man'!$F$6="Yes"),25,50)),10,0)+IF('5-man'!CB$24=$Q$226,25,0))</f>
        <v/>
      </c>
      <c r="CC220">
        <f>MIN(100,CB221+IF(AND(CB221&lt;100,CB222+1&gt;=IF(OR('5-man'!$F$6=TRUE,'5-man'!$F$6="TRUE",'5-man'!$F$6="Yes"),25,50)),10,0)+IF('5-man'!CC$24=$Q$226,25,0))</f>
        <v/>
      </c>
      <c r="CD220">
        <f>MIN(100,CC221+IF(AND(CC221&lt;100,CC222+1&gt;=IF(OR('5-man'!$F$6=TRUE,'5-man'!$F$6="TRUE",'5-man'!$F$6="Yes"),25,50)),10,0)+IF('5-man'!CD$24=$Q$226,25,0))</f>
        <v/>
      </c>
    </row>
    <row r="221">
      <c r="A221" t="inlineStr">
        <is>
          <t>P3 spec</t>
        </is>
      </c>
      <c r="B221">
        <f>IF('5-man'!$C$6="",100,'5-man'!$C$6)</f>
        <v/>
      </c>
      <c r="C221">
        <f>IF('5-man'!C$27="R",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5-man'!D$27="R",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5-man'!E$27="R",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5-man'!F$27="R",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5-man'!G$27="R",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5-man'!H$27="R",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5-man'!I$27="R",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5-man'!J$27="R",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5-man'!K$27="R",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5-man'!L$27="R",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5-man'!M$27="R",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5-man'!N$27="R",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5-man'!O$27="R",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5-man'!P$27="R",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5-man'!Q$27="R",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5-man'!R$27="R",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5-man'!S$27="R",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5-man'!T$27="R",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5-man'!U$27="R",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5-man'!V$27="R",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5-man'!W$27="R",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5-man'!X$27="R",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5-man'!Y$27="R",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5-man'!Z$27="R",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5-man'!AA$27="R",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5-man'!AB$27="R",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5-man'!AC$27="R",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5-man'!AD$27="R",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5-man'!AE$27="R",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5-man'!AF$27="R",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5-man'!AG$27="R",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5-man'!AH$27="R",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5-man'!AI$27="R",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5-man'!AJ$27="R",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5-man'!AK$27="R",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5-man'!AL$27="R",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5-man'!AM$27="R",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5-man'!AN$27="R",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5-man'!AO$27="R",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5-man'!AP$27="R",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5-man'!AQ$27="R",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5-man'!AR$27="R",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5-man'!AS$27="R",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5-man'!AT$27="R",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5-man'!AU$27="R",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5-man'!AV$27="R",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5-man'!AW$27="R",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5-man'!AX$27="R",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5-man'!AY$27="R",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5-man'!AZ$27="R",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5-man'!BA$27="R",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5-man'!BB$27="R",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5-man'!BC$27="R",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5-man'!BD$27="R",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5-man'!BE$27="R",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5-man'!BF$27="R",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5-man'!BG$27="R",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5-man'!BH$27="R",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5-man'!BI$27="R",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5-man'!BJ$27="R",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5-man'!BK$27="R",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5-man'!BL$27="R",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5-man'!BM$27="R",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5-man'!BN$27="R",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5-man'!BO$27="R",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5-man'!BP$27="R",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5-man'!BQ$27="R",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5-man'!BR$27="R",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5-man'!BS$27="R",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5-man'!BT$27="R",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5-man'!BU$27="R",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5-man'!BV$27="R",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5-man'!BW$27="R",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5-man'!BX$27="R",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5-man'!BY$27="R",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5-man'!BZ$27="R",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5-man'!CA$27="R",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5-man'!CB$27="R",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5-man'!CC$27="R",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5-man'!CD$27="R",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IF('5-man'!C$27="R",0,IF(B221&gt;=100,0,IF(B222+1&gt;=IF(OR('5-man'!$F$6=TRUE,'5-man'!$F$6="TRUE",'5-man'!$F$6="Yes"),25,50),0,B222+1)))</f>
        <v/>
      </c>
      <c r="D222">
        <f>IF('5-man'!D$27="R",0,IF(C221&gt;=100,0,IF(C222+1&gt;=IF(OR('5-man'!$F$6=TRUE,'5-man'!$F$6="TRUE",'5-man'!$F$6="Yes"),25,50),0,C222+1)))</f>
        <v/>
      </c>
      <c r="E222">
        <f>IF('5-man'!E$27="R",0,IF(D221&gt;=100,0,IF(D222+1&gt;=IF(OR('5-man'!$F$6=TRUE,'5-man'!$F$6="TRUE",'5-man'!$F$6="Yes"),25,50),0,D222+1)))</f>
        <v/>
      </c>
      <c r="F222">
        <f>IF('5-man'!F$27="R",0,IF(E221&gt;=100,0,IF(E222+1&gt;=IF(OR('5-man'!$F$6=TRUE,'5-man'!$F$6="TRUE",'5-man'!$F$6="Yes"),25,50),0,E222+1)))</f>
        <v/>
      </c>
      <c r="G222">
        <f>IF('5-man'!G$27="R",0,IF(F221&gt;=100,0,IF(F222+1&gt;=IF(OR('5-man'!$F$6=TRUE,'5-man'!$F$6="TRUE",'5-man'!$F$6="Yes"),25,50),0,F222+1)))</f>
        <v/>
      </c>
      <c r="H222">
        <f>IF('5-man'!H$27="R",0,IF(G221&gt;=100,0,IF(G222+1&gt;=IF(OR('5-man'!$F$6=TRUE,'5-man'!$F$6="TRUE",'5-man'!$F$6="Yes"),25,50),0,G222+1)))</f>
        <v/>
      </c>
      <c r="I222">
        <f>IF('5-man'!I$27="R",0,IF(H221&gt;=100,0,IF(H222+1&gt;=IF(OR('5-man'!$F$6=TRUE,'5-man'!$F$6="TRUE",'5-man'!$F$6="Yes"),25,50),0,H222+1)))</f>
        <v/>
      </c>
      <c r="J222">
        <f>IF('5-man'!J$27="R",0,IF(I221&gt;=100,0,IF(I222+1&gt;=IF(OR('5-man'!$F$6=TRUE,'5-man'!$F$6="TRUE",'5-man'!$F$6="Yes"),25,50),0,I222+1)))</f>
        <v/>
      </c>
      <c r="K222">
        <f>IF('5-man'!K$27="R",0,IF(J221&gt;=100,0,IF(J222+1&gt;=IF(OR('5-man'!$F$6=TRUE,'5-man'!$F$6="TRUE",'5-man'!$F$6="Yes"),25,50),0,J222+1)))</f>
        <v/>
      </c>
      <c r="L222">
        <f>IF('5-man'!L$27="R",0,IF(K221&gt;=100,0,IF(K222+1&gt;=IF(OR('5-man'!$F$6=TRUE,'5-man'!$F$6="TRUE",'5-man'!$F$6="Yes"),25,50),0,K222+1)))</f>
        <v/>
      </c>
      <c r="M222">
        <f>IF('5-man'!M$27="R",0,IF(L221&gt;=100,0,IF(L222+1&gt;=IF(OR('5-man'!$F$6=TRUE,'5-man'!$F$6="TRUE",'5-man'!$F$6="Yes"),25,50),0,L222+1)))</f>
        <v/>
      </c>
      <c r="N222">
        <f>IF('5-man'!N$27="R",0,IF(M221&gt;=100,0,IF(M222+1&gt;=IF(OR('5-man'!$F$6=TRUE,'5-man'!$F$6="TRUE",'5-man'!$F$6="Yes"),25,50),0,M222+1)))</f>
        <v/>
      </c>
      <c r="O222">
        <f>IF('5-man'!O$27="R",0,IF(N221&gt;=100,0,IF(N222+1&gt;=IF(OR('5-man'!$F$6=TRUE,'5-man'!$F$6="TRUE",'5-man'!$F$6="Yes"),25,50),0,N222+1)))</f>
        <v/>
      </c>
      <c r="P222">
        <f>IF('5-man'!P$27="R",0,IF(O221&gt;=100,0,IF(O222+1&gt;=IF(OR('5-man'!$F$6=TRUE,'5-man'!$F$6="TRUE",'5-man'!$F$6="Yes"),25,50),0,O222+1)))</f>
        <v/>
      </c>
      <c r="Q222">
        <f>IF('5-man'!Q$27="R",0,IF(P221&gt;=100,0,IF(P222+1&gt;=IF(OR('5-man'!$F$6=TRUE,'5-man'!$F$6="TRUE",'5-man'!$F$6="Yes"),25,50),0,P222+1)))</f>
        <v/>
      </c>
      <c r="R222">
        <f>IF('5-man'!R$27="R",0,IF(Q221&gt;=100,0,IF(Q222+1&gt;=IF(OR('5-man'!$F$6=TRUE,'5-man'!$F$6="TRUE",'5-man'!$F$6="Yes"),25,50),0,Q222+1)))</f>
        <v/>
      </c>
      <c r="S222">
        <f>IF('5-man'!S$27="R",0,IF(R221&gt;=100,0,IF(R222+1&gt;=IF(OR('5-man'!$F$6=TRUE,'5-man'!$F$6="TRUE",'5-man'!$F$6="Yes"),25,50),0,R222+1)))</f>
        <v/>
      </c>
      <c r="T222">
        <f>IF('5-man'!T$27="R",0,IF(S221&gt;=100,0,IF(S222+1&gt;=IF(OR('5-man'!$F$6=TRUE,'5-man'!$F$6="TRUE",'5-man'!$F$6="Yes"),25,50),0,S222+1)))</f>
        <v/>
      </c>
      <c r="U222">
        <f>IF('5-man'!U$27="R",0,IF(T221&gt;=100,0,IF(T222+1&gt;=IF(OR('5-man'!$F$6=TRUE,'5-man'!$F$6="TRUE",'5-man'!$F$6="Yes"),25,50),0,T222+1)))</f>
        <v/>
      </c>
      <c r="V222">
        <f>IF('5-man'!V$27="R",0,IF(U221&gt;=100,0,IF(U222+1&gt;=IF(OR('5-man'!$F$6=TRUE,'5-man'!$F$6="TRUE",'5-man'!$F$6="Yes"),25,50),0,U222+1)))</f>
        <v/>
      </c>
      <c r="W222">
        <f>IF('5-man'!W$27="R",0,IF(V221&gt;=100,0,IF(V222+1&gt;=IF(OR('5-man'!$F$6=TRUE,'5-man'!$F$6="TRUE",'5-man'!$F$6="Yes"),25,50),0,V222+1)))</f>
        <v/>
      </c>
      <c r="X222">
        <f>IF('5-man'!X$27="R",0,IF(W221&gt;=100,0,IF(W222+1&gt;=IF(OR('5-man'!$F$6=TRUE,'5-man'!$F$6="TRUE",'5-man'!$F$6="Yes"),25,50),0,W222+1)))</f>
        <v/>
      </c>
      <c r="Y222">
        <f>IF('5-man'!Y$27="R",0,IF(X221&gt;=100,0,IF(X222+1&gt;=IF(OR('5-man'!$F$6=TRUE,'5-man'!$F$6="TRUE",'5-man'!$F$6="Yes"),25,50),0,X222+1)))</f>
        <v/>
      </c>
      <c r="Z222">
        <f>IF('5-man'!Z$27="R",0,IF(Y221&gt;=100,0,IF(Y222+1&gt;=IF(OR('5-man'!$F$6=TRUE,'5-man'!$F$6="TRUE",'5-man'!$F$6="Yes"),25,50),0,Y222+1)))</f>
        <v/>
      </c>
      <c r="AA222">
        <f>IF('5-man'!AA$27="R",0,IF(Z221&gt;=100,0,IF(Z222+1&gt;=IF(OR('5-man'!$F$6=TRUE,'5-man'!$F$6="TRUE",'5-man'!$F$6="Yes"),25,50),0,Z222+1)))</f>
        <v/>
      </c>
      <c r="AB222">
        <f>IF('5-man'!AB$27="R",0,IF(AA221&gt;=100,0,IF(AA222+1&gt;=IF(OR('5-man'!$F$6=TRUE,'5-man'!$F$6="TRUE",'5-man'!$F$6="Yes"),25,50),0,AA222+1)))</f>
        <v/>
      </c>
      <c r="AC222">
        <f>IF('5-man'!AC$27="R",0,IF(AB221&gt;=100,0,IF(AB222+1&gt;=IF(OR('5-man'!$F$6=TRUE,'5-man'!$F$6="TRUE",'5-man'!$F$6="Yes"),25,50),0,AB222+1)))</f>
        <v/>
      </c>
      <c r="AD222">
        <f>IF('5-man'!AD$27="R",0,IF(AC221&gt;=100,0,IF(AC222+1&gt;=IF(OR('5-man'!$F$6=TRUE,'5-man'!$F$6="TRUE",'5-man'!$F$6="Yes"),25,50),0,AC222+1)))</f>
        <v/>
      </c>
      <c r="AE222">
        <f>IF('5-man'!AE$27="R",0,IF(AD221&gt;=100,0,IF(AD222+1&gt;=IF(OR('5-man'!$F$6=TRUE,'5-man'!$F$6="TRUE",'5-man'!$F$6="Yes"),25,50),0,AD222+1)))</f>
        <v/>
      </c>
      <c r="AF222">
        <f>IF('5-man'!AF$27="R",0,IF(AE221&gt;=100,0,IF(AE222+1&gt;=IF(OR('5-man'!$F$6=TRUE,'5-man'!$F$6="TRUE",'5-man'!$F$6="Yes"),25,50),0,AE222+1)))</f>
        <v/>
      </c>
      <c r="AG222">
        <f>IF('5-man'!AG$27="R",0,IF(AF221&gt;=100,0,IF(AF222+1&gt;=IF(OR('5-man'!$F$6=TRUE,'5-man'!$F$6="TRUE",'5-man'!$F$6="Yes"),25,50),0,AF222+1)))</f>
        <v/>
      </c>
      <c r="AH222">
        <f>IF('5-man'!AH$27="R",0,IF(AG221&gt;=100,0,IF(AG222+1&gt;=IF(OR('5-man'!$F$6=TRUE,'5-man'!$F$6="TRUE",'5-man'!$F$6="Yes"),25,50),0,AG222+1)))</f>
        <v/>
      </c>
      <c r="AI222">
        <f>IF('5-man'!AI$27="R",0,IF(AH221&gt;=100,0,IF(AH222+1&gt;=IF(OR('5-man'!$F$6=TRUE,'5-man'!$F$6="TRUE",'5-man'!$F$6="Yes"),25,50),0,AH222+1)))</f>
        <v/>
      </c>
      <c r="AJ222">
        <f>IF('5-man'!AJ$27="R",0,IF(AI221&gt;=100,0,IF(AI222+1&gt;=IF(OR('5-man'!$F$6=TRUE,'5-man'!$F$6="TRUE",'5-man'!$F$6="Yes"),25,50),0,AI222+1)))</f>
        <v/>
      </c>
      <c r="AK222">
        <f>IF('5-man'!AK$27="R",0,IF(AJ221&gt;=100,0,IF(AJ222+1&gt;=IF(OR('5-man'!$F$6=TRUE,'5-man'!$F$6="TRUE",'5-man'!$F$6="Yes"),25,50),0,AJ222+1)))</f>
        <v/>
      </c>
      <c r="AL222">
        <f>IF('5-man'!AL$27="R",0,IF(AK221&gt;=100,0,IF(AK222+1&gt;=IF(OR('5-man'!$F$6=TRUE,'5-man'!$F$6="TRUE",'5-man'!$F$6="Yes"),25,50),0,AK222+1)))</f>
        <v/>
      </c>
      <c r="AM222">
        <f>IF('5-man'!AM$27="R",0,IF(AL221&gt;=100,0,IF(AL222+1&gt;=IF(OR('5-man'!$F$6=TRUE,'5-man'!$F$6="TRUE",'5-man'!$F$6="Yes"),25,50),0,AL222+1)))</f>
        <v/>
      </c>
      <c r="AN222">
        <f>IF('5-man'!AN$27="R",0,IF(AM221&gt;=100,0,IF(AM222+1&gt;=IF(OR('5-man'!$F$6=TRUE,'5-man'!$F$6="TRUE",'5-man'!$F$6="Yes"),25,50),0,AM222+1)))</f>
        <v/>
      </c>
      <c r="AO222">
        <f>IF('5-man'!AO$27="R",0,IF(AN221&gt;=100,0,IF(AN222+1&gt;=IF(OR('5-man'!$F$6=TRUE,'5-man'!$F$6="TRUE",'5-man'!$F$6="Yes"),25,50),0,AN222+1)))</f>
        <v/>
      </c>
      <c r="AP222">
        <f>IF('5-man'!AP$27="R",0,IF(AO221&gt;=100,0,IF(AO222+1&gt;=IF(OR('5-man'!$F$6=TRUE,'5-man'!$F$6="TRUE",'5-man'!$F$6="Yes"),25,50),0,AO222+1)))</f>
        <v/>
      </c>
      <c r="AQ222">
        <f>IF('5-man'!AQ$27="R",0,IF(AP221&gt;=100,0,IF(AP222+1&gt;=IF(OR('5-man'!$F$6=TRUE,'5-man'!$F$6="TRUE",'5-man'!$F$6="Yes"),25,50),0,AP222+1)))</f>
        <v/>
      </c>
      <c r="AR222">
        <f>IF('5-man'!AR$27="R",0,IF(AQ221&gt;=100,0,IF(AQ222+1&gt;=IF(OR('5-man'!$F$6=TRUE,'5-man'!$F$6="TRUE",'5-man'!$F$6="Yes"),25,50),0,AQ222+1)))</f>
        <v/>
      </c>
      <c r="AS222">
        <f>IF('5-man'!AS$27="R",0,IF(AR221&gt;=100,0,IF(AR222+1&gt;=IF(OR('5-man'!$F$6=TRUE,'5-man'!$F$6="TRUE",'5-man'!$F$6="Yes"),25,50),0,AR222+1)))</f>
        <v/>
      </c>
      <c r="AT222">
        <f>IF('5-man'!AT$27="R",0,IF(AS221&gt;=100,0,IF(AS222+1&gt;=IF(OR('5-man'!$F$6=TRUE,'5-man'!$F$6="TRUE",'5-man'!$F$6="Yes"),25,50),0,AS222+1)))</f>
        <v/>
      </c>
      <c r="AU222">
        <f>IF('5-man'!AU$27="R",0,IF(AT221&gt;=100,0,IF(AT222+1&gt;=IF(OR('5-man'!$F$6=TRUE,'5-man'!$F$6="TRUE",'5-man'!$F$6="Yes"),25,50),0,AT222+1)))</f>
        <v/>
      </c>
      <c r="AV222">
        <f>IF('5-man'!AV$27="R",0,IF(AU221&gt;=100,0,IF(AU222+1&gt;=IF(OR('5-man'!$F$6=TRUE,'5-man'!$F$6="TRUE",'5-man'!$F$6="Yes"),25,50),0,AU222+1)))</f>
        <v/>
      </c>
      <c r="AW222">
        <f>IF('5-man'!AW$27="R",0,IF(AV221&gt;=100,0,IF(AV222+1&gt;=IF(OR('5-man'!$F$6=TRUE,'5-man'!$F$6="TRUE",'5-man'!$F$6="Yes"),25,50),0,AV222+1)))</f>
        <v/>
      </c>
      <c r="AX222">
        <f>IF('5-man'!AX$27="R",0,IF(AW221&gt;=100,0,IF(AW222+1&gt;=IF(OR('5-man'!$F$6=TRUE,'5-man'!$F$6="TRUE",'5-man'!$F$6="Yes"),25,50),0,AW222+1)))</f>
        <v/>
      </c>
      <c r="AY222">
        <f>IF('5-man'!AY$27="R",0,IF(AX221&gt;=100,0,IF(AX222+1&gt;=IF(OR('5-man'!$F$6=TRUE,'5-man'!$F$6="TRUE",'5-man'!$F$6="Yes"),25,50),0,AX222+1)))</f>
        <v/>
      </c>
      <c r="AZ222">
        <f>IF('5-man'!AZ$27="R",0,IF(AY221&gt;=100,0,IF(AY222+1&gt;=IF(OR('5-man'!$F$6=TRUE,'5-man'!$F$6="TRUE",'5-man'!$F$6="Yes"),25,50),0,AY222+1)))</f>
        <v/>
      </c>
      <c r="BA222">
        <f>IF('5-man'!BA$27="R",0,IF(AZ221&gt;=100,0,IF(AZ222+1&gt;=IF(OR('5-man'!$F$6=TRUE,'5-man'!$F$6="TRUE",'5-man'!$F$6="Yes"),25,50),0,AZ222+1)))</f>
        <v/>
      </c>
      <c r="BB222">
        <f>IF('5-man'!BB$27="R",0,IF(BA221&gt;=100,0,IF(BA222+1&gt;=IF(OR('5-man'!$F$6=TRUE,'5-man'!$F$6="TRUE",'5-man'!$F$6="Yes"),25,50),0,BA222+1)))</f>
        <v/>
      </c>
      <c r="BC222">
        <f>IF('5-man'!BC$27="R",0,IF(BB221&gt;=100,0,IF(BB222+1&gt;=IF(OR('5-man'!$F$6=TRUE,'5-man'!$F$6="TRUE",'5-man'!$F$6="Yes"),25,50),0,BB222+1)))</f>
        <v/>
      </c>
      <c r="BD222">
        <f>IF('5-man'!BD$27="R",0,IF(BC221&gt;=100,0,IF(BC222+1&gt;=IF(OR('5-man'!$F$6=TRUE,'5-man'!$F$6="TRUE",'5-man'!$F$6="Yes"),25,50),0,BC222+1)))</f>
        <v/>
      </c>
      <c r="BE222">
        <f>IF('5-man'!BE$27="R",0,IF(BD221&gt;=100,0,IF(BD222+1&gt;=IF(OR('5-man'!$F$6=TRUE,'5-man'!$F$6="TRUE",'5-man'!$F$6="Yes"),25,50),0,BD222+1)))</f>
        <v/>
      </c>
      <c r="BF222">
        <f>IF('5-man'!BF$27="R",0,IF(BE221&gt;=100,0,IF(BE222+1&gt;=IF(OR('5-man'!$F$6=TRUE,'5-man'!$F$6="TRUE",'5-man'!$F$6="Yes"),25,50),0,BE222+1)))</f>
        <v/>
      </c>
      <c r="BG222">
        <f>IF('5-man'!BG$27="R",0,IF(BF221&gt;=100,0,IF(BF222+1&gt;=IF(OR('5-man'!$F$6=TRUE,'5-man'!$F$6="TRUE",'5-man'!$F$6="Yes"),25,50),0,BF222+1)))</f>
        <v/>
      </c>
      <c r="BH222">
        <f>IF('5-man'!BH$27="R",0,IF(BG221&gt;=100,0,IF(BG222+1&gt;=IF(OR('5-man'!$F$6=TRUE,'5-man'!$F$6="TRUE",'5-man'!$F$6="Yes"),25,50),0,BG222+1)))</f>
        <v/>
      </c>
      <c r="BI222">
        <f>IF('5-man'!BI$27="R",0,IF(BH221&gt;=100,0,IF(BH222+1&gt;=IF(OR('5-man'!$F$6=TRUE,'5-man'!$F$6="TRUE",'5-man'!$F$6="Yes"),25,50),0,BH222+1)))</f>
        <v/>
      </c>
      <c r="BJ222">
        <f>IF('5-man'!BJ$27="R",0,IF(BI221&gt;=100,0,IF(BI222+1&gt;=IF(OR('5-man'!$F$6=TRUE,'5-man'!$F$6="TRUE",'5-man'!$F$6="Yes"),25,50),0,BI222+1)))</f>
        <v/>
      </c>
      <c r="BK222">
        <f>IF('5-man'!BK$27="R",0,IF(BJ221&gt;=100,0,IF(BJ222+1&gt;=IF(OR('5-man'!$F$6=TRUE,'5-man'!$F$6="TRUE",'5-man'!$F$6="Yes"),25,50),0,BJ222+1)))</f>
        <v/>
      </c>
      <c r="BL222">
        <f>IF('5-man'!BL$27="R",0,IF(BK221&gt;=100,0,IF(BK222+1&gt;=IF(OR('5-man'!$F$6=TRUE,'5-man'!$F$6="TRUE",'5-man'!$F$6="Yes"),25,50),0,BK222+1)))</f>
        <v/>
      </c>
      <c r="BM222">
        <f>IF('5-man'!BM$27="R",0,IF(BL221&gt;=100,0,IF(BL222+1&gt;=IF(OR('5-man'!$F$6=TRUE,'5-man'!$F$6="TRUE",'5-man'!$F$6="Yes"),25,50),0,BL222+1)))</f>
        <v/>
      </c>
      <c r="BN222">
        <f>IF('5-man'!BN$27="R",0,IF(BM221&gt;=100,0,IF(BM222+1&gt;=IF(OR('5-man'!$F$6=TRUE,'5-man'!$F$6="TRUE",'5-man'!$F$6="Yes"),25,50),0,BM222+1)))</f>
        <v/>
      </c>
      <c r="BO222">
        <f>IF('5-man'!BO$27="R",0,IF(BN221&gt;=100,0,IF(BN222+1&gt;=IF(OR('5-man'!$F$6=TRUE,'5-man'!$F$6="TRUE",'5-man'!$F$6="Yes"),25,50),0,BN222+1)))</f>
        <v/>
      </c>
      <c r="BP222">
        <f>IF('5-man'!BP$27="R",0,IF(BO221&gt;=100,0,IF(BO222+1&gt;=IF(OR('5-man'!$F$6=TRUE,'5-man'!$F$6="TRUE",'5-man'!$F$6="Yes"),25,50),0,BO222+1)))</f>
        <v/>
      </c>
      <c r="BQ222">
        <f>IF('5-man'!BQ$27="R",0,IF(BP221&gt;=100,0,IF(BP222+1&gt;=IF(OR('5-man'!$F$6=TRUE,'5-man'!$F$6="TRUE",'5-man'!$F$6="Yes"),25,50),0,BP222+1)))</f>
        <v/>
      </c>
      <c r="BR222">
        <f>IF('5-man'!BR$27="R",0,IF(BQ221&gt;=100,0,IF(BQ222+1&gt;=IF(OR('5-man'!$F$6=TRUE,'5-man'!$F$6="TRUE",'5-man'!$F$6="Yes"),25,50),0,BQ222+1)))</f>
        <v/>
      </c>
      <c r="BS222">
        <f>IF('5-man'!BS$27="R",0,IF(BR221&gt;=100,0,IF(BR222+1&gt;=IF(OR('5-man'!$F$6=TRUE,'5-man'!$F$6="TRUE",'5-man'!$F$6="Yes"),25,50),0,BR222+1)))</f>
        <v/>
      </c>
      <c r="BT222">
        <f>IF('5-man'!BT$27="R",0,IF(BS221&gt;=100,0,IF(BS222+1&gt;=IF(OR('5-man'!$F$6=TRUE,'5-man'!$F$6="TRUE",'5-man'!$F$6="Yes"),25,50),0,BS222+1)))</f>
        <v/>
      </c>
      <c r="BU222">
        <f>IF('5-man'!BU$27="R",0,IF(BT221&gt;=100,0,IF(BT222+1&gt;=IF(OR('5-man'!$F$6=TRUE,'5-man'!$F$6="TRUE",'5-man'!$F$6="Yes"),25,50),0,BT222+1)))</f>
        <v/>
      </c>
      <c r="BV222">
        <f>IF('5-man'!BV$27="R",0,IF(BU221&gt;=100,0,IF(BU222+1&gt;=IF(OR('5-man'!$F$6=TRUE,'5-man'!$F$6="TRUE",'5-man'!$F$6="Yes"),25,50),0,BU222+1)))</f>
        <v/>
      </c>
      <c r="BW222">
        <f>IF('5-man'!BW$27="R",0,IF(BV221&gt;=100,0,IF(BV222+1&gt;=IF(OR('5-man'!$F$6=TRUE,'5-man'!$F$6="TRUE",'5-man'!$F$6="Yes"),25,50),0,BV222+1)))</f>
        <v/>
      </c>
      <c r="BX222">
        <f>IF('5-man'!BX$27="R",0,IF(BW221&gt;=100,0,IF(BW222+1&gt;=IF(OR('5-man'!$F$6=TRUE,'5-man'!$F$6="TRUE",'5-man'!$F$6="Yes"),25,50),0,BW222+1)))</f>
        <v/>
      </c>
      <c r="BY222">
        <f>IF('5-man'!BY$27="R",0,IF(BX221&gt;=100,0,IF(BX222+1&gt;=IF(OR('5-man'!$F$6=TRUE,'5-man'!$F$6="TRUE",'5-man'!$F$6="Yes"),25,50),0,BX222+1)))</f>
        <v/>
      </c>
      <c r="BZ222">
        <f>IF('5-man'!BZ$27="R",0,IF(BY221&gt;=100,0,IF(BY222+1&gt;=IF(OR('5-man'!$F$6=TRUE,'5-man'!$F$6="TRUE",'5-man'!$F$6="Yes"),25,50),0,BY222+1)))</f>
        <v/>
      </c>
      <c r="CA222">
        <f>IF('5-man'!CA$27="R",0,IF(BZ221&gt;=100,0,IF(BZ222+1&gt;=IF(OR('5-man'!$F$6=TRUE,'5-man'!$F$6="TRUE",'5-man'!$F$6="Yes"),25,50),0,BZ222+1)))</f>
        <v/>
      </c>
      <c r="CB222">
        <f>IF('5-man'!CB$27="R",0,IF(CA221&gt;=100,0,IF(CA222+1&gt;=IF(OR('5-man'!$F$6=TRUE,'5-man'!$F$6="TRUE",'5-man'!$F$6="Yes"),25,50),0,CA222+1)))</f>
        <v/>
      </c>
      <c r="CC222">
        <f>IF('5-man'!CC$27="R",0,IF(CB221&gt;=100,0,IF(CB222+1&gt;=IF(OR('5-man'!$F$6=TRUE,'5-man'!$F$6="TRUE",'5-man'!$F$6="Yes"),25,50),0,CB222+1)))</f>
        <v/>
      </c>
      <c r="CD222">
        <f>IF('5-man'!CD$27="R",0,IF(CC221&gt;=100,0,IF(CC222+1&gt;=IF(OR('5-man'!$F$6=TRUE,'5-man'!$F$6="TRUE",'5-man'!$F$6="Yes"),25,50),0,CC222+1)))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row>
    <row r="227">
      <c r="A227" t="inlineStr">
        <is>
          <t>P3 act</t>
        </is>
      </c>
      <c r="C227">
        <f>IF(OR('5-man'!C$27="P",'5-man'!C$27="R",AND('5-man'!C$24&lt;=IF('5-man'!$BF$4="",999,'5-man'!$BF$4),OR('5-man'!C$27="D",LEFT('5-man'!C$27,3)="ST&gt;",OR(AND('5-man'!C$25="ST&gt;3",C204&gt;=100),AND('5-man'!C$26="ST&gt;3",C212&gt;=100),AND('5-man'!C$28="ST&gt;3",C228&gt;=100),AND('5-man'!C$29="ST&gt;3",C236&gt;=100))))),'5-man'!C$24,0)</f>
        <v/>
      </c>
      <c r="D227">
        <f>IF(OR('5-man'!D$27="P",'5-man'!D$27="R",AND('5-man'!D$24&lt;=IF('5-man'!$BF$4="",999,'5-man'!$BF$4),OR('5-man'!D$27="D",LEFT('5-man'!D$27,3)="ST&gt;",OR(AND('5-man'!D$25="ST&gt;3",D204&gt;=100),AND('5-man'!D$26="ST&gt;3",D212&gt;=100),AND('5-man'!D$28="ST&gt;3",D228&gt;=100),AND('5-man'!D$29="ST&gt;3",D236&gt;=100))))),'5-man'!D$24,0)</f>
        <v/>
      </c>
      <c r="E227">
        <f>IF(OR('5-man'!E$27="P",'5-man'!E$27="R",AND('5-man'!E$24&lt;=IF('5-man'!$BF$4="",999,'5-man'!$BF$4),OR('5-man'!E$27="D",LEFT('5-man'!E$27,3)="ST&gt;",OR(AND('5-man'!E$25="ST&gt;3",E204&gt;=100),AND('5-man'!E$26="ST&gt;3",E212&gt;=100),AND('5-man'!E$28="ST&gt;3",E228&gt;=100),AND('5-man'!E$29="ST&gt;3",E236&gt;=100))))),'5-man'!E$24,0)</f>
        <v/>
      </c>
      <c r="F227">
        <f>IF(OR('5-man'!F$27="P",'5-man'!F$27="R",AND('5-man'!F$24&lt;=IF('5-man'!$BF$4="",999,'5-man'!$BF$4),OR('5-man'!F$27="D",LEFT('5-man'!F$27,3)="ST&gt;",OR(AND('5-man'!F$25="ST&gt;3",F204&gt;=100),AND('5-man'!F$26="ST&gt;3",F212&gt;=100),AND('5-man'!F$28="ST&gt;3",F228&gt;=100),AND('5-man'!F$29="ST&gt;3",F236&gt;=100))))),'5-man'!F$24,0)</f>
        <v/>
      </c>
      <c r="G227">
        <f>IF(OR('5-man'!G$27="P",'5-man'!G$27="R",AND('5-man'!G$24&lt;=IF('5-man'!$BF$4="",999,'5-man'!$BF$4),OR('5-man'!G$27="D",LEFT('5-man'!G$27,3)="ST&gt;",OR(AND('5-man'!G$25="ST&gt;3",G204&gt;=100),AND('5-man'!G$26="ST&gt;3",G212&gt;=100),AND('5-man'!G$28="ST&gt;3",G228&gt;=100),AND('5-man'!G$29="ST&gt;3",G236&gt;=100))))),'5-man'!G$24,0)</f>
        <v/>
      </c>
      <c r="H227">
        <f>IF(OR('5-man'!H$27="P",'5-man'!H$27="R",AND('5-man'!H$24&lt;=IF('5-man'!$BF$4="",999,'5-man'!$BF$4),OR('5-man'!H$27="D",LEFT('5-man'!H$27,3)="ST&gt;",OR(AND('5-man'!H$25="ST&gt;3",H204&gt;=100),AND('5-man'!H$26="ST&gt;3",H212&gt;=100),AND('5-man'!H$28="ST&gt;3",H228&gt;=100),AND('5-man'!H$29="ST&gt;3",H236&gt;=100))))),'5-man'!H$24,0)</f>
        <v/>
      </c>
      <c r="I227">
        <f>IF(OR('5-man'!I$27="P",'5-man'!I$27="R",AND('5-man'!I$24&lt;=IF('5-man'!$BF$4="",999,'5-man'!$BF$4),OR('5-man'!I$27="D",LEFT('5-man'!I$27,3)="ST&gt;",OR(AND('5-man'!I$25="ST&gt;3",I204&gt;=100),AND('5-man'!I$26="ST&gt;3",I212&gt;=100),AND('5-man'!I$28="ST&gt;3",I228&gt;=100),AND('5-man'!I$29="ST&gt;3",I236&gt;=100))))),'5-man'!I$24,0)</f>
        <v/>
      </c>
      <c r="J227">
        <f>IF(OR('5-man'!J$27="P",'5-man'!J$27="R",AND('5-man'!J$24&lt;=IF('5-man'!$BF$4="",999,'5-man'!$BF$4),OR('5-man'!J$27="D",LEFT('5-man'!J$27,3)="ST&gt;",OR(AND('5-man'!J$25="ST&gt;3",J204&gt;=100),AND('5-man'!J$26="ST&gt;3",J212&gt;=100),AND('5-man'!J$28="ST&gt;3",J228&gt;=100),AND('5-man'!J$29="ST&gt;3",J236&gt;=100))))),'5-man'!J$24,0)</f>
        <v/>
      </c>
      <c r="K227">
        <f>IF(OR('5-man'!K$27="P",'5-man'!K$27="R",AND('5-man'!K$24&lt;=IF('5-man'!$BF$4="",999,'5-man'!$BF$4),OR('5-man'!K$27="D",LEFT('5-man'!K$27,3)="ST&gt;",OR(AND('5-man'!K$25="ST&gt;3",K204&gt;=100),AND('5-man'!K$26="ST&gt;3",K212&gt;=100),AND('5-man'!K$28="ST&gt;3",K228&gt;=100),AND('5-man'!K$29="ST&gt;3",K236&gt;=100))))),'5-man'!K$24,0)</f>
        <v/>
      </c>
      <c r="L227">
        <f>IF(OR('5-man'!L$27="P",'5-man'!L$27="R",AND('5-man'!L$24&lt;=IF('5-man'!$BF$4="",999,'5-man'!$BF$4),OR('5-man'!L$27="D",LEFT('5-man'!L$27,3)="ST&gt;",OR(AND('5-man'!L$25="ST&gt;3",L204&gt;=100),AND('5-man'!L$26="ST&gt;3",L212&gt;=100),AND('5-man'!L$28="ST&gt;3",L228&gt;=100),AND('5-man'!L$29="ST&gt;3",L236&gt;=100))))),'5-man'!L$24,0)</f>
        <v/>
      </c>
      <c r="M227">
        <f>IF(OR('5-man'!M$27="P",'5-man'!M$27="R",AND('5-man'!M$24&lt;=IF('5-man'!$BF$4="",999,'5-man'!$BF$4),OR('5-man'!M$27="D",LEFT('5-man'!M$27,3)="ST&gt;",OR(AND('5-man'!M$25="ST&gt;3",M204&gt;=100),AND('5-man'!M$26="ST&gt;3",M212&gt;=100),AND('5-man'!M$28="ST&gt;3",M228&gt;=100),AND('5-man'!M$29="ST&gt;3",M236&gt;=100))))),'5-man'!M$24,0)</f>
        <v/>
      </c>
      <c r="N227">
        <f>IF(OR('5-man'!N$27="P",'5-man'!N$27="R",AND('5-man'!N$24&lt;=IF('5-man'!$BF$4="",999,'5-man'!$BF$4),OR('5-man'!N$27="D",LEFT('5-man'!N$27,3)="ST&gt;",OR(AND('5-man'!N$25="ST&gt;3",N204&gt;=100),AND('5-man'!N$26="ST&gt;3",N212&gt;=100),AND('5-man'!N$28="ST&gt;3",N228&gt;=100),AND('5-man'!N$29="ST&gt;3",N236&gt;=100))))),'5-man'!N$24,0)</f>
        <v/>
      </c>
      <c r="O227">
        <f>IF(OR('5-man'!O$27="P",'5-man'!O$27="R",AND('5-man'!O$24&lt;=IF('5-man'!$BF$4="",999,'5-man'!$BF$4),OR('5-man'!O$27="D",LEFT('5-man'!O$27,3)="ST&gt;",OR(AND('5-man'!O$25="ST&gt;3",O204&gt;=100),AND('5-man'!O$26="ST&gt;3",O212&gt;=100),AND('5-man'!O$28="ST&gt;3",O228&gt;=100),AND('5-man'!O$29="ST&gt;3",O236&gt;=100))))),'5-man'!O$24,0)</f>
        <v/>
      </c>
      <c r="P227">
        <f>IF(OR('5-man'!P$27="P",'5-man'!P$27="R",AND('5-man'!P$24&lt;=IF('5-man'!$BF$4="",999,'5-man'!$BF$4),OR('5-man'!P$27="D",LEFT('5-man'!P$27,3)="ST&gt;",OR(AND('5-man'!P$25="ST&gt;3",P204&gt;=100),AND('5-man'!P$26="ST&gt;3",P212&gt;=100),AND('5-man'!P$28="ST&gt;3",P228&gt;=100),AND('5-man'!P$29="ST&gt;3",P236&gt;=100))))),'5-man'!P$24,0)</f>
        <v/>
      </c>
      <c r="Q227">
        <f>IF(OR('5-man'!Q$27="P",'5-man'!Q$27="R",AND('5-man'!Q$24&lt;=IF('5-man'!$BF$4="",999,'5-man'!$BF$4),OR('5-man'!Q$27="D",LEFT('5-man'!Q$27,3)="ST&gt;",OR(AND('5-man'!Q$25="ST&gt;3",Q204&gt;=100),AND('5-man'!Q$26="ST&gt;3",Q212&gt;=100),AND('5-man'!Q$28="ST&gt;3",Q228&gt;=100),AND('5-man'!Q$29="ST&gt;3",Q236&gt;=100))))),'5-man'!Q$24,0)</f>
        <v/>
      </c>
      <c r="R227">
        <f>IF(OR('5-man'!R$27="P",'5-man'!R$27="R",AND('5-man'!R$24&lt;=IF('5-man'!$BF$4="",999,'5-man'!$BF$4),OR('5-man'!R$27="D",LEFT('5-man'!R$27,3)="ST&gt;",OR(AND('5-man'!R$25="ST&gt;3",R204&gt;=100),AND('5-man'!R$26="ST&gt;3",R212&gt;=100),AND('5-man'!R$28="ST&gt;3",R228&gt;=100),AND('5-man'!R$29="ST&gt;3",R236&gt;=100))))),'5-man'!R$24,0)</f>
        <v/>
      </c>
      <c r="S227">
        <f>IF(OR('5-man'!S$27="P",'5-man'!S$27="R",AND('5-man'!S$24&lt;=IF('5-man'!$BF$4="",999,'5-man'!$BF$4),OR('5-man'!S$27="D",LEFT('5-man'!S$27,3)="ST&gt;",OR(AND('5-man'!S$25="ST&gt;3",S204&gt;=100),AND('5-man'!S$26="ST&gt;3",S212&gt;=100),AND('5-man'!S$28="ST&gt;3",S228&gt;=100),AND('5-man'!S$29="ST&gt;3",S236&gt;=100))))),'5-man'!S$24,0)</f>
        <v/>
      </c>
      <c r="T227">
        <f>IF(OR('5-man'!T$27="P",'5-man'!T$27="R",AND('5-man'!T$24&lt;=IF('5-man'!$BF$4="",999,'5-man'!$BF$4),OR('5-man'!T$27="D",LEFT('5-man'!T$27,3)="ST&gt;",OR(AND('5-man'!T$25="ST&gt;3",T204&gt;=100),AND('5-man'!T$26="ST&gt;3",T212&gt;=100),AND('5-man'!T$28="ST&gt;3",T228&gt;=100),AND('5-man'!T$29="ST&gt;3",T236&gt;=100))))),'5-man'!T$24,0)</f>
        <v/>
      </c>
      <c r="U227">
        <f>IF(OR('5-man'!U$27="P",'5-man'!U$27="R",AND('5-man'!U$24&lt;=IF('5-man'!$BF$4="",999,'5-man'!$BF$4),OR('5-man'!U$27="D",LEFT('5-man'!U$27,3)="ST&gt;",OR(AND('5-man'!U$25="ST&gt;3",U204&gt;=100),AND('5-man'!U$26="ST&gt;3",U212&gt;=100),AND('5-man'!U$28="ST&gt;3",U228&gt;=100),AND('5-man'!U$29="ST&gt;3",U236&gt;=100))))),'5-man'!U$24,0)</f>
        <v/>
      </c>
      <c r="V227">
        <f>IF(OR('5-man'!V$27="P",'5-man'!V$27="R",AND('5-man'!V$24&lt;=IF('5-man'!$BF$4="",999,'5-man'!$BF$4),OR('5-man'!V$27="D",LEFT('5-man'!V$27,3)="ST&gt;",OR(AND('5-man'!V$25="ST&gt;3",V204&gt;=100),AND('5-man'!V$26="ST&gt;3",V212&gt;=100),AND('5-man'!V$28="ST&gt;3",V228&gt;=100),AND('5-man'!V$29="ST&gt;3",V236&gt;=100))))),'5-man'!V$24,0)</f>
        <v/>
      </c>
      <c r="W227">
        <f>IF(OR('5-man'!W$27="P",'5-man'!W$27="R",AND('5-man'!W$24&lt;=IF('5-man'!$BF$4="",999,'5-man'!$BF$4),OR('5-man'!W$27="D",LEFT('5-man'!W$27,3)="ST&gt;",OR(AND('5-man'!W$25="ST&gt;3",W204&gt;=100),AND('5-man'!W$26="ST&gt;3",W212&gt;=100),AND('5-man'!W$28="ST&gt;3",W228&gt;=100),AND('5-man'!W$29="ST&gt;3",W236&gt;=100))))),'5-man'!W$24,0)</f>
        <v/>
      </c>
      <c r="X227">
        <f>IF(OR('5-man'!X$27="P",'5-man'!X$27="R",AND('5-man'!X$24&lt;=IF('5-man'!$BF$4="",999,'5-man'!$BF$4),OR('5-man'!X$27="D",LEFT('5-man'!X$27,3)="ST&gt;",OR(AND('5-man'!X$25="ST&gt;3",X204&gt;=100),AND('5-man'!X$26="ST&gt;3",X212&gt;=100),AND('5-man'!X$28="ST&gt;3",X228&gt;=100),AND('5-man'!X$29="ST&gt;3",X236&gt;=100))))),'5-man'!X$24,0)</f>
        <v/>
      </c>
      <c r="Y227">
        <f>IF(OR('5-man'!Y$27="P",'5-man'!Y$27="R",AND('5-man'!Y$24&lt;=IF('5-man'!$BF$4="",999,'5-man'!$BF$4),OR('5-man'!Y$27="D",LEFT('5-man'!Y$27,3)="ST&gt;",OR(AND('5-man'!Y$25="ST&gt;3",Y204&gt;=100),AND('5-man'!Y$26="ST&gt;3",Y212&gt;=100),AND('5-man'!Y$28="ST&gt;3",Y228&gt;=100),AND('5-man'!Y$29="ST&gt;3",Y236&gt;=100))))),'5-man'!Y$24,0)</f>
        <v/>
      </c>
      <c r="Z227">
        <f>IF(OR('5-man'!Z$27="P",'5-man'!Z$27="R",AND('5-man'!Z$24&lt;=IF('5-man'!$BF$4="",999,'5-man'!$BF$4),OR('5-man'!Z$27="D",LEFT('5-man'!Z$27,3)="ST&gt;",OR(AND('5-man'!Z$25="ST&gt;3",Z204&gt;=100),AND('5-man'!Z$26="ST&gt;3",Z212&gt;=100),AND('5-man'!Z$28="ST&gt;3",Z228&gt;=100),AND('5-man'!Z$29="ST&gt;3",Z236&gt;=100))))),'5-man'!Z$24,0)</f>
        <v/>
      </c>
      <c r="AA227">
        <f>IF(OR('5-man'!AA$27="P",'5-man'!AA$27="R",AND('5-man'!AA$24&lt;=IF('5-man'!$BF$4="",999,'5-man'!$BF$4),OR('5-man'!AA$27="D",LEFT('5-man'!AA$27,3)="ST&gt;",OR(AND('5-man'!AA$25="ST&gt;3",AA204&gt;=100),AND('5-man'!AA$26="ST&gt;3",AA212&gt;=100),AND('5-man'!AA$28="ST&gt;3",AA228&gt;=100),AND('5-man'!AA$29="ST&gt;3",AA236&gt;=100))))),'5-man'!AA$24,0)</f>
        <v/>
      </c>
      <c r="AB227">
        <f>IF(OR('5-man'!AB$27="P",'5-man'!AB$27="R",AND('5-man'!AB$24&lt;=IF('5-man'!$BF$4="",999,'5-man'!$BF$4),OR('5-man'!AB$27="D",LEFT('5-man'!AB$27,3)="ST&gt;",OR(AND('5-man'!AB$25="ST&gt;3",AB204&gt;=100),AND('5-man'!AB$26="ST&gt;3",AB212&gt;=100),AND('5-man'!AB$28="ST&gt;3",AB228&gt;=100),AND('5-man'!AB$29="ST&gt;3",AB236&gt;=100))))),'5-man'!AB$24,0)</f>
        <v/>
      </c>
      <c r="AC227">
        <f>IF(OR('5-man'!AC$27="P",'5-man'!AC$27="R",AND('5-man'!AC$24&lt;=IF('5-man'!$BF$4="",999,'5-man'!$BF$4),OR('5-man'!AC$27="D",LEFT('5-man'!AC$27,3)="ST&gt;",OR(AND('5-man'!AC$25="ST&gt;3",AC204&gt;=100),AND('5-man'!AC$26="ST&gt;3",AC212&gt;=100),AND('5-man'!AC$28="ST&gt;3",AC228&gt;=100),AND('5-man'!AC$29="ST&gt;3",AC236&gt;=100))))),'5-man'!AC$24,0)</f>
        <v/>
      </c>
      <c r="AD227">
        <f>IF(OR('5-man'!AD$27="P",'5-man'!AD$27="R",AND('5-man'!AD$24&lt;=IF('5-man'!$BF$4="",999,'5-man'!$BF$4),OR('5-man'!AD$27="D",LEFT('5-man'!AD$27,3)="ST&gt;",OR(AND('5-man'!AD$25="ST&gt;3",AD204&gt;=100),AND('5-man'!AD$26="ST&gt;3",AD212&gt;=100),AND('5-man'!AD$28="ST&gt;3",AD228&gt;=100),AND('5-man'!AD$29="ST&gt;3",AD236&gt;=100))))),'5-man'!AD$24,0)</f>
        <v/>
      </c>
      <c r="AE227">
        <f>IF(OR('5-man'!AE$27="P",'5-man'!AE$27="R",AND('5-man'!AE$24&lt;=IF('5-man'!$BF$4="",999,'5-man'!$BF$4),OR('5-man'!AE$27="D",LEFT('5-man'!AE$27,3)="ST&gt;",OR(AND('5-man'!AE$25="ST&gt;3",AE204&gt;=100),AND('5-man'!AE$26="ST&gt;3",AE212&gt;=100),AND('5-man'!AE$28="ST&gt;3",AE228&gt;=100),AND('5-man'!AE$29="ST&gt;3",AE236&gt;=100))))),'5-man'!AE$24,0)</f>
        <v/>
      </c>
      <c r="AF227">
        <f>IF(OR('5-man'!AF$27="P",'5-man'!AF$27="R",AND('5-man'!AF$24&lt;=IF('5-man'!$BF$4="",999,'5-man'!$BF$4),OR('5-man'!AF$27="D",LEFT('5-man'!AF$27,3)="ST&gt;",OR(AND('5-man'!AF$25="ST&gt;3",AF204&gt;=100),AND('5-man'!AF$26="ST&gt;3",AF212&gt;=100),AND('5-man'!AF$28="ST&gt;3",AF228&gt;=100),AND('5-man'!AF$29="ST&gt;3",AF236&gt;=100))))),'5-man'!AF$24,0)</f>
        <v/>
      </c>
      <c r="AG227">
        <f>IF(OR('5-man'!AG$27="P",'5-man'!AG$27="R",AND('5-man'!AG$24&lt;=IF('5-man'!$BF$4="",999,'5-man'!$BF$4),OR('5-man'!AG$27="D",LEFT('5-man'!AG$27,3)="ST&gt;",OR(AND('5-man'!AG$25="ST&gt;3",AG204&gt;=100),AND('5-man'!AG$26="ST&gt;3",AG212&gt;=100),AND('5-man'!AG$28="ST&gt;3",AG228&gt;=100),AND('5-man'!AG$29="ST&gt;3",AG236&gt;=100))))),'5-man'!AG$24,0)</f>
        <v/>
      </c>
      <c r="AH227">
        <f>IF(OR('5-man'!AH$27="P",'5-man'!AH$27="R",AND('5-man'!AH$24&lt;=IF('5-man'!$BF$4="",999,'5-man'!$BF$4),OR('5-man'!AH$27="D",LEFT('5-man'!AH$27,3)="ST&gt;",OR(AND('5-man'!AH$25="ST&gt;3",AH204&gt;=100),AND('5-man'!AH$26="ST&gt;3",AH212&gt;=100),AND('5-man'!AH$28="ST&gt;3",AH228&gt;=100),AND('5-man'!AH$29="ST&gt;3",AH236&gt;=100))))),'5-man'!AH$24,0)</f>
        <v/>
      </c>
      <c r="AI227">
        <f>IF(OR('5-man'!AI$27="P",'5-man'!AI$27="R",AND('5-man'!AI$24&lt;=IF('5-man'!$BF$4="",999,'5-man'!$BF$4),OR('5-man'!AI$27="D",LEFT('5-man'!AI$27,3)="ST&gt;",OR(AND('5-man'!AI$25="ST&gt;3",AI204&gt;=100),AND('5-man'!AI$26="ST&gt;3",AI212&gt;=100),AND('5-man'!AI$28="ST&gt;3",AI228&gt;=100),AND('5-man'!AI$29="ST&gt;3",AI236&gt;=100))))),'5-man'!AI$24,0)</f>
        <v/>
      </c>
      <c r="AJ227">
        <f>IF(OR('5-man'!AJ$27="P",'5-man'!AJ$27="R",AND('5-man'!AJ$24&lt;=IF('5-man'!$BF$4="",999,'5-man'!$BF$4),OR('5-man'!AJ$27="D",LEFT('5-man'!AJ$27,3)="ST&gt;",OR(AND('5-man'!AJ$25="ST&gt;3",AJ204&gt;=100),AND('5-man'!AJ$26="ST&gt;3",AJ212&gt;=100),AND('5-man'!AJ$28="ST&gt;3",AJ228&gt;=100),AND('5-man'!AJ$29="ST&gt;3",AJ236&gt;=100))))),'5-man'!AJ$24,0)</f>
        <v/>
      </c>
      <c r="AK227">
        <f>IF(OR('5-man'!AK$27="P",'5-man'!AK$27="R",AND('5-man'!AK$24&lt;=IF('5-man'!$BF$4="",999,'5-man'!$BF$4),OR('5-man'!AK$27="D",LEFT('5-man'!AK$27,3)="ST&gt;",OR(AND('5-man'!AK$25="ST&gt;3",AK204&gt;=100),AND('5-man'!AK$26="ST&gt;3",AK212&gt;=100),AND('5-man'!AK$28="ST&gt;3",AK228&gt;=100),AND('5-man'!AK$29="ST&gt;3",AK236&gt;=100))))),'5-man'!AK$24,0)</f>
        <v/>
      </c>
      <c r="AL227">
        <f>IF(OR('5-man'!AL$27="P",'5-man'!AL$27="R",AND('5-man'!AL$24&lt;=IF('5-man'!$BF$4="",999,'5-man'!$BF$4),OR('5-man'!AL$27="D",LEFT('5-man'!AL$27,3)="ST&gt;",OR(AND('5-man'!AL$25="ST&gt;3",AL204&gt;=100),AND('5-man'!AL$26="ST&gt;3",AL212&gt;=100),AND('5-man'!AL$28="ST&gt;3",AL228&gt;=100),AND('5-man'!AL$29="ST&gt;3",AL236&gt;=100))))),'5-man'!AL$24,0)</f>
        <v/>
      </c>
      <c r="AM227">
        <f>IF(OR('5-man'!AM$27="P",'5-man'!AM$27="R",AND('5-man'!AM$24&lt;=IF('5-man'!$BF$4="",999,'5-man'!$BF$4),OR('5-man'!AM$27="D",LEFT('5-man'!AM$27,3)="ST&gt;",OR(AND('5-man'!AM$25="ST&gt;3",AM204&gt;=100),AND('5-man'!AM$26="ST&gt;3",AM212&gt;=100),AND('5-man'!AM$28="ST&gt;3",AM228&gt;=100),AND('5-man'!AM$29="ST&gt;3",AM236&gt;=100))))),'5-man'!AM$24,0)</f>
        <v/>
      </c>
      <c r="AN227">
        <f>IF(OR('5-man'!AN$27="P",'5-man'!AN$27="R",AND('5-man'!AN$24&lt;=IF('5-man'!$BF$4="",999,'5-man'!$BF$4),OR('5-man'!AN$27="D",LEFT('5-man'!AN$27,3)="ST&gt;",OR(AND('5-man'!AN$25="ST&gt;3",AN204&gt;=100),AND('5-man'!AN$26="ST&gt;3",AN212&gt;=100),AND('5-man'!AN$28="ST&gt;3",AN228&gt;=100),AND('5-man'!AN$29="ST&gt;3",AN236&gt;=100))))),'5-man'!AN$24,0)</f>
        <v/>
      </c>
      <c r="AO227">
        <f>IF(OR('5-man'!AO$27="P",'5-man'!AO$27="R",AND('5-man'!AO$24&lt;=IF('5-man'!$BF$4="",999,'5-man'!$BF$4),OR('5-man'!AO$27="D",LEFT('5-man'!AO$27,3)="ST&gt;",OR(AND('5-man'!AO$25="ST&gt;3",AO204&gt;=100),AND('5-man'!AO$26="ST&gt;3",AO212&gt;=100),AND('5-man'!AO$28="ST&gt;3",AO228&gt;=100),AND('5-man'!AO$29="ST&gt;3",AO236&gt;=100))))),'5-man'!AO$24,0)</f>
        <v/>
      </c>
      <c r="AP227">
        <f>IF(OR('5-man'!AP$27="P",'5-man'!AP$27="R",AND('5-man'!AP$24&lt;=IF('5-man'!$BF$4="",999,'5-man'!$BF$4),OR('5-man'!AP$27="D",LEFT('5-man'!AP$27,3)="ST&gt;",OR(AND('5-man'!AP$25="ST&gt;3",AP204&gt;=100),AND('5-man'!AP$26="ST&gt;3",AP212&gt;=100),AND('5-man'!AP$28="ST&gt;3",AP228&gt;=100),AND('5-man'!AP$29="ST&gt;3",AP236&gt;=100))))),'5-man'!AP$24,0)</f>
        <v/>
      </c>
      <c r="AQ227">
        <f>IF(OR('5-man'!AQ$27="P",'5-man'!AQ$27="R",AND('5-man'!AQ$24&lt;=IF('5-man'!$BF$4="",999,'5-man'!$BF$4),OR('5-man'!AQ$27="D",LEFT('5-man'!AQ$27,3)="ST&gt;",OR(AND('5-man'!AQ$25="ST&gt;3",AQ204&gt;=100),AND('5-man'!AQ$26="ST&gt;3",AQ212&gt;=100),AND('5-man'!AQ$28="ST&gt;3",AQ228&gt;=100),AND('5-man'!AQ$29="ST&gt;3",AQ236&gt;=100))))),'5-man'!AQ$24,0)</f>
        <v/>
      </c>
      <c r="AR227">
        <f>IF(OR('5-man'!AR$27="P",'5-man'!AR$27="R",AND('5-man'!AR$24&lt;=IF('5-man'!$BF$4="",999,'5-man'!$BF$4),OR('5-man'!AR$27="D",LEFT('5-man'!AR$27,3)="ST&gt;",OR(AND('5-man'!AR$25="ST&gt;3",AR204&gt;=100),AND('5-man'!AR$26="ST&gt;3",AR212&gt;=100),AND('5-man'!AR$28="ST&gt;3",AR228&gt;=100),AND('5-man'!AR$29="ST&gt;3",AR236&gt;=100))))),'5-man'!AR$24,0)</f>
        <v/>
      </c>
      <c r="AS227">
        <f>IF(OR('5-man'!AS$27="P",'5-man'!AS$27="R",AND('5-man'!AS$24&lt;=IF('5-man'!$BF$4="",999,'5-man'!$BF$4),OR('5-man'!AS$27="D",LEFT('5-man'!AS$27,3)="ST&gt;",OR(AND('5-man'!AS$25="ST&gt;3",AS204&gt;=100),AND('5-man'!AS$26="ST&gt;3",AS212&gt;=100),AND('5-man'!AS$28="ST&gt;3",AS228&gt;=100),AND('5-man'!AS$29="ST&gt;3",AS236&gt;=100))))),'5-man'!AS$24,0)</f>
        <v/>
      </c>
      <c r="AT227">
        <f>IF(OR('5-man'!AT$27="P",'5-man'!AT$27="R",AND('5-man'!AT$24&lt;=IF('5-man'!$BF$4="",999,'5-man'!$BF$4),OR('5-man'!AT$27="D",LEFT('5-man'!AT$27,3)="ST&gt;",OR(AND('5-man'!AT$25="ST&gt;3",AT204&gt;=100),AND('5-man'!AT$26="ST&gt;3",AT212&gt;=100),AND('5-man'!AT$28="ST&gt;3",AT228&gt;=100),AND('5-man'!AT$29="ST&gt;3",AT236&gt;=100))))),'5-man'!AT$24,0)</f>
        <v/>
      </c>
      <c r="AU227">
        <f>IF(OR('5-man'!AU$27="P",'5-man'!AU$27="R",AND('5-man'!AU$24&lt;=IF('5-man'!$BF$4="",999,'5-man'!$BF$4),OR('5-man'!AU$27="D",LEFT('5-man'!AU$27,3)="ST&gt;",OR(AND('5-man'!AU$25="ST&gt;3",AU204&gt;=100),AND('5-man'!AU$26="ST&gt;3",AU212&gt;=100),AND('5-man'!AU$28="ST&gt;3",AU228&gt;=100),AND('5-man'!AU$29="ST&gt;3",AU236&gt;=100))))),'5-man'!AU$24,0)</f>
        <v/>
      </c>
      <c r="AV227">
        <f>IF(OR('5-man'!AV$27="P",'5-man'!AV$27="R",AND('5-man'!AV$24&lt;=IF('5-man'!$BF$4="",999,'5-man'!$BF$4),OR('5-man'!AV$27="D",LEFT('5-man'!AV$27,3)="ST&gt;",OR(AND('5-man'!AV$25="ST&gt;3",AV204&gt;=100),AND('5-man'!AV$26="ST&gt;3",AV212&gt;=100),AND('5-man'!AV$28="ST&gt;3",AV228&gt;=100),AND('5-man'!AV$29="ST&gt;3",AV236&gt;=100))))),'5-man'!AV$24,0)</f>
        <v/>
      </c>
      <c r="AW227">
        <f>IF(OR('5-man'!AW$27="P",'5-man'!AW$27="R",AND('5-man'!AW$24&lt;=IF('5-man'!$BF$4="",999,'5-man'!$BF$4),OR('5-man'!AW$27="D",LEFT('5-man'!AW$27,3)="ST&gt;",OR(AND('5-man'!AW$25="ST&gt;3",AW204&gt;=100),AND('5-man'!AW$26="ST&gt;3",AW212&gt;=100),AND('5-man'!AW$28="ST&gt;3",AW228&gt;=100),AND('5-man'!AW$29="ST&gt;3",AW236&gt;=100))))),'5-man'!AW$24,0)</f>
        <v/>
      </c>
      <c r="AX227">
        <f>IF(OR('5-man'!AX$27="P",'5-man'!AX$27="R",AND('5-man'!AX$24&lt;=IF('5-man'!$BF$4="",999,'5-man'!$BF$4),OR('5-man'!AX$27="D",LEFT('5-man'!AX$27,3)="ST&gt;",OR(AND('5-man'!AX$25="ST&gt;3",AX204&gt;=100),AND('5-man'!AX$26="ST&gt;3",AX212&gt;=100),AND('5-man'!AX$28="ST&gt;3",AX228&gt;=100),AND('5-man'!AX$29="ST&gt;3",AX236&gt;=100))))),'5-man'!AX$24,0)</f>
        <v/>
      </c>
      <c r="AY227">
        <f>IF(OR('5-man'!AY$27="P",'5-man'!AY$27="R",AND('5-man'!AY$24&lt;=IF('5-man'!$BF$4="",999,'5-man'!$BF$4),OR('5-man'!AY$27="D",LEFT('5-man'!AY$27,3)="ST&gt;",OR(AND('5-man'!AY$25="ST&gt;3",AY204&gt;=100),AND('5-man'!AY$26="ST&gt;3",AY212&gt;=100),AND('5-man'!AY$28="ST&gt;3",AY228&gt;=100),AND('5-man'!AY$29="ST&gt;3",AY236&gt;=100))))),'5-man'!AY$24,0)</f>
        <v/>
      </c>
      <c r="AZ227">
        <f>IF(OR('5-man'!AZ$27="P",'5-man'!AZ$27="R",AND('5-man'!AZ$24&lt;=IF('5-man'!$BF$4="",999,'5-man'!$BF$4),OR('5-man'!AZ$27="D",LEFT('5-man'!AZ$27,3)="ST&gt;",OR(AND('5-man'!AZ$25="ST&gt;3",AZ204&gt;=100),AND('5-man'!AZ$26="ST&gt;3",AZ212&gt;=100),AND('5-man'!AZ$28="ST&gt;3",AZ228&gt;=100),AND('5-man'!AZ$29="ST&gt;3",AZ236&gt;=100))))),'5-man'!AZ$24,0)</f>
        <v/>
      </c>
      <c r="BA227">
        <f>IF(OR('5-man'!BA$27="P",'5-man'!BA$27="R",AND('5-man'!BA$24&lt;=IF('5-man'!$BF$4="",999,'5-man'!$BF$4),OR('5-man'!BA$27="D",LEFT('5-man'!BA$27,3)="ST&gt;",OR(AND('5-man'!BA$25="ST&gt;3",BA204&gt;=100),AND('5-man'!BA$26="ST&gt;3",BA212&gt;=100),AND('5-man'!BA$28="ST&gt;3",BA228&gt;=100),AND('5-man'!BA$29="ST&gt;3",BA236&gt;=100))))),'5-man'!BA$24,0)</f>
        <v/>
      </c>
      <c r="BB227">
        <f>IF(OR('5-man'!BB$27="P",'5-man'!BB$27="R",AND('5-man'!BB$24&lt;=IF('5-man'!$BF$4="",999,'5-man'!$BF$4),OR('5-man'!BB$27="D",LEFT('5-man'!BB$27,3)="ST&gt;",OR(AND('5-man'!BB$25="ST&gt;3",BB204&gt;=100),AND('5-man'!BB$26="ST&gt;3",BB212&gt;=100),AND('5-man'!BB$28="ST&gt;3",BB228&gt;=100),AND('5-man'!BB$29="ST&gt;3",BB236&gt;=100))))),'5-man'!BB$24,0)</f>
        <v/>
      </c>
      <c r="BC227">
        <f>IF(OR('5-man'!BC$27="P",'5-man'!BC$27="R",AND('5-man'!BC$24&lt;=IF('5-man'!$BF$4="",999,'5-man'!$BF$4),OR('5-man'!BC$27="D",LEFT('5-man'!BC$27,3)="ST&gt;",OR(AND('5-man'!BC$25="ST&gt;3",BC204&gt;=100),AND('5-man'!BC$26="ST&gt;3",BC212&gt;=100),AND('5-man'!BC$28="ST&gt;3",BC228&gt;=100),AND('5-man'!BC$29="ST&gt;3",BC236&gt;=100))))),'5-man'!BC$24,0)</f>
        <v/>
      </c>
      <c r="BD227">
        <f>IF(OR('5-man'!BD$27="P",'5-man'!BD$27="R",AND('5-man'!BD$24&lt;=IF('5-man'!$BF$4="",999,'5-man'!$BF$4),OR('5-man'!BD$27="D",LEFT('5-man'!BD$27,3)="ST&gt;",OR(AND('5-man'!BD$25="ST&gt;3",BD204&gt;=100),AND('5-man'!BD$26="ST&gt;3",BD212&gt;=100),AND('5-man'!BD$28="ST&gt;3",BD228&gt;=100),AND('5-man'!BD$29="ST&gt;3",BD236&gt;=100))))),'5-man'!BD$24,0)</f>
        <v/>
      </c>
      <c r="BE227">
        <f>IF(OR('5-man'!BE$27="P",'5-man'!BE$27="R",AND('5-man'!BE$24&lt;=IF('5-man'!$BF$4="",999,'5-man'!$BF$4),OR('5-man'!BE$27="D",LEFT('5-man'!BE$27,3)="ST&gt;",OR(AND('5-man'!BE$25="ST&gt;3",BE204&gt;=100),AND('5-man'!BE$26="ST&gt;3",BE212&gt;=100),AND('5-man'!BE$28="ST&gt;3",BE228&gt;=100),AND('5-man'!BE$29="ST&gt;3",BE236&gt;=100))))),'5-man'!BE$24,0)</f>
        <v/>
      </c>
      <c r="BF227">
        <f>IF(OR('5-man'!BF$27="P",'5-man'!BF$27="R",AND('5-man'!BF$24&lt;=IF('5-man'!$BF$4="",999,'5-man'!$BF$4),OR('5-man'!BF$27="D",LEFT('5-man'!BF$27,3)="ST&gt;",OR(AND('5-man'!BF$25="ST&gt;3",BF204&gt;=100),AND('5-man'!BF$26="ST&gt;3",BF212&gt;=100),AND('5-man'!BF$28="ST&gt;3",BF228&gt;=100),AND('5-man'!BF$29="ST&gt;3",BF236&gt;=100))))),'5-man'!BF$24,0)</f>
        <v/>
      </c>
      <c r="BG227">
        <f>IF(OR('5-man'!BG$27="P",'5-man'!BG$27="R",AND('5-man'!BG$24&lt;=IF('5-man'!$BF$4="",999,'5-man'!$BF$4),OR('5-man'!BG$27="D",LEFT('5-man'!BG$27,3)="ST&gt;",OR(AND('5-man'!BG$25="ST&gt;3",BG204&gt;=100),AND('5-man'!BG$26="ST&gt;3",BG212&gt;=100),AND('5-man'!BG$28="ST&gt;3",BG228&gt;=100),AND('5-man'!BG$29="ST&gt;3",BG236&gt;=100))))),'5-man'!BG$24,0)</f>
        <v/>
      </c>
      <c r="BH227">
        <f>IF(OR('5-man'!BH$27="P",'5-man'!BH$27="R",AND('5-man'!BH$24&lt;=IF('5-man'!$BF$4="",999,'5-man'!$BF$4),OR('5-man'!BH$27="D",LEFT('5-man'!BH$27,3)="ST&gt;",OR(AND('5-man'!BH$25="ST&gt;3",BH204&gt;=100),AND('5-man'!BH$26="ST&gt;3",BH212&gt;=100),AND('5-man'!BH$28="ST&gt;3",BH228&gt;=100),AND('5-man'!BH$29="ST&gt;3",BH236&gt;=100))))),'5-man'!BH$24,0)</f>
        <v/>
      </c>
      <c r="BI227">
        <f>IF(OR('5-man'!BI$27="P",'5-man'!BI$27="R",AND('5-man'!BI$24&lt;=IF('5-man'!$BF$4="",999,'5-man'!$BF$4),OR('5-man'!BI$27="D",LEFT('5-man'!BI$27,3)="ST&gt;",OR(AND('5-man'!BI$25="ST&gt;3",BI204&gt;=100),AND('5-man'!BI$26="ST&gt;3",BI212&gt;=100),AND('5-man'!BI$28="ST&gt;3",BI228&gt;=100),AND('5-man'!BI$29="ST&gt;3",BI236&gt;=100))))),'5-man'!BI$24,0)</f>
        <v/>
      </c>
      <c r="BJ227">
        <f>IF(OR('5-man'!BJ$27="P",'5-man'!BJ$27="R",AND('5-man'!BJ$24&lt;=IF('5-man'!$BF$4="",999,'5-man'!$BF$4),OR('5-man'!BJ$27="D",LEFT('5-man'!BJ$27,3)="ST&gt;",OR(AND('5-man'!BJ$25="ST&gt;3",BJ204&gt;=100),AND('5-man'!BJ$26="ST&gt;3",BJ212&gt;=100),AND('5-man'!BJ$28="ST&gt;3",BJ228&gt;=100),AND('5-man'!BJ$29="ST&gt;3",BJ236&gt;=100))))),'5-man'!BJ$24,0)</f>
        <v/>
      </c>
      <c r="BK227">
        <f>IF(OR('5-man'!BK$27="P",'5-man'!BK$27="R",AND('5-man'!BK$24&lt;=IF('5-man'!$BF$4="",999,'5-man'!$BF$4),OR('5-man'!BK$27="D",LEFT('5-man'!BK$27,3)="ST&gt;",OR(AND('5-man'!BK$25="ST&gt;3",BK204&gt;=100),AND('5-man'!BK$26="ST&gt;3",BK212&gt;=100),AND('5-man'!BK$28="ST&gt;3",BK228&gt;=100),AND('5-man'!BK$29="ST&gt;3",BK236&gt;=100))))),'5-man'!BK$24,0)</f>
        <v/>
      </c>
      <c r="BL227">
        <f>IF(OR('5-man'!BL$27="P",'5-man'!BL$27="R",AND('5-man'!BL$24&lt;=IF('5-man'!$BF$4="",999,'5-man'!$BF$4),OR('5-man'!BL$27="D",LEFT('5-man'!BL$27,3)="ST&gt;",OR(AND('5-man'!BL$25="ST&gt;3",BL204&gt;=100),AND('5-man'!BL$26="ST&gt;3",BL212&gt;=100),AND('5-man'!BL$28="ST&gt;3",BL228&gt;=100),AND('5-man'!BL$29="ST&gt;3",BL236&gt;=100))))),'5-man'!BL$24,0)</f>
        <v/>
      </c>
      <c r="BM227">
        <f>IF(OR('5-man'!BM$27="P",'5-man'!BM$27="R",AND('5-man'!BM$24&lt;=IF('5-man'!$BF$4="",999,'5-man'!$BF$4),OR('5-man'!BM$27="D",LEFT('5-man'!BM$27,3)="ST&gt;",OR(AND('5-man'!BM$25="ST&gt;3",BM204&gt;=100),AND('5-man'!BM$26="ST&gt;3",BM212&gt;=100),AND('5-man'!BM$28="ST&gt;3",BM228&gt;=100),AND('5-man'!BM$29="ST&gt;3",BM236&gt;=100))))),'5-man'!BM$24,0)</f>
        <v/>
      </c>
      <c r="BN227">
        <f>IF(OR('5-man'!BN$27="P",'5-man'!BN$27="R",AND('5-man'!BN$24&lt;=IF('5-man'!$BF$4="",999,'5-man'!$BF$4),OR('5-man'!BN$27="D",LEFT('5-man'!BN$27,3)="ST&gt;",OR(AND('5-man'!BN$25="ST&gt;3",BN204&gt;=100),AND('5-man'!BN$26="ST&gt;3",BN212&gt;=100),AND('5-man'!BN$28="ST&gt;3",BN228&gt;=100),AND('5-man'!BN$29="ST&gt;3",BN236&gt;=100))))),'5-man'!BN$24,0)</f>
        <v/>
      </c>
      <c r="BO227">
        <f>IF(OR('5-man'!BO$27="P",'5-man'!BO$27="R",AND('5-man'!BO$24&lt;=IF('5-man'!$BF$4="",999,'5-man'!$BF$4),OR('5-man'!BO$27="D",LEFT('5-man'!BO$27,3)="ST&gt;",OR(AND('5-man'!BO$25="ST&gt;3",BO204&gt;=100),AND('5-man'!BO$26="ST&gt;3",BO212&gt;=100),AND('5-man'!BO$28="ST&gt;3",BO228&gt;=100),AND('5-man'!BO$29="ST&gt;3",BO236&gt;=100))))),'5-man'!BO$24,0)</f>
        <v/>
      </c>
      <c r="BP227">
        <f>IF(OR('5-man'!BP$27="P",'5-man'!BP$27="R",AND('5-man'!BP$24&lt;=IF('5-man'!$BF$4="",999,'5-man'!$BF$4),OR('5-man'!BP$27="D",LEFT('5-man'!BP$27,3)="ST&gt;",OR(AND('5-man'!BP$25="ST&gt;3",BP204&gt;=100),AND('5-man'!BP$26="ST&gt;3",BP212&gt;=100),AND('5-man'!BP$28="ST&gt;3",BP228&gt;=100),AND('5-man'!BP$29="ST&gt;3",BP236&gt;=100))))),'5-man'!BP$24,0)</f>
        <v/>
      </c>
      <c r="BQ227">
        <f>IF(OR('5-man'!BQ$27="P",'5-man'!BQ$27="R",AND('5-man'!BQ$24&lt;=IF('5-man'!$BF$4="",999,'5-man'!$BF$4),OR('5-man'!BQ$27="D",LEFT('5-man'!BQ$27,3)="ST&gt;",OR(AND('5-man'!BQ$25="ST&gt;3",BQ204&gt;=100),AND('5-man'!BQ$26="ST&gt;3",BQ212&gt;=100),AND('5-man'!BQ$28="ST&gt;3",BQ228&gt;=100),AND('5-man'!BQ$29="ST&gt;3",BQ236&gt;=100))))),'5-man'!BQ$24,0)</f>
        <v/>
      </c>
      <c r="BR227">
        <f>IF(OR('5-man'!BR$27="P",'5-man'!BR$27="R",AND('5-man'!BR$24&lt;=IF('5-man'!$BF$4="",999,'5-man'!$BF$4),OR('5-man'!BR$27="D",LEFT('5-man'!BR$27,3)="ST&gt;",OR(AND('5-man'!BR$25="ST&gt;3",BR204&gt;=100),AND('5-man'!BR$26="ST&gt;3",BR212&gt;=100),AND('5-man'!BR$28="ST&gt;3",BR228&gt;=100),AND('5-man'!BR$29="ST&gt;3",BR236&gt;=100))))),'5-man'!BR$24,0)</f>
        <v/>
      </c>
      <c r="BS227">
        <f>IF(OR('5-man'!BS$27="P",'5-man'!BS$27="R",AND('5-man'!BS$24&lt;=IF('5-man'!$BF$4="",999,'5-man'!$BF$4),OR('5-man'!BS$27="D",LEFT('5-man'!BS$27,3)="ST&gt;",OR(AND('5-man'!BS$25="ST&gt;3",BS204&gt;=100),AND('5-man'!BS$26="ST&gt;3",BS212&gt;=100),AND('5-man'!BS$28="ST&gt;3",BS228&gt;=100),AND('5-man'!BS$29="ST&gt;3",BS236&gt;=100))))),'5-man'!BS$24,0)</f>
        <v/>
      </c>
      <c r="BT227">
        <f>IF(OR('5-man'!BT$27="P",'5-man'!BT$27="R",AND('5-man'!BT$24&lt;=IF('5-man'!$BF$4="",999,'5-man'!$BF$4),OR('5-man'!BT$27="D",LEFT('5-man'!BT$27,3)="ST&gt;",OR(AND('5-man'!BT$25="ST&gt;3",BT204&gt;=100),AND('5-man'!BT$26="ST&gt;3",BT212&gt;=100),AND('5-man'!BT$28="ST&gt;3",BT228&gt;=100),AND('5-man'!BT$29="ST&gt;3",BT236&gt;=100))))),'5-man'!BT$24,0)</f>
        <v/>
      </c>
      <c r="BU227">
        <f>IF(OR('5-man'!BU$27="P",'5-man'!BU$27="R",AND('5-man'!BU$24&lt;=IF('5-man'!$BF$4="",999,'5-man'!$BF$4),OR('5-man'!BU$27="D",LEFT('5-man'!BU$27,3)="ST&gt;",OR(AND('5-man'!BU$25="ST&gt;3",BU204&gt;=100),AND('5-man'!BU$26="ST&gt;3",BU212&gt;=100),AND('5-man'!BU$28="ST&gt;3",BU228&gt;=100),AND('5-man'!BU$29="ST&gt;3",BU236&gt;=100))))),'5-man'!BU$24,0)</f>
        <v/>
      </c>
      <c r="BV227">
        <f>IF(OR('5-man'!BV$27="P",'5-man'!BV$27="R",AND('5-man'!BV$24&lt;=IF('5-man'!$BF$4="",999,'5-man'!$BF$4),OR('5-man'!BV$27="D",LEFT('5-man'!BV$27,3)="ST&gt;",OR(AND('5-man'!BV$25="ST&gt;3",BV204&gt;=100),AND('5-man'!BV$26="ST&gt;3",BV212&gt;=100),AND('5-man'!BV$28="ST&gt;3",BV228&gt;=100),AND('5-man'!BV$29="ST&gt;3",BV236&gt;=100))))),'5-man'!BV$24,0)</f>
        <v/>
      </c>
      <c r="BW227">
        <f>IF(OR('5-man'!BW$27="P",'5-man'!BW$27="R",AND('5-man'!BW$24&lt;=IF('5-man'!$BF$4="",999,'5-man'!$BF$4),OR('5-man'!BW$27="D",LEFT('5-man'!BW$27,3)="ST&gt;",OR(AND('5-man'!BW$25="ST&gt;3",BW204&gt;=100),AND('5-man'!BW$26="ST&gt;3",BW212&gt;=100),AND('5-man'!BW$28="ST&gt;3",BW228&gt;=100),AND('5-man'!BW$29="ST&gt;3",BW236&gt;=100))))),'5-man'!BW$24,0)</f>
        <v/>
      </c>
      <c r="BX227">
        <f>IF(OR('5-man'!BX$27="P",'5-man'!BX$27="R",AND('5-man'!BX$24&lt;=IF('5-man'!$BF$4="",999,'5-man'!$BF$4),OR('5-man'!BX$27="D",LEFT('5-man'!BX$27,3)="ST&gt;",OR(AND('5-man'!BX$25="ST&gt;3",BX204&gt;=100),AND('5-man'!BX$26="ST&gt;3",BX212&gt;=100),AND('5-man'!BX$28="ST&gt;3",BX228&gt;=100),AND('5-man'!BX$29="ST&gt;3",BX236&gt;=100))))),'5-man'!BX$24,0)</f>
        <v/>
      </c>
      <c r="BY227">
        <f>IF(OR('5-man'!BY$27="P",'5-man'!BY$27="R",AND('5-man'!BY$24&lt;=IF('5-man'!$BF$4="",999,'5-man'!$BF$4),OR('5-man'!BY$27="D",LEFT('5-man'!BY$27,3)="ST&gt;",OR(AND('5-man'!BY$25="ST&gt;3",BY204&gt;=100),AND('5-man'!BY$26="ST&gt;3",BY212&gt;=100),AND('5-man'!BY$28="ST&gt;3",BY228&gt;=100),AND('5-man'!BY$29="ST&gt;3",BY236&gt;=100))))),'5-man'!BY$24,0)</f>
        <v/>
      </c>
      <c r="BZ227">
        <f>IF(OR('5-man'!BZ$27="P",'5-man'!BZ$27="R",AND('5-man'!BZ$24&lt;=IF('5-man'!$BF$4="",999,'5-man'!$BF$4),OR('5-man'!BZ$27="D",LEFT('5-man'!BZ$27,3)="ST&gt;",OR(AND('5-man'!BZ$25="ST&gt;3",BZ204&gt;=100),AND('5-man'!BZ$26="ST&gt;3",BZ212&gt;=100),AND('5-man'!BZ$28="ST&gt;3",BZ228&gt;=100),AND('5-man'!BZ$29="ST&gt;3",BZ236&gt;=100))))),'5-man'!BZ$24,0)</f>
        <v/>
      </c>
      <c r="CA227">
        <f>IF(OR('5-man'!CA$27="P",'5-man'!CA$27="R",AND('5-man'!CA$24&lt;=IF('5-man'!$BF$4="",999,'5-man'!$BF$4),OR('5-man'!CA$27="D",LEFT('5-man'!CA$27,3)="ST&gt;",OR(AND('5-man'!CA$25="ST&gt;3",CA204&gt;=100),AND('5-man'!CA$26="ST&gt;3",CA212&gt;=100),AND('5-man'!CA$28="ST&gt;3",CA228&gt;=100),AND('5-man'!CA$29="ST&gt;3",CA236&gt;=100))))),'5-man'!CA$24,0)</f>
        <v/>
      </c>
      <c r="CB227">
        <f>IF(OR('5-man'!CB$27="P",'5-man'!CB$27="R",AND('5-man'!CB$24&lt;=IF('5-man'!$BF$4="",999,'5-man'!$BF$4),OR('5-man'!CB$27="D",LEFT('5-man'!CB$27,3)="ST&gt;",OR(AND('5-man'!CB$25="ST&gt;3",CB204&gt;=100),AND('5-man'!CB$26="ST&gt;3",CB212&gt;=100),AND('5-man'!CB$28="ST&gt;3",CB228&gt;=100),AND('5-man'!CB$29="ST&gt;3",CB236&gt;=100))))),'5-man'!CB$24,0)</f>
        <v/>
      </c>
      <c r="CC227">
        <f>IF(OR('5-man'!CC$27="P",'5-man'!CC$27="R",AND('5-man'!CC$24&lt;=IF('5-man'!$BF$4="",999,'5-man'!$BF$4),OR('5-man'!CC$27="D",LEFT('5-man'!CC$27,3)="ST&gt;",OR(AND('5-man'!CC$25="ST&gt;3",CC204&gt;=100),AND('5-man'!CC$26="ST&gt;3",CC212&gt;=100),AND('5-man'!CC$28="ST&gt;3",CC228&gt;=100),AND('5-man'!CC$29="ST&gt;3",CC236&gt;=100))))),'5-man'!CC$24,0)</f>
        <v/>
      </c>
      <c r="CD227">
        <f>IF(OR('5-man'!CD$27="P",'5-man'!CD$27="R",AND('5-man'!CD$24&lt;=IF('5-man'!$BF$4="",999,'5-man'!$BF$4),OR('5-man'!CD$27="D",LEFT('5-man'!CD$27,3)="ST&gt;",OR(AND('5-man'!CD$25="ST&gt;3",CD204&gt;=100),AND('5-man'!CD$26="ST&gt;3",CD212&gt;=100),AND('5-man'!CD$28="ST&gt;3",CD228&gt;=100),AND('5-man'!CD$29="ST&gt;3",CD236&gt;=100))))),'5-man'!CD$24,0)</f>
        <v/>
      </c>
    </row>
    <row r="228">
      <c r="A228" t="inlineStr">
        <is>
          <t>P4 s1</t>
        </is>
      </c>
      <c r="C228">
        <f>MIN(100,B229+IF(AND(B229&lt;100,B230+1&gt;=IF(OR('5-man'!$F$7=TRUE,'5-man'!$F$7="TRUE",'5-man'!$F$7="Yes"),25,50)),10,0)+IF('5-man'!C$24=$Q$234,25,0))</f>
        <v/>
      </c>
      <c r="D228">
        <f>MIN(100,C229+IF(AND(C229&lt;100,C230+1&gt;=IF(OR('5-man'!$F$7=TRUE,'5-man'!$F$7="TRUE",'5-man'!$F$7="Yes"),25,50)),10,0)+IF('5-man'!D$24=$Q$234,25,0))</f>
        <v/>
      </c>
      <c r="E228">
        <f>MIN(100,D229+IF(AND(D229&lt;100,D230+1&gt;=IF(OR('5-man'!$F$7=TRUE,'5-man'!$F$7="TRUE",'5-man'!$F$7="Yes"),25,50)),10,0)+IF('5-man'!E$24=$Q$234,25,0))</f>
        <v/>
      </c>
      <c r="F228">
        <f>MIN(100,E229+IF(AND(E229&lt;100,E230+1&gt;=IF(OR('5-man'!$F$7=TRUE,'5-man'!$F$7="TRUE",'5-man'!$F$7="Yes"),25,50)),10,0)+IF('5-man'!F$24=$Q$234,25,0))</f>
        <v/>
      </c>
      <c r="G228">
        <f>MIN(100,F229+IF(AND(F229&lt;100,F230+1&gt;=IF(OR('5-man'!$F$7=TRUE,'5-man'!$F$7="TRUE",'5-man'!$F$7="Yes"),25,50)),10,0)+IF('5-man'!G$24=$Q$234,25,0))</f>
        <v/>
      </c>
      <c r="H228">
        <f>MIN(100,G229+IF(AND(G229&lt;100,G230+1&gt;=IF(OR('5-man'!$F$7=TRUE,'5-man'!$F$7="TRUE",'5-man'!$F$7="Yes"),25,50)),10,0)+IF('5-man'!H$24=$Q$234,25,0))</f>
        <v/>
      </c>
      <c r="I228">
        <f>MIN(100,H229+IF(AND(H229&lt;100,H230+1&gt;=IF(OR('5-man'!$F$7=TRUE,'5-man'!$F$7="TRUE",'5-man'!$F$7="Yes"),25,50)),10,0)+IF('5-man'!I$24=$Q$234,25,0))</f>
        <v/>
      </c>
      <c r="J228">
        <f>MIN(100,I229+IF(AND(I229&lt;100,I230+1&gt;=IF(OR('5-man'!$F$7=TRUE,'5-man'!$F$7="TRUE",'5-man'!$F$7="Yes"),25,50)),10,0)+IF('5-man'!J$24=$Q$234,25,0))</f>
        <v/>
      </c>
      <c r="K228">
        <f>MIN(100,J229+IF(AND(J229&lt;100,J230+1&gt;=IF(OR('5-man'!$F$7=TRUE,'5-man'!$F$7="TRUE",'5-man'!$F$7="Yes"),25,50)),10,0)+IF('5-man'!K$24=$Q$234,25,0))</f>
        <v/>
      </c>
      <c r="L228">
        <f>MIN(100,K229+IF(AND(K229&lt;100,K230+1&gt;=IF(OR('5-man'!$F$7=TRUE,'5-man'!$F$7="TRUE",'5-man'!$F$7="Yes"),25,50)),10,0)+IF('5-man'!L$24=$Q$234,25,0))</f>
        <v/>
      </c>
      <c r="M228">
        <f>MIN(100,L229+IF(AND(L229&lt;100,L230+1&gt;=IF(OR('5-man'!$F$7=TRUE,'5-man'!$F$7="TRUE",'5-man'!$F$7="Yes"),25,50)),10,0)+IF('5-man'!M$24=$Q$234,25,0))</f>
        <v/>
      </c>
      <c r="N228">
        <f>MIN(100,M229+IF(AND(M229&lt;100,M230+1&gt;=IF(OR('5-man'!$F$7=TRUE,'5-man'!$F$7="TRUE",'5-man'!$F$7="Yes"),25,50)),10,0)+IF('5-man'!N$24=$Q$234,25,0))</f>
        <v/>
      </c>
      <c r="O228">
        <f>MIN(100,N229+IF(AND(N229&lt;100,N230+1&gt;=IF(OR('5-man'!$F$7=TRUE,'5-man'!$F$7="TRUE",'5-man'!$F$7="Yes"),25,50)),10,0)+IF('5-man'!O$24=$Q$234,25,0))</f>
        <v/>
      </c>
      <c r="P228">
        <f>MIN(100,O229+IF(AND(O229&lt;100,O230+1&gt;=IF(OR('5-man'!$F$7=TRUE,'5-man'!$F$7="TRUE",'5-man'!$F$7="Yes"),25,50)),10,0)+IF('5-man'!P$24=$Q$234,25,0))</f>
        <v/>
      </c>
      <c r="Q228">
        <f>MIN(100,P229+IF(AND(P229&lt;100,P230+1&gt;=IF(OR('5-man'!$F$7=TRUE,'5-man'!$F$7="TRUE",'5-man'!$F$7="Yes"),25,50)),10,0)+IF('5-man'!Q$24=$Q$234,25,0))</f>
        <v/>
      </c>
      <c r="R228">
        <f>MIN(100,Q229+IF(AND(Q229&lt;100,Q230+1&gt;=IF(OR('5-man'!$F$7=TRUE,'5-man'!$F$7="TRUE",'5-man'!$F$7="Yes"),25,50)),10,0)+IF('5-man'!R$24=$Q$234,25,0))</f>
        <v/>
      </c>
      <c r="S228">
        <f>MIN(100,R229+IF(AND(R229&lt;100,R230+1&gt;=IF(OR('5-man'!$F$7=TRUE,'5-man'!$F$7="TRUE",'5-man'!$F$7="Yes"),25,50)),10,0)+IF('5-man'!S$24=$Q$234,25,0))</f>
        <v/>
      </c>
      <c r="T228">
        <f>MIN(100,S229+IF(AND(S229&lt;100,S230+1&gt;=IF(OR('5-man'!$F$7=TRUE,'5-man'!$F$7="TRUE",'5-man'!$F$7="Yes"),25,50)),10,0)+IF('5-man'!T$24=$Q$234,25,0))</f>
        <v/>
      </c>
      <c r="U228">
        <f>MIN(100,T229+IF(AND(T229&lt;100,T230+1&gt;=IF(OR('5-man'!$F$7=TRUE,'5-man'!$F$7="TRUE",'5-man'!$F$7="Yes"),25,50)),10,0)+IF('5-man'!U$24=$Q$234,25,0))</f>
        <v/>
      </c>
      <c r="V228">
        <f>MIN(100,U229+IF(AND(U229&lt;100,U230+1&gt;=IF(OR('5-man'!$F$7=TRUE,'5-man'!$F$7="TRUE",'5-man'!$F$7="Yes"),25,50)),10,0)+IF('5-man'!V$24=$Q$234,25,0))</f>
        <v/>
      </c>
      <c r="W228">
        <f>MIN(100,V229+IF(AND(V229&lt;100,V230+1&gt;=IF(OR('5-man'!$F$7=TRUE,'5-man'!$F$7="TRUE",'5-man'!$F$7="Yes"),25,50)),10,0)+IF('5-man'!W$24=$Q$234,25,0))</f>
        <v/>
      </c>
      <c r="X228">
        <f>MIN(100,W229+IF(AND(W229&lt;100,W230+1&gt;=IF(OR('5-man'!$F$7=TRUE,'5-man'!$F$7="TRUE",'5-man'!$F$7="Yes"),25,50)),10,0)+IF('5-man'!X$24=$Q$234,25,0))</f>
        <v/>
      </c>
      <c r="Y228">
        <f>MIN(100,X229+IF(AND(X229&lt;100,X230+1&gt;=IF(OR('5-man'!$F$7=TRUE,'5-man'!$F$7="TRUE",'5-man'!$F$7="Yes"),25,50)),10,0)+IF('5-man'!Y$24=$Q$234,25,0))</f>
        <v/>
      </c>
      <c r="Z228">
        <f>MIN(100,Y229+IF(AND(Y229&lt;100,Y230+1&gt;=IF(OR('5-man'!$F$7=TRUE,'5-man'!$F$7="TRUE",'5-man'!$F$7="Yes"),25,50)),10,0)+IF('5-man'!Z$24=$Q$234,25,0))</f>
        <v/>
      </c>
      <c r="AA228">
        <f>MIN(100,Z229+IF(AND(Z229&lt;100,Z230+1&gt;=IF(OR('5-man'!$F$7=TRUE,'5-man'!$F$7="TRUE",'5-man'!$F$7="Yes"),25,50)),10,0)+IF('5-man'!AA$24=$Q$234,25,0))</f>
        <v/>
      </c>
      <c r="AB228">
        <f>MIN(100,AA229+IF(AND(AA229&lt;100,AA230+1&gt;=IF(OR('5-man'!$F$7=TRUE,'5-man'!$F$7="TRUE",'5-man'!$F$7="Yes"),25,50)),10,0)+IF('5-man'!AB$24=$Q$234,25,0))</f>
        <v/>
      </c>
      <c r="AC228">
        <f>MIN(100,AB229+IF(AND(AB229&lt;100,AB230+1&gt;=IF(OR('5-man'!$F$7=TRUE,'5-man'!$F$7="TRUE",'5-man'!$F$7="Yes"),25,50)),10,0)+IF('5-man'!AC$24=$Q$234,25,0))</f>
        <v/>
      </c>
      <c r="AD228">
        <f>MIN(100,AC229+IF(AND(AC229&lt;100,AC230+1&gt;=IF(OR('5-man'!$F$7=TRUE,'5-man'!$F$7="TRUE",'5-man'!$F$7="Yes"),25,50)),10,0)+IF('5-man'!AD$24=$Q$234,25,0))</f>
        <v/>
      </c>
      <c r="AE228">
        <f>MIN(100,AD229+IF(AND(AD229&lt;100,AD230+1&gt;=IF(OR('5-man'!$F$7=TRUE,'5-man'!$F$7="TRUE",'5-man'!$F$7="Yes"),25,50)),10,0)+IF('5-man'!AE$24=$Q$234,25,0))</f>
        <v/>
      </c>
      <c r="AF228">
        <f>MIN(100,AE229+IF(AND(AE229&lt;100,AE230+1&gt;=IF(OR('5-man'!$F$7=TRUE,'5-man'!$F$7="TRUE",'5-man'!$F$7="Yes"),25,50)),10,0)+IF('5-man'!AF$24=$Q$234,25,0))</f>
        <v/>
      </c>
      <c r="AG228">
        <f>MIN(100,AF229+IF(AND(AF229&lt;100,AF230+1&gt;=IF(OR('5-man'!$F$7=TRUE,'5-man'!$F$7="TRUE",'5-man'!$F$7="Yes"),25,50)),10,0)+IF('5-man'!AG$24=$Q$234,25,0))</f>
        <v/>
      </c>
      <c r="AH228">
        <f>MIN(100,AG229+IF(AND(AG229&lt;100,AG230+1&gt;=IF(OR('5-man'!$F$7=TRUE,'5-man'!$F$7="TRUE",'5-man'!$F$7="Yes"),25,50)),10,0)+IF('5-man'!AH$24=$Q$234,25,0))</f>
        <v/>
      </c>
      <c r="AI228">
        <f>MIN(100,AH229+IF(AND(AH229&lt;100,AH230+1&gt;=IF(OR('5-man'!$F$7=TRUE,'5-man'!$F$7="TRUE",'5-man'!$F$7="Yes"),25,50)),10,0)+IF('5-man'!AI$24=$Q$234,25,0))</f>
        <v/>
      </c>
      <c r="AJ228">
        <f>MIN(100,AI229+IF(AND(AI229&lt;100,AI230+1&gt;=IF(OR('5-man'!$F$7=TRUE,'5-man'!$F$7="TRUE",'5-man'!$F$7="Yes"),25,50)),10,0)+IF('5-man'!AJ$24=$Q$234,25,0))</f>
        <v/>
      </c>
      <c r="AK228">
        <f>MIN(100,AJ229+IF(AND(AJ229&lt;100,AJ230+1&gt;=IF(OR('5-man'!$F$7=TRUE,'5-man'!$F$7="TRUE",'5-man'!$F$7="Yes"),25,50)),10,0)+IF('5-man'!AK$24=$Q$234,25,0))</f>
        <v/>
      </c>
      <c r="AL228">
        <f>MIN(100,AK229+IF(AND(AK229&lt;100,AK230+1&gt;=IF(OR('5-man'!$F$7=TRUE,'5-man'!$F$7="TRUE",'5-man'!$F$7="Yes"),25,50)),10,0)+IF('5-man'!AL$24=$Q$234,25,0))</f>
        <v/>
      </c>
      <c r="AM228">
        <f>MIN(100,AL229+IF(AND(AL229&lt;100,AL230+1&gt;=IF(OR('5-man'!$F$7=TRUE,'5-man'!$F$7="TRUE",'5-man'!$F$7="Yes"),25,50)),10,0)+IF('5-man'!AM$24=$Q$234,25,0))</f>
        <v/>
      </c>
      <c r="AN228">
        <f>MIN(100,AM229+IF(AND(AM229&lt;100,AM230+1&gt;=IF(OR('5-man'!$F$7=TRUE,'5-man'!$F$7="TRUE",'5-man'!$F$7="Yes"),25,50)),10,0)+IF('5-man'!AN$24=$Q$234,25,0))</f>
        <v/>
      </c>
      <c r="AO228">
        <f>MIN(100,AN229+IF(AND(AN229&lt;100,AN230+1&gt;=IF(OR('5-man'!$F$7=TRUE,'5-man'!$F$7="TRUE",'5-man'!$F$7="Yes"),25,50)),10,0)+IF('5-man'!AO$24=$Q$234,25,0))</f>
        <v/>
      </c>
      <c r="AP228">
        <f>MIN(100,AO229+IF(AND(AO229&lt;100,AO230+1&gt;=IF(OR('5-man'!$F$7=TRUE,'5-man'!$F$7="TRUE",'5-man'!$F$7="Yes"),25,50)),10,0)+IF('5-man'!AP$24=$Q$234,25,0))</f>
        <v/>
      </c>
      <c r="AQ228">
        <f>MIN(100,AP229+IF(AND(AP229&lt;100,AP230+1&gt;=IF(OR('5-man'!$F$7=TRUE,'5-man'!$F$7="TRUE",'5-man'!$F$7="Yes"),25,50)),10,0)+IF('5-man'!AQ$24=$Q$234,25,0))</f>
        <v/>
      </c>
      <c r="AR228">
        <f>MIN(100,AQ229+IF(AND(AQ229&lt;100,AQ230+1&gt;=IF(OR('5-man'!$F$7=TRUE,'5-man'!$F$7="TRUE",'5-man'!$F$7="Yes"),25,50)),10,0)+IF('5-man'!AR$24=$Q$234,25,0))</f>
        <v/>
      </c>
      <c r="AS228">
        <f>MIN(100,AR229+IF(AND(AR229&lt;100,AR230+1&gt;=IF(OR('5-man'!$F$7=TRUE,'5-man'!$F$7="TRUE",'5-man'!$F$7="Yes"),25,50)),10,0)+IF('5-man'!AS$24=$Q$234,25,0))</f>
        <v/>
      </c>
      <c r="AT228">
        <f>MIN(100,AS229+IF(AND(AS229&lt;100,AS230+1&gt;=IF(OR('5-man'!$F$7=TRUE,'5-man'!$F$7="TRUE",'5-man'!$F$7="Yes"),25,50)),10,0)+IF('5-man'!AT$24=$Q$234,25,0))</f>
        <v/>
      </c>
      <c r="AU228">
        <f>MIN(100,AT229+IF(AND(AT229&lt;100,AT230+1&gt;=IF(OR('5-man'!$F$7=TRUE,'5-man'!$F$7="TRUE",'5-man'!$F$7="Yes"),25,50)),10,0)+IF('5-man'!AU$24=$Q$234,25,0))</f>
        <v/>
      </c>
      <c r="AV228">
        <f>MIN(100,AU229+IF(AND(AU229&lt;100,AU230+1&gt;=IF(OR('5-man'!$F$7=TRUE,'5-man'!$F$7="TRUE",'5-man'!$F$7="Yes"),25,50)),10,0)+IF('5-man'!AV$24=$Q$234,25,0))</f>
        <v/>
      </c>
      <c r="AW228">
        <f>MIN(100,AV229+IF(AND(AV229&lt;100,AV230+1&gt;=IF(OR('5-man'!$F$7=TRUE,'5-man'!$F$7="TRUE",'5-man'!$F$7="Yes"),25,50)),10,0)+IF('5-man'!AW$24=$Q$234,25,0))</f>
        <v/>
      </c>
      <c r="AX228">
        <f>MIN(100,AW229+IF(AND(AW229&lt;100,AW230+1&gt;=IF(OR('5-man'!$F$7=TRUE,'5-man'!$F$7="TRUE",'5-man'!$F$7="Yes"),25,50)),10,0)+IF('5-man'!AX$24=$Q$234,25,0))</f>
        <v/>
      </c>
      <c r="AY228">
        <f>MIN(100,AX229+IF(AND(AX229&lt;100,AX230+1&gt;=IF(OR('5-man'!$F$7=TRUE,'5-man'!$F$7="TRUE",'5-man'!$F$7="Yes"),25,50)),10,0)+IF('5-man'!AY$24=$Q$234,25,0))</f>
        <v/>
      </c>
      <c r="AZ228">
        <f>MIN(100,AY229+IF(AND(AY229&lt;100,AY230+1&gt;=IF(OR('5-man'!$F$7=TRUE,'5-man'!$F$7="TRUE",'5-man'!$F$7="Yes"),25,50)),10,0)+IF('5-man'!AZ$24=$Q$234,25,0))</f>
        <v/>
      </c>
      <c r="BA228">
        <f>MIN(100,AZ229+IF(AND(AZ229&lt;100,AZ230+1&gt;=IF(OR('5-man'!$F$7=TRUE,'5-man'!$F$7="TRUE",'5-man'!$F$7="Yes"),25,50)),10,0)+IF('5-man'!BA$24=$Q$234,25,0))</f>
        <v/>
      </c>
      <c r="BB228">
        <f>MIN(100,BA229+IF(AND(BA229&lt;100,BA230+1&gt;=IF(OR('5-man'!$F$7=TRUE,'5-man'!$F$7="TRUE",'5-man'!$F$7="Yes"),25,50)),10,0)+IF('5-man'!BB$24=$Q$234,25,0))</f>
        <v/>
      </c>
      <c r="BC228">
        <f>MIN(100,BB229+IF(AND(BB229&lt;100,BB230+1&gt;=IF(OR('5-man'!$F$7=TRUE,'5-man'!$F$7="TRUE",'5-man'!$F$7="Yes"),25,50)),10,0)+IF('5-man'!BC$24=$Q$234,25,0))</f>
        <v/>
      </c>
      <c r="BD228">
        <f>MIN(100,BC229+IF(AND(BC229&lt;100,BC230+1&gt;=IF(OR('5-man'!$F$7=TRUE,'5-man'!$F$7="TRUE",'5-man'!$F$7="Yes"),25,50)),10,0)+IF('5-man'!BD$24=$Q$234,25,0))</f>
        <v/>
      </c>
      <c r="BE228">
        <f>MIN(100,BD229+IF(AND(BD229&lt;100,BD230+1&gt;=IF(OR('5-man'!$F$7=TRUE,'5-man'!$F$7="TRUE",'5-man'!$F$7="Yes"),25,50)),10,0)+IF('5-man'!BE$24=$Q$234,25,0))</f>
        <v/>
      </c>
      <c r="BF228">
        <f>MIN(100,BE229+IF(AND(BE229&lt;100,BE230+1&gt;=IF(OR('5-man'!$F$7=TRUE,'5-man'!$F$7="TRUE",'5-man'!$F$7="Yes"),25,50)),10,0)+IF('5-man'!BF$24=$Q$234,25,0))</f>
        <v/>
      </c>
      <c r="BG228">
        <f>MIN(100,BF229+IF(AND(BF229&lt;100,BF230+1&gt;=IF(OR('5-man'!$F$7=TRUE,'5-man'!$F$7="TRUE",'5-man'!$F$7="Yes"),25,50)),10,0)+IF('5-man'!BG$24=$Q$234,25,0))</f>
        <v/>
      </c>
      <c r="BH228">
        <f>MIN(100,BG229+IF(AND(BG229&lt;100,BG230+1&gt;=IF(OR('5-man'!$F$7=TRUE,'5-man'!$F$7="TRUE",'5-man'!$F$7="Yes"),25,50)),10,0)+IF('5-man'!BH$24=$Q$234,25,0))</f>
        <v/>
      </c>
      <c r="BI228">
        <f>MIN(100,BH229+IF(AND(BH229&lt;100,BH230+1&gt;=IF(OR('5-man'!$F$7=TRUE,'5-man'!$F$7="TRUE",'5-man'!$F$7="Yes"),25,50)),10,0)+IF('5-man'!BI$24=$Q$234,25,0))</f>
        <v/>
      </c>
      <c r="BJ228">
        <f>MIN(100,BI229+IF(AND(BI229&lt;100,BI230+1&gt;=IF(OR('5-man'!$F$7=TRUE,'5-man'!$F$7="TRUE",'5-man'!$F$7="Yes"),25,50)),10,0)+IF('5-man'!BJ$24=$Q$234,25,0))</f>
        <v/>
      </c>
      <c r="BK228">
        <f>MIN(100,BJ229+IF(AND(BJ229&lt;100,BJ230+1&gt;=IF(OR('5-man'!$F$7=TRUE,'5-man'!$F$7="TRUE",'5-man'!$F$7="Yes"),25,50)),10,0)+IF('5-man'!BK$24=$Q$234,25,0))</f>
        <v/>
      </c>
      <c r="BL228">
        <f>MIN(100,BK229+IF(AND(BK229&lt;100,BK230+1&gt;=IF(OR('5-man'!$F$7=TRUE,'5-man'!$F$7="TRUE",'5-man'!$F$7="Yes"),25,50)),10,0)+IF('5-man'!BL$24=$Q$234,25,0))</f>
        <v/>
      </c>
      <c r="BM228">
        <f>MIN(100,BL229+IF(AND(BL229&lt;100,BL230+1&gt;=IF(OR('5-man'!$F$7=TRUE,'5-man'!$F$7="TRUE",'5-man'!$F$7="Yes"),25,50)),10,0)+IF('5-man'!BM$24=$Q$234,25,0))</f>
        <v/>
      </c>
      <c r="BN228">
        <f>MIN(100,BM229+IF(AND(BM229&lt;100,BM230+1&gt;=IF(OR('5-man'!$F$7=TRUE,'5-man'!$F$7="TRUE",'5-man'!$F$7="Yes"),25,50)),10,0)+IF('5-man'!BN$24=$Q$234,25,0))</f>
        <v/>
      </c>
      <c r="BO228">
        <f>MIN(100,BN229+IF(AND(BN229&lt;100,BN230+1&gt;=IF(OR('5-man'!$F$7=TRUE,'5-man'!$F$7="TRUE",'5-man'!$F$7="Yes"),25,50)),10,0)+IF('5-man'!BO$24=$Q$234,25,0))</f>
        <v/>
      </c>
      <c r="BP228">
        <f>MIN(100,BO229+IF(AND(BO229&lt;100,BO230+1&gt;=IF(OR('5-man'!$F$7=TRUE,'5-man'!$F$7="TRUE",'5-man'!$F$7="Yes"),25,50)),10,0)+IF('5-man'!BP$24=$Q$234,25,0))</f>
        <v/>
      </c>
      <c r="BQ228">
        <f>MIN(100,BP229+IF(AND(BP229&lt;100,BP230+1&gt;=IF(OR('5-man'!$F$7=TRUE,'5-man'!$F$7="TRUE",'5-man'!$F$7="Yes"),25,50)),10,0)+IF('5-man'!BQ$24=$Q$234,25,0))</f>
        <v/>
      </c>
      <c r="BR228">
        <f>MIN(100,BQ229+IF(AND(BQ229&lt;100,BQ230+1&gt;=IF(OR('5-man'!$F$7=TRUE,'5-man'!$F$7="TRUE",'5-man'!$F$7="Yes"),25,50)),10,0)+IF('5-man'!BR$24=$Q$234,25,0))</f>
        <v/>
      </c>
      <c r="BS228">
        <f>MIN(100,BR229+IF(AND(BR229&lt;100,BR230+1&gt;=IF(OR('5-man'!$F$7=TRUE,'5-man'!$F$7="TRUE",'5-man'!$F$7="Yes"),25,50)),10,0)+IF('5-man'!BS$24=$Q$234,25,0))</f>
        <v/>
      </c>
      <c r="BT228">
        <f>MIN(100,BS229+IF(AND(BS229&lt;100,BS230+1&gt;=IF(OR('5-man'!$F$7=TRUE,'5-man'!$F$7="TRUE",'5-man'!$F$7="Yes"),25,50)),10,0)+IF('5-man'!BT$24=$Q$234,25,0))</f>
        <v/>
      </c>
      <c r="BU228">
        <f>MIN(100,BT229+IF(AND(BT229&lt;100,BT230+1&gt;=IF(OR('5-man'!$F$7=TRUE,'5-man'!$F$7="TRUE",'5-man'!$F$7="Yes"),25,50)),10,0)+IF('5-man'!BU$24=$Q$234,25,0))</f>
        <v/>
      </c>
      <c r="BV228">
        <f>MIN(100,BU229+IF(AND(BU229&lt;100,BU230+1&gt;=IF(OR('5-man'!$F$7=TRUE,'5-man'!$F$7="TRUE",'5-man'!$F$7="Yes"),25,50)),10,0)+IF('5-man'!BV$24=$Q$234,25,0))</f>
        <v/>
      </c>
      <c r="BW228">
        <f>MIN(100,BV229+IF(AND(BV229&lt;100,BV230+1&gt;=IF(OR('5-man'!$F$7=TRUE,'5-man'!$F$7="TRUE",'5-man'!$F$7="Yes"),25,50)),10,0)+IF('5-man'!BW$24=$Q$234,25,0))</f>
        <v/>
      </c>
      <c r="BX228">
        <f>MIN(100,BW229+IF(AND(BW229&lt;100,BW230+1&gt;=IF(OR('5-man'!$F$7=TRUE,'5-man'!$F$7="TRUE",'5-man'!$F$7="Yes"),25,50)),10,0)+IF('5-man'!BX$24=$Q$234,25,0))</f>
        <v/>
      </c>
      <c r="BY228">
        <f>MIN(100,BX229+IF(AND(BX229&lt;100,BX230+1&gt;=IF(OR('5-man'!$F$7=TRUE,'5-man'!$F$7="TRUE",'5-man'!$F$7="Yes"),25,50)),10,0)+IF('5-man'!BY$24=$Q$234,25,0))</f>
        <v/>
      </c>
      <c r="BZ228">
        <f>MIN(100,BY229+IF(AND(BY229&lt;100,BY230+1&gt;=IF(OR('5-man'!$F$7=TRUE,'5-man'!$F$7="TRUE",'5-man'!$F$7="Yes"),25,50)),10,0)+IF('5-man'!BZ$24=$Q$234,25,0))</f>
        <v/>
      </c>
      <c r="CA228">
        <f>MIN(100,BZ229+IF(AND(BZ229&lt;100,BZ230+1&gt;=IF(OR('5-man'!$F$7=TRUE,'5-man'!$F$7="TRUE",'5-man'!$F$7="Yes"),25,50)),10,0)+IF('5-man'!CA$24=$Q$234,25,0))</f>
        <v/>
      </c>
      <c r="CB228">
        <f>MIN(100,CA229+IF(AND(CA229&lt;100,CA230+1&gt;=IF(OR('5-man'!$F$7=TRUE,'5-man'!$F$7="TRUE",'5-man'!$F$7="Yes"),25,50)),10,0)+IF('5-man'!CB$24=$Q$234,25,0))</f>
        <v/>
      </c>
      <c r="CC228">
        <f>MIN(100,CB229+IF(AND(CB229&lt;100,CB230+1&gt;=IF(OR('5-man'!$F$7=TRUE,'5-man'!$F$7="TRUE",'5-man'!$F$7="Yes"),25,50)),10,0)+IF('5-man'!CC$24=$Q$234,25,0))</f>
        <v/>
      </c>
      <c r="CD228">
        <f>MIN(100,CC229+IF(AND(CC229&lt;100,CC230+1&gt;=IF(OR('5-man'!$F$7=TRUE,'5-man'!$F$7="TRUE",'5-man'!$F$7="Yes"),25,50)),10,0)+IF('5-man'!CD$24=$Q$234,25,0))</f>
        <v/>
      </c>
    </row>
    <row r="229">
      <c r="A229" t="inlineStr">
        <is>
          <t>P4 spec</t>
        </is>
      </c>
      <c r="B229">
        <f>IF('5-man'!$C$7="",100,'5-man'!$C$7)</f>
        <v/>
      </c>
      <c r="C229">
        <f>IF('5-man'!C$28="R",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5-man'!D$28="R",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5-man'!E$28="R",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5-man'!F$28="R",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5-man'!G$28="R",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5-man'!H$28="R",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5-man'!I$28="R",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5-man'!J$28="R",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5-man'!K$28="R",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5-man'!L$28="R",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5-man'!M$28="R",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5-man'!N$28="R",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5-man'!O$28="R",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5-man'!P$28="R",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5-man'!Q$28="R",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5-man'!R$28="R",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5-man'!S$28="R",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5-man'!T$28="R",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5-man'!U$28="R",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5-man'!V$28="R",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5-man'!W$28="R",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5-man'!X$28="R",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5-man'!Y$28="R",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5-man'!Z$28="R",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5-man'!AA$28="R",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5-man'!AB$28="R",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5-man'!AC$28="R",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5-man'!AD$28="R",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5-man'!AE$28="R",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5-man'!AF$28="R",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5-man'!AG$28="R",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5-man'!AH$28="R",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5-man'!AI$28="R",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5-man'!AJ$28="R",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5-man'!AK$28="R",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5-man'!AL$28="R",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5-man'!AM$28="R",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5-man'!AN$28="R",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5-man'!AO$28="R",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5-man'!AP$28="R",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5-man'!AQ$28="R",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5-man'!AR$28="R",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5-man'!AS$28="R",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5-man'!AT$28="R",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5-man'!AU$28="R",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5-man'!AV$28="R",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5-man'!AW$28="R",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5-man'!AX$28="R",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5-man'!AY$28="R",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5-man'!AZ$28="R",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5-man'!BA$28="R",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5-man'!BB$28="R",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5-man'!BC$28="R",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5-man'!BD$28="R",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5-man'!BE$28="R",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5-man'!BF$28="R",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5-man'!BG$28="R",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5-man'!BH$28="R",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5-man'!BI$28="R",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5-man'!BJ$28="R",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5-man'!BK$28="R",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5-man'!BL$28="R",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5-man'!BM$28="R",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5-man'!BN$28="R",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5-man'!BO$28="R",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5-man'!BP$28="R",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5-man'!BQ$28="R",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5-man'!BR$28="R",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5-man'!BS$28="R",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5-man'!BT$28="R",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5-man'!BU$28="R",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5-man'!BV$28="R",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5-man'!BW$28="R",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5-man'!BX$28="R",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5-man'!BY$28="R",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5-man'!BZ$28="R",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5-man'!CA$28="R",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5-man'!CB$28="R",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5-man'!CC$28="R",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5-man'!CD$28="R",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IF('5-man'!C$28="R",0,IF(B229&gt;=100,0,IF(B230+1&gt;=IF(OR('5-man'!$F$7=TRUE,'5-man'!$F$7="TRUE",'5-man'!$F$7="Yes"),25,50),0,B230+1)))</f>
        <v/>
      </c>
      <c r="D230">
        <f>IF('5-man'!D$28="R",0,IF(C229&gt;=100,0,IF(C230+1&gt;=IF(OR('5-man'!$F$7=TRUE,'5-man'!$F$7="TRUE",'5-man'!$F$7="Yes"),25,50),0,C230+1)))</f>
        <v/>
      </c>
      <c r="E230">
        <f>IF('5-man'!E$28="R",0,IF(D229&gt;=100,0,IF(D230+1&gt;=IF(OR('5-man'!$F$7=TRUE,'5-man'!$F$7="TRUE",'5-man'!$F$7="Yes"),25,50),0,D230+1)))</f>
        <v/>
      </c>
      <c r="F230">
        <f>IF('5-man'!F$28="R",0,IF(E229&gt;=100,0,IF(E230+1&gt;=IF(OR('5-man'!$F$7=TRUE,'5-man'!$F$7="TRUE",'5-man'!$F$7="Yes"),25,50),0,E230+1)))</f>
        <v/>
      </c>
      <c r="G230">
        <f>IF('5-man'!G$28="R",0,IF(F229&gt;=100,0,IF(F230+1&gt;=IF(OR('5-man'!$F$7=TRUE,'5-man'!$F$7="TRUE",'5-man'!$F$7="Yes"),25,50),0,F230+1)))</f>
        <v/>
      </c>
      <c r="H230">
        <f>IF('5-man'!H$28="R",0,IF(G229&gt;=100,0,IF(G230+1&gt;=IF(OR('5-man'!$F$7=TRUE,'5-man'!$F$7="TRUE",'5-man'!$F$7="Yes"),25,50),0,G230+1)))</f>
        <v/>
      </c>
      <c r="I230">
        <f>IF('5-man'!I$28="R",0,IF(H229&gt;=100,0,IF(H230+1&gt;=IF(OR('5-man'!$F$7=TRUE,'5-man'!$F$7="TRUE",'5-man'!$F$7="Yes"),25,50),0,H230+1)))</f>
        <v/>
      </c>
      <c r="J230">
        <f>IF('5-man'!J$28="R",0,IF(I229&gt;=100,0,IF(I230+1&gt;=IF(OR('5-man'!$F$7=TRUE,'5-man'!$F$7="TRUE",'5-man'!$F$7="Yes"),25,50),0,I230+1)))</f>
        <v/>
      </c>
      <c r="K230">
        <f>IF('5-man'!K$28="R",0,IF(J229&gt;=100,0,IF(J230+1&gt;=IF(OR('5-man'!$F$7=TRUE,'5-man'!$F$7="TRUE",'5-man'!$F$7="Yes"),25,50),0,J230+1)))</f>
        <v/>
      </c>
      <c r="L230">
        <f>IF('5-man'!L$28="R",0,IF(K229&gt;=100,0,IF(K230+1&gt;=IF(OR('5-man'!$F$7=TRUE,'5-man'!$F$7="TRUE",'5-man'!$F$7="Yes"),25,50),0,K230+1)))</f>
        <v/>
      </c>
      <c r="M230">
        <f>IF('5-man'!M$28="R",0,IF(L229&gt;=100,0,IF(L230+1&gt;=IF(OR('5-man'!$F$7=TRUE,'5-man'!$F$7="TRUE",'5-man'!$F$7="Yes"),25,50),0,L230+1)))</f>
        <v/>
      </c>
      <c r="N230">
        <f>IF('5-man'!N$28="R",0,IF(M229&gt;=100,0,IF(M230+1&gt;=IF(OR('5-man'!$F$7=TRUE,'5-man'!$F$7="TRUE",'5-man'!$F$7="Yes"),25,50),0,M230+1)))</f>
        <v/>
      </c>
      <c r="O230">
        <f>IF('5-man'!O$28="R",0,IF(N229&gt;=100,0,IF(N230+1&gt;=IF(OR('5-man'!$F$7=TRUE,'5-man'!$F$7="TRUE",'5-man'!$F$7="Yes"),25,50),0,N230+1)))</f>
        <v/>
      </c>
      <c r="P230">
        <f>IF('5-man'!P$28="R",0,IF(O229&gt;=100,0,IF(O230+1&gt;=IF(OR('5-man'!$F$7=TRUE,'5-man'!$F$7="TRUE",'5-man'!$F$7="Yes"),25,50),0,O230+1)))</f>
        <v/>
      </c>
      <c r="Q230">
        <f>IF('5-man'!Q$28="R",0,IF(P229&gt;=100,0,IF(P230+1&gt;=IF(OR('5-man'!$F$7=TRUE,'5-man'!$F$7="TRUE",'5-man'!$F$7="Yes"),25,50),0,P230+1)))</f>
        <v/>
      </c>
      <c r="R230">
        <f>IF('5-man'!R$28="R",0,IF(Q229&gt;=100,0,IF(Q230+1&gt;=IF(OR('5-man'!$F$7=TRUE,'5-man'!$F$7="TRUE",'5-man'!$F$7="Yes"),25,50),0,Q230+1)))</f>
        <v/>
      </c>
      <c r="S230">
        <f>IF('5-man'!S$28="R",0,IF(R229&gt;=100,0,IF(R230+1&gt;=IF(OR('5-man'!$F$7=TRUE,'5-man'!$F$7="TRUE",'5-man'!$F$7="Yes"),25,50),0,R230+1)))</f>
        <v/>
      </c>
      <c r="T230">
        <f>IF('5-man'!T$28="R",0,IF(S229&gt;=100,0,IF(S230+1&gt;=IF(OR('5-man'!$F$7=TRUE,'5-man'!$F$7="TRUE",'5-man'!$F$7="Yes"),25,50),0,S230+1)))</f>
        <v/>
      </c>
      <c r="U230">
        <f>IF('5-man'!U$28="R",0,IF(T229&gt;=100,0,IF(T230+1&gt;=IF(OR('5-man'!$F$7=TRUE,'5-man'!$F$7="TRUE",'5-man'!$F$7="Yes"),25,50),0,T230+1)))</f>
        <v/>
      </c>
      <c r="V230">
        <f>IF('5-man'!V$28="R",0,IF(U229&gt;=100,0,IF(U230+1&gt;=IF(OR('5-man'!$F$7=TRUE,'5-man'!$F$7="TRUE",'5-man'!$F$7="Yes"),25,50),0,U230+1)))</f>
        <v/>
      </c>
      <c r="W230">
        <f>IF('5-man'!W$28="R",0,IF(V229&gt;=100,0,IF(V230+1&gt;=IF(OR('5-man'!$F$7=TRUE,'5-man'!$F$7="TRUE",'5-man'!$F$7="Yes"),25,50),0,V230+1)))</f>
        <v/>
      </c>
      <c r="X230">
        <f>IF('5-man'!X$28="R",0,IF(W229&gt;=100,0,IF(W230+1&gt;=IF(OR('5-man'!$F$7=TRUE,'5-man'!$F$7="TRUE",'5-man'!$F$7="Yes"),25,50),0,W230+1)))</f>
        <v/>
      </c>
      <c r="Y230">
        <f>IF('5-man'!Y$28="R",0,IF(X229&gt;=100,0,IF(X230+1&gt;=IF(OR('5-man'!$F$7=TRUE,'5-man'!$F$7="TRUE",'5-man'!$F$7="Yes"),25,50),0,X230+1)))</f>
        <v/>
      </c>
      <c r="Z230">
        <f>IF('5-man'!Z$28="R",0,IF(Y229&gt;=100,0,IF(Y230+1&gt;=IF(OR('5-man'!$F$7=TRUE,'5-man'!$F$7="TRUE",'5-man'!$F$7="Yes"),25,50),0,Y230+1)))</f>
        <v/>
      </c>
      <c r="AA230">
        <f>IF('5-man'!AA$28="R",0,IF(Z229&gt;=100,0,IF(Z230+1&gt;=IF(OR('5-man'!$F$7=TRUE,'5-man'!$F$7="TRUE",'5-man'!$F$7="Yes"),25,50),0,Z230+1)))</f>
        <v/>
      </c>
      <c r="AB230">
        <f>IF('5-man'!AB$28="R",0,IF(AA229&gt;=100,0,IF(AA230+1&gt;=IF(OR('5-man'!$F$7=TRUE,'5-man'!$F$7="TRUE",'5-man'!$F$7="Yes"),25,50),0,AA230+1)))</f>
        <v/>
      </c>
      <c r="AC230">
        <f>IF('5-man'!AC$28="R",0,IF(AB229&gt;=100,0,IF(AB230+1&gt;=IF(OR('5-man'!$F$7=TRUE,'5-man'!$F$7="TRUE",'5-man'!$F$7="Yes"),25,50),0,AB230+1)))</f>
        <v/>
      </c>
      <c r="AD230">
        <f>IF('5-man'!AD$28="R",0,IF(AC229&gt;=100,0,IF(AC230+1&gt;=IF(OR('5-man'!$F$7=TRUE,'5-man'!$F$7="TRUE",'5-man'!$F$7="Yes"),25,50),0,AC230+1)))</f>
        <v/>
      </c>
      <c r="AE230">
        <f>IF('5-man'!AE$28="R",0,IF(AD229&gt;=100,0,IF(AD230+1&gt;=IF(OR('5-man'!$F$7=TRUE,'5-man'!$F$7="TRUE",'5-man'!$F$7="Yes"),25,50),0,AD230+1)))</f>
        <v/>
      </c>
      <c r="AF230">
        <f>IF('5-man'!AF$28="R",0,IF(AE229&gt;=100,0,IF(AE230+1&gt;=IF(OR('5-man'!$F$7=TRUE,'5-man'!$F$7="TRUE",'5-man'!$F$7="Yes"),25,50),0,AE230+1)))</f>
        <v/>
      </c>
      <c r="AG230">
        <f>IF('5-man'!AG$28="R",0,IF(AF229&gt;=100,0,IF(AF230+1&gt;=IF(OR('5-man'!$F$7=TRUE,'5-man'!$F$7="TRUE",'5-man'!$F$7="Yes"),25,50),0,AF230+1)))</f>
        <v/>
      </c>
      <c r="AH230">
        <f>IF('5-man'!AH$28="R",0,IF(AG229&gt;=100,0,IF(AG230+1&gt;=IF(OR('5-man'!$F$7=TRUE,'5-man'!$F$7="TRUE",'5-man'!$F$7="Yes"),25,50),0,AG230+1)))</f>
        <v/>
      </c>
      <c r="AI230">
        <f>IF('5-man'!AI$28="R",0,IF(AH229&gt;=100,0,IF(AH230+1&gt;=IF(OR('5-man'!$F$7=TRUE,'5-man'!$F$7="TRUE",'5-man'!$F$7="Yes"),25,50),0,AH230+1)))</f>
        <v/>
      </c>
      <c r="AJ230">
        <f>IF('5-man'!AJ$28="R",0,IF(AI229&gt;=100,0,IF(AI230+1&gt;=IF(OR('5-man'!$F$7=TRUE,'5-man'!$F$7="TRUE",'5-man'!$F$7="Yes"),25,50),0,AI230+1)))</f>
        <v/>
      </c>
      <c r="AK230">
        <f>IF('5-man'!AK$28="R",0,IF(AJ229&gt;=100,0,IF(AJ230+1&gt;=IF(OR('5-man'!$F$7=TRUE,'5-man'!$F$7="TRUE",'5-man'!$F$7="Yes"),25,50),0,AJ230+1)))</f>
        <v/>
      </c>
      <c r="AL230">
        <f>IF('5-man'!AL$28="R",0,IF(AK229&gt;=100,0,IF(AK230+1&gt;=IF(OR('5-man'!$F$7=TRUE,'5-man'!$F$7="TRUE",'5-man'!$F$7="Yes"),25,50),0,AK230+1)))</f>
        <v/>
      </c>
      <c r="AM230">
        <f>IF('5-man'!AM$28="R",0,IF(AL229&gt;=100,0,IF(AL230+1&gt;=IF(OR('5-man'!$F$7=TRUE,'5-man'!$F$7="TRUE",'5-man'!$F$7="Yes"),25,50),0,AL230+1)))</f>
        <v/>
      </c>
      <c r="AN230">
        <f>IF('5-man'!AN$28="R",0,IF(AM229&gt;=100,0,IF(AM230+1&gt;=IF(OR('5-man'!$F$7=TRUE,'5-man'!$F$7="TRUE",'5-man'!$F$7="Yes"),25,50),0,AM230+1)))</f>
        <v/>
      </c>
      <c r="AO230">
        <f>IF('5-man'!AO$28="R",0,IF(AN229&gt;=100,0,IF(AN230+1&gt;=IF(OR('5-man'!$F$7=TRUE,'5-man'!$F$7="TRUE",'5-man'!$F$7="Yes"),25,50),0,AN230+1)))</f>
        <v/>
      </c>
      <c r="AP230">
        <f>IF('5-man'!AP$28="R",0,IF(AO229&gt;=100,0,IF(AO230+1&gt;=IF(OR('5-man'!$F$7=TRUE,'5-man'!$F$7="TRUE",'5-man'!$F$7="Yes"),25,50),0,AO230+1)))</f>
        <v/>
      </c>
      <c r="AQ230">
        <f>IF('5-man'!AQ$28="R",0,IF(AP229&gt;=100,0,IF(AP230+1&gt;=IF(OR('5-man'!$F$7=TRUE,'5-man'!$F$7="TRUE",'5-man'!$F$7="Yes"),25,50),0,AP230+1)))</f>
        <v/>
      </c>
      <c r="AR230">
        <f>IF('5-man'!AR$28="R",0,IF(AQ229&gt;=100,0,IF(AQ230+1&gt;=IF(OR('5-man'!$F$7=TRUE,'5-man'!$F$7="TRUE",'5-man'!$F$7="Yes"),25,50),0,AQ230+1)))</f>
        <v/>
      </c>
      <c r="AS230">
        <f>IF('5-man'!AS$28="R",0,IF(AR229&gt;=100,0,IF(AR230+1&gt;=IF(OR('5-man'!$F$7=TRUE,'5-man'!$F$7="TRUE",'5-man'!$F$7="Yes"),25,50),0,AR230+1)))</f>
        <v/>
      </c>
      <c r="AT230">
        <f>IF('5-man'!AT$28="R",0,IF(AS229&gt;=100,0,IF(AS230+1&gt;=IF(OR('5-man'!$F$7=TRUE,'5-man'!$F$7="TRUE",'5-man'!$F$7="Yes"),25,50),0,AS230+1)))</f>
        <v/>
      </c>
      <c r="AU230">
        <f>IF('5-man'!AU$28="R",0,IF(AT229&gt;=100,0,IF(AT230+1&gt;=IF(OR('5-man'!$F$7=TRUE,'5-man'!$F$7="TRUE",'5-man'!$F$7="Yes"),25,50),0,AT230+1)))</f>
        <v/>
      </c>
      <c r="AV230">
        <f>IF('5-man'!AV$28="R",0,IF(AU229&gt;=100,0,IF(AU230+1&gt;=IF(OR('5-man'!$F$7=TRUE,'5-man'!$F$7="TRUE",'5-man'!$F$7="Yes"),25,50),0,AU230+1)))</f>
        <v/>
      </c>
      <c r="AW230">
        <f>IF('5-man'!AW$28="R",0,IF(AV229&gt;=100,0,IF(AV230+1&gt;=IF(OR('5-man'!$F$7=TRUE,'5-man'!$F$7="TRUE",'5-man'!$F$7="Yes"),25,50),0,AV230+1)))</f>
        <v/>
      </c>
      <c r="AX230">
        <f>IF('5-man'!AX$28="R",0,IF(AW229&gt;=100,0,IF(AW230+1&gt;=IF(OR('5-man'!$F$7=TRUE,'5-man'!$F$7="TRUE",'5-man'!$F$7="Yes"),25,50),0,AW230+1)))</f>
        <v/>
      </c>
      <c r="AY230">
        <f>IF('5-man'!AY$28="R",0,IF(AX229&gt;=100,0,IF(AX230+1&gt;=IF(OR('5-man'!$F$7=TRUE,'5-man'!$F$7="TRUE",'5-man'!$F$7="Yes"),25,50),0,AX230+1)))</f>
        <v/>
      </c>
      <c r="AZ230">
        <f>IF('5-man'!AZ$28="R",0,IF(AY229&gt;=100,0,IF(AY230+1&gt;=IF(OR('5-man'!$F$7=TRUE,'5-man'!$F$7="TRUE",'5-man'!$F$7="Yes"),25,50),0,AY230+1)))</f>
        <v/>
      </c>
      <c r="BA230">
        <f>IF('5-man'!BA$28="R",0,IF(AZ229&gt;=100,0,IF(AZ230+1&gt;=IF(OR('5-man'!$F$7=TRUE,'5-man'!$F$7="TRUE",'5-man'!$F$7="Yes"),25,50),0,AZ230+1)))</f>
        <v/>
      </c>
      <c r="BB230">
        <f>IF('5-man'!BB$28="R",0,IF(BA229&gt;=100,0,IF(BA230+1&gt;=IF(OR('5-man'!$F$7=TRUE,'5-man'!$F$7="TRUE",'5-man'!$F$7="Yes"),25,50),0,BA230+1)))</f>
        <v/>
      </c>
      <c r="BC230">
        <f>IF('5-man'!BC$28="R",0,IF(BB229&gt;=100,0,IF(BB230+1&gt;=IF(OR('5-man'!$F$7=TRUE,'5-man'!$F$7="TRUE",'5-man'!$F$7="Yes"),25,50),0,BB230+1)))</f>
        <v/>
      </c>
      <c r="BD230">
        <f>IF('5-man'!BD$28="R",0,IF(BC229&gt;=100,0,IF(BC230+1&gt;=IF(OR('5-man'!$F$7=TRUE,'5-man'!$F$7="TRUE",'5-man'!$F$7="Yes"),25,50),0,BC230+1)))</f>
        <v/>
      </c>
      <c r="BE230">
        <f>IF('5-man'!BE$28="R",0,IF(BD229&gt;=100,0,IF(BD230+1&gt;=IF(OR('5-man'!$F$7=TRUE,'5-man'!$F$7="TRUE",'5-man'!$F$7="Yes"),25,50),0,BD230+1)))</f>
        <v/>
      </c>
      <c r="BF230">
        <f>IF('5-man'!BF$28="R",0,IF(BE229&gt;=100,0,IF(BE230+1&gt;=IF(OR('5-man'!$F$7=TRUE,'5-man'!$F$7="TRUE",'5-man'!$F$7="Yes"),25,50),0,BE230+1)))</f>
        <v/>
      </c>
      <c r="BG230">
        <f>IF('5-man'!BG$28="R",0,IF(BF229&gt;=100,0,IF(BF230+1&gt;=IF(OR('5-man'!$F$7=TRUE,'5-man'!$F$7="TRUE",'5-man'!$F$7="Yes"),25,50),0,BF230+1)))</f>
        <v/>
      </c>
      <c r="BH230">
        <f>IF('5-man'!BH$28="R",0,IF(BG229&gt;=100,0,IF(BG230+1&gt;=IF(OR('5-man'!$F$7=TRUE,'5-man'!$F$7="TRUE",'5-man'!$F$7="Yes"),25,50),0,BG230+1)))</f>
        <v/>
      </c>
      <c r="BI230">
        <f>IF('5-man'!BI$28="R",0,IF(BH229&gt;=100,0,IF(BH230+1&gt;=IF(OR('5-man'!$F$7=TRUE,'5-man'!$F$7="TRUE",'5-man'!$F$7="Yes"),25,50),0,BH230+1)))</f>
        <v/>
      </c>
      <c r="BJ230">
        <f>IF('5-man'!BJ$28="R",0,IF(BI229&gt;=100,0,IF(BI230+1&gt;=IF(OR('5-man'!$F$7=TRUE,'5-man'!$F$7="TRUE",'5-man'!$F$7="Yes"),25,50),0,BI230+1)))</f>
        <v/>
      </c>
      <c r="BK230">
        <f>IF('5-man'!BK$28="R",0,IF(BJ229&gt;=100,0,IF(BJ230+1&gt;=IF(OR('5-man'!$F$7=TRUE,'5-man'!$F$7="TRUE",'5-man'!$F$7="Yes"),25,50),0,BJ230+1)))</f>
        <v/>
      </c>
      <c r="BL230">
        <f>IF('5-man'!BL$28="R",0,IF(BK229&gt;=100,0,IF(BK230+1&gt;=IF(OR('5-man'!$F$7=TRUE,'5-man'!$F$7="TRUE",'5-man'!$F$7="Yes"),25,50),0,BK230+1)))</f>
        <v/>
      </c>
      <c r="BM230">
        <f>IF('5-man'!BM$28="R",0,IF(BL229&gt;=100,0,IF(BL230+1&gt;=IF(OR('5-man'!$F$7=TRUE,'5-man'!$F$7="TRUE",'5-man'!$F$7="Yes"),25,50),0,BL230+1)))</f>
        <v/>
      </c>
      <c r="BN230">
        <f>IF('5-man'!BN$28="R",0,IF(BM229&gt;=100,0,IF(BM230+1&gt;=IF(OR('5-man'!$F$7=TRUE,'5-man'!$F$7="TRUE",'5-man'!$F$7="Yes"),25,50),0,BM230+1)))</f>
        <v/>
      </c>
      <c r="BO230">
        <f>IF('5-man'!BO$28="R",0,IF(BN229&gt;=100,0,IF(BN230+1&gt;=IF(OR('5-man'!$F$7=TRUE,'5-man'!$F$7="TRUE",'5-man'!$F$7="Yes"),25,50),0,BN230+1)))</f>
        <v/>
      </c>
      <c r="BP230">
        <f>IF('5-man'!BP$28="R",0,IF(BO229&gt;=100,0,IF(BO230+1&gt;=IF(OR('5-man'!$F$7=TRUE,'5-man'!$F$7="TRUE",'5-man'!$F$7="Yes"),25,50),0,BO230+1)))</f>
        <v/>
      </c>
      <c r="BQ230">
        <f>IF('5-man'!BQ$28="R",0,IF(BP229&gt;=100,0,IF(BP230+1&gt;=IF(OR('5-man'!$F$7=TRUE,'5-man'!$F$7="TRUE",'5-man'!$F$7="Yes"),25,50),0,BP230+1)))</f>
        <v/>
      </c>
      <c r="BR230">
        <f>IF('5-man'!BR$28="R",0,IF(BQ229&gt;=100,0,IF(BQ230+1&gt;=IF(OR('5-man'!$F$7=TRUE,'5-man'!$F$7="TRUE",'5-man'!$F$7="Yes"),25,50),0,BQ230+1)))</f>
        <v/>
      </c>
      <c r="BS230">
        <f>IF('5-man'!BS$28="R",0,IF(BR229&gt;=100,0,IF(BR230+1&gt;=IF(OR('5-man'!$F$7=TRUE,'5-man'!$F$7="TRUE",'5-man'!$F$7="Yes"),25,50),0,BR230+1)))</f>
        <v/>
      </c>
      <c r="BT230">
        <f>IF('5-man'!BT$28="R",0,IF(BS229&gt;=100,0,IF(BS230+1&gt;=IF(OR('5-man'!$F$7=TRUE,'5-man'!$F$7="TRUE",'5-man'!$F$7="Yes"),25,50),0,BS230+1)))</f>
        <v/>
      </c>
      <c r="BU230">
        <f>IF('5-man'!BU$28="R",0,IF(BT229&gt;=100,0,IF(BT230+1&gt;=IF(OR('5-man'!$F$7=TRUE,'5-man'!$F$7="TRUE",'5-man'!$F$7="Yes"),25,50),0,BT230+1)))</f>
        <v/>
      </c>
      <c r="BV230">
        <f>IF('5-man'!BV$28="R",0,IF(BU229&gt;=100,0,IF(BU230+1&gt;=IF(OR('5-man'!$F$7=TRUE,'5-man'!$F$7="TRUE",'5-man'!$F$7="Yes"),25,50),0,BU230+1)))</f>
        <v/>
      </c>
      <c r="BW230">
        <f>IF('5-man'!BW$28="R",0,IF(BV229&gt;=100,0,IF(BV230+1&gt;=IF(OR('5-man'!$F$7=TRUE,'5-man'!$F$7="TRUE",'5-man'!$F$7="Yes"),25,50),0,BV230+1)))</f>
        <v/>
      </c>
      <c r="BX230">
        <f>IF('5-man'!BX$28="R",0,IF(BW229&gt;=100,0,IF(BW230+1&gt;=IF(OR('5-man'!$F$7=TRUE,'5-man'!$F$7="TRUE",'5-man'!$F$7="Yes"),25,50),0,BW230+1)))</f>
        <v/>
      </c>
      <c r="BY230">
        <f>IF('5-man'!BY$28="R",0,IF(BX229&gt;=100,0,IF(BX230+1&gt;=IF(OR('5-man'!$F$7=TRUE,'5-man'!$F$7="TRUE",'5-man'!$F$7="Yes"),25,50),0,BX230+1)))</f>
        <v/>
      </c>
      <c r="BZ230">
        <f>IF('5-man'!BZ$28="R",0,IF(BY229&gt;=100,0,IF(BY230+1&gt;=IF(OR('5-man'!$F$7=TRUE,'5-man'!$F$7="TRUE",'5-man'!$F$7="Yes"),25,50),0,BY230+1)))</f>
        <v/>
      </c>
      <c r="CA230">
        <f>IF('5-man'!CA$28="R",0,IF(BZ229&gt;=100,0,IF(BZ230+1&gt;=IF(OR('5-man'!$F$7=TRUE,'5-man'!$F$7="TRUE",'5-man'!$F$7="Yes"),25,50),0,BZ230+1)))</f>
        <v/>
      </c>
      <c r="CB230">
        <f>IF('5-man'!CB$28="R",0,IF(CA229&gt;=100,0,IF(CA230+1&gt;=IF(OR('5-man'!$F$7=TRUE,'5-man'!$F$7="TRUE",'5-man'!$F$7="Yes"),25,50),0,CA230+1)))</f>
        <v/>
      </c>
      <c r="CC230">
        <f>IF('5-man'!CC$28="R",0,IF(CB229&gt;=100,0,IF(CB230+1&gt;=IF(OR('5-man'!$F$7=TRUE,'5-man'!$F$7="TRUE",'5-man'!$F$7="Yes"),25,50),0,CB230+1)))</f>
        <v/>
      </c>
      <c r="CD230">
        <f>IF('5-man'!CD$28="R",0,IF(CC229&gt;=100,0,IF(CC230+1&gt;=IF(OR('5-man'!$F$7=TRUE,'5-man'!$F$7="TRUE",'5-man'!$F$7="Yes"),25,50),0,CC230+1)))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row>
    <row r="235">
      <c r="A235" t="inlineStr">
        <is>
          <t>P4 act</t>
        </is>
      </c>
      <c r="C235">
        <f>IF(OR('5-man'!C$28="P",'5-man'!C$28="R",AND('5-man'!C$24&lt;=IF('5-man'!$BF$4="",999,'5-man'!$BF$4),OR('5-man'!C$28="D",LEFT('5-man'!C$28,3)="ST&gt;",OR(AND('5-man'!C$25="ST&gt;4",C204&gt;=100),AND('5-man'!C$26="ST&gt;4",C212&gt;=100),AND('5-man'!C$27="ST&gt;4",C220&gt;=100),AND('5-man'!C$29="ST&gt;4",C236&gt;=100))))),'5-man'!C$24,0)</f>
        <v/>
      </c>
      <c r="D235">
        <f>IF(OR('5-man'!D$28="P",'5-man'!D$28="R",AND('5-man'!D$24&lt;=IF('5-man'!$BF$4="",999,'5-man'!$BF$4),OR('5-man'!D$28="D",LEFT('5-man'!D$28,3)="ST&gt;",OR(AND('5-man'!D$25="ST&gt;4",D204&gt;=100),AND('5-man'!D$26="ST&gt;4",D212&gt;=100),AND('5-man'!D$27="ST&gt;4",D220&gt;=100),AND('5-man'!D$29="ST&gt;4",D236&gt;=100))))),'5-man'!D$24,0)</f>
        <v/>
      </c>
      <c r="E235">
        <f>IF(OR('5-man'!E$28="P",'5-man'!E$28="R",AND('5-man'!E$24&lt;=IF('5-man'!$BF$4="",999,'5-man'!$BF$4),OR('5-man'!E$28="D",LEFT('5-man'!E$28,3)="ST&gt;",OR(AND('5-man'!E$25="ST&gt;4",E204&gt;=100),AND('5-man'!E$26="ST&gt;4",E212&gt;=100),AND('5-man'!E$27="ST&gt;4",E220&gt;=100),AND('5-man'!E$29="ST&gt;4",E236&gt;=100))))),'5-man'!E$24,0)</f>
        <v/>
      </c>
      <c r="F235">
        <f>IF(OR('5-man'!F$28="P",'5-man'!F$28="R",AND('5-man'!F$24&lt;=IF('5-man'!$BF$4="",999,'5-man'!$BF$4),OR('5-man'!F$28="D",LEFT('5-man'!F$28,3)="ST&gt;",OR(AND('5-man'!F$25="ST&gt;4",F204&gt;=100),AND('5-man'!F$26="ST&gt;4",F212&gt;=100),AND('5-man'!F$27="ST&gt;4",F220&gt;=100),AND('5-man'!F$29="ST&gt;4",F236&gt;=100))))),'5-man'!F$24,0)</f>
        <v/>
      </c>
      <c r="G235">
        <f>IF(OR('5-man'!G$28="P",'5-man'!G$28="R",AND('5-man'!G$24&lt;=IF('5-man'!$BF$4="",999,'5-man'!$BF$4),OR('5-man'!G$28="D",LEFT('5-man'!G$28,3)="ST&gt;",OR(AND('5-man'!G$25="ST&gt;4",G204&gt;=100),AND('5-man'!G$26="ST&gt;4",G212&gt;=100),AND('5-man'!G$27="ST&gt;4",G220&gt;=100),AND('5-man'!G$29="ST&gt;4",G236&gt;=100))))),'5-man'!G$24,0)</f>
        <v/>
      </c>
      <c r="H235">
        <f>IF(OR('5-man'!H$28="P",'5-man'!H$28="R",AND('5-man'!H$24&lt;=IF('5-man'!$BF$4="",999,'5-man'!$BF$4),OR('5-man'!H$28="D",LEFT('5-man'!H$28,3)="ST&gt;",OR(AND('5-man'!H$25="ST&gt;4",H204&gt;=100),AND('5-man'!H$26="ST&gt;4",H212&gt;=100),AND('5-man'!H$27="ST&gt;4",H220&gt;=100),AND('5-man'!H$29="ST&gt;4",H236&gt;=100))))),'5-man'!H$24,0)</f>
        <v/>
      </c>
      <c r="I235">
        <f>IF(OR('5-man'!I$28="P",'5-man'!I$28="R",AND('5-man'!I$24&lt;=IF('5-man'!$BF$4="",999,'5-man'!$BF$4),OR('5-man'!I$28="D",LEFT('5-man'!I$28,3)="ST&gt;",OR(AND('5-man'!I$25="ST&gt;4",I204&gt;=100),AND('5-man'!I$26="ST&gt;4",I212&gt;=100),AND('5-man'!I$27="ST&gt;4",I220&gt;=100),AND('5-man'!I$29="ST&gt;4",I236&gt;=100))))),'5-man'!I$24,0)</f>
        <v/>
      </c>
      <c r="J235">
        <f>IF(OR('5-man'!J$28="P",'5-man'!J$28="R",AND('5-man'!J$24&lt;=IF('5-man'!$BF$4="",999,'5-man'!$BF$4),OR('5-man'!J$28="D",LEFT('5-man'!J$28,3)="ST&gt;",OR(AND('5-man'!J$25="ST&gt;4",J204&gt;=100),AND('5-man'!J$26="ST&gt;4",J212&gt;=100),AND('5-man'!J$27="ST&gt;4",J220&gt;=100),AND('5-man'!J$29="ST&gt;4",J236&gt;=100))))),'5-man'!J$24,0)</f>
        <v/>
      </c>
      <c r="K235">
        <f>IF(OR('5-man'!K$28="P",'5-man'!K$28="R",AND('5-man'!K$24&lt;=IF('5-man'!$BF$4="",999,'5-man'!$BF$4),OR('5-man'!K$28="D",LEFT('5-man'!K$28,3)="ST&gt;",OR(AND('5-man'!K$25="ST&gt;4",K204&gt;=100),AND('5-man'!K$26="ST&gt;4",K212&gt;=100),AND('5-man'!K$27="ST&gt;4",K220&gt;=100),AND('5-man'!K$29="ST&gt;4",K236&gt;=100))))),'5-man'!K$24,0)</f>
        <v/>
      </c>
      <c r="L235">
        <f>IF(OR('5-man'!L$28="P",'5-man'!L$28="R",AND('5-man'!L$24&lt;=IF('5-man'!$BF$4="",999,'5-man'!$BF$4),OR('5-man'!L$28="D",LEFT('5-man'!L$28,3)="ST&gt;",OR(AND('5-man'!L$25="ST&gt;4",L204&gt;=100),AND('5-man'!L$26="ST&gt;4",L212&gt;=100),AND('5-man'!L$27="ST&gt;4",L220&gt;=100),AND('5-man'!L$29="ST&gt;4",L236&gt;=100))))),'5-man'!L$24,0)</f>
        <v/>
      </c>
      <c r="M235">
        <f>IF(OR('5-man'!M$28="P",'5-man'!M$28="R",AND('5-man'!M$24&lt;=IF('5-man'!$BF$4="",999,'5-man'!$BF$4),OR('5-man'!M$28="D",LEFT('5-man'!M$28,3)="ST&gt;",OR(AND('5-man'!M$25="ST&gt;4",M204&gt;=100),AND('5-man'!M$26="ST&gt;4",M212&gt;=100),AND('5-man'!M$27="ST&gt;4",M220&gt;=100),AND('5-man'!M$29="ST&gt;4",M236&gt;=100))))),'5-man'!M$24,0)</f>
        <v/>
      </c>
      <c r="N235">
        <f>IF(OR('5-man'!N$28="P",'5-man'!N$28="R",AND('5-man'!N$24&lt;=IF('5-man'!$BF$4="",999,'5-man'!$BF$4),OR('5-man'!N$28="D",LEFT('5-man'!N$28,3)="ST&gt;",OR(AND('5-man'!N$25="ST&gt;4",N204&gt;=100),AND('5-man'!N$26="ST&gt;4",N212&gt;=100),AND('5-man'!N$27="ST&gt;4",N220&gt;=100),AND('5-man'!N$29="ST&gt;4",N236&gt;=100))))),'5-man'!N$24,0)</f>
        <v/>
      </c>
      <c r="O235">
        <f>IF(OR('5-man'!O$28="P",'5-man'!O$28="R",AND('5-man'!O$24&lt;=IF('5-man'!$BF$4="",999,'5-man'!$BF$4),OR('5-man'!O$28="D",LEFT('5-man'!O$28,3)="ST&gt;",OR(AND('5-man'!O$25="ST&gt;4",O204&gt;=100),AND('5-man'!O$26="ST&gt;4",O212&gt;=100),AND('5-man'!O$27="ST&gt;4",O220&gt;=100),AND('5-man'!O$29="ST&gt;4",O236&gt;=100))))),'5-man'!O$24,0)</f>
        <v/>
      </c>
      <c r="P235">
        <f>IF(OR('5-man'!P$28="P",'5-man'!P$28="R",AND('5-man'!P$24&lt;=IF('5-man'!$BF$4="",999,'5-man'!$BF$4),OR('5-man'!P$28="D",LEFT('5-man'!P$28,3)="ST&gt;",OR(AND('5-man'!P$25="ST&gt;4",P204&gt;=100),AND('5-man'!P$26="ST&gt;4",P212&gt;=100),AND('5-man'!P$27="ST&gt;4",P220&gt;=100),AND('5-man'!P$29="ST&gt;4",P236&gt;=100))))),'5-man'!P$24,0)</f>
        <v/>
      </c>
      <c r="Q235">
        <f>IF(OR('5-man'!Q$28="P",'5-man'!Q$28="R",AND('5-man'!Q$24&lt;=IF('5-man'!$BF$4="",999,'5-man'!$BF$4),OR('5-man'!Q$28="D",LEFT('5-man'!Q$28,3)="ST&gt;",OR(AND('5-man'!Q$25="ST&gt;4",Q204&gt;=100),AND('5-man'!Q$26="ST&gt;4",Q212&gt;=100),AND('5-man'!Q$27="ST&gt;4",Q220&gt;=100),AND('5-man'!Q$29="ST&gt;4",Q236&gt;=100))))),'5-man'!Q$24,0)</f>
        <v/>
      </c>
      <c r="R235">
        <f>IF(OR('5-man'!R$28="P",'5-man'!R$28="R",AND('5-man'!R$24&lt;=IF('5-man'!$BF$4="",999,'5-man'!$BF$4),OR('5-man'!R$28="D",LEFT('5-man'!R$28,3)="ST&gt;",OR(AND('5-man'!R$25="ST&gt;4",R204&gt;=100),AND('5-man'!R$26="ST&gt;4",R212&gt;=100),AND('5-man'!R$27="ST&gt;4",R220&gt;=100),AND('5-man'!R$29="ST&gt;4",R236&gt;=100))))),'5-man'!R$24,0)</f>
        <v/>
      </c>
      <c r="S235">
        <f>IF(OR('5-man'!S$28="P",'5-man'!S$28="R",AND('5-man'!S$24&lt;=IF('5-man'!$BF$4="",999,'5-man'!$BF$4),OR('5-man'!S$28="D",LEFT('5-man'!S$28,3)="ST&gt;",OR(AND('5-man'!S$25="ST&gt;4",S204&gt;=100),AND('5-man'!S$26="ST&gt;4",S212&gt;=100),AND('5-man'!S$27="ST&gt;4",S220&gt;=100),AND('5-man'!S$29="ST&gt;4",S236&gt;=100))))),'5-man'!S$24,0)</f>
        <v/>
      </c>
      <c r="T235">
        <f>IF(OR('5-man'!T$28="P",'5-man'!T$28="R",AND('5-man'!T$24&lt;=IF('5-man'!$BF$4="",999,'5-man'!$BF$4),OR('5-man'!T$28="D",LEFT('5-man'!T$28,3)="ST&gt;",OR(AND('5-man'!T$25="ST&gt;4",T204&gt;=100),AND('5-man'!T$26="ST&gt;4",T212&gt;=100),AND('5-man'!T$27="ST&gt;4",T220&gt;=100),AND('5-man'!T$29="ST&gt;4",T236&gt;=100))))),'5-man'!T$24,0)</f>
        <v/>
      </c>
      <c r="U235">
        <f>IF(OR('5-man'!U$28="P",'5-man'!U$28="R",AND('5-man'!U$24&lt;=IF('5-man'!$BF$4="",999,'5-man'!$BF$4),OR('5-man'!U$28="D",LEFT('5-man'!U$28,3)="ST&gt;",OR(AND('5-man'!U$25="ST&gt;4",U204&gt;=100),AND('5-man'!U$26="ST&gt;4",U212&gt;=100),AND('5-man'!U$27="ST&gt;4",U220&gt;=100),AND('5-man'!U$29="ST&gt;4",U236&gt;=100))))),'5-man'!U$24,0)</f>
        <v/>
      </c>
      <c r="V235">
        <f>IF(OR('5-man'!V$28="P",'5-man'!V$28="R",AND('5-man'!V$24&lt;=IF('5-man'!$BF$4="",999,'5-man'!$BF$4),OR('5-man'!V$28="D",LEFT('5-man'!V$28,3)="ST&gt;",OR(AND('5-man'!V$25="ST&gt;4",V204&gt;=100),AND('5-man'!V$26="ST&gt;4",V212&gt;=100),AND('5-man'!V$27="ST&gt;4",V220&gt;=100),AND('5-man'!V$29="ST&gt;4",V236&gt;=100))))),'5-man'!V$24,0)</f>
        <v/>
      </c>
      <c r="W235">
        <f>IF(OR('5-man'!W$28="P",'5-man'!W$28="R",AND('5-man'!W$24&lt;=IF('5-man'!$BF$4="",999,'5-man'!$BF$4),OR('5-man'!W$28="D",LEFT('5-man'!W$28,3)="ST&gt;",OR(AND('5-man'!W$25="ST&gt;4",W204&gt;=100),AND('5-man'!W$26="ST&gt;4",W212&gt;=100),AND('5-man'!W$27="ST&gt;4",W220&gt;=100),AND('5-man'!W$29="ST&gt;4",W236&gt;=100))))),'5-man'!W$24,0)</f>
        <v/>
      </c>
      <c r="X235">
        <f>IF(OR('5-man'!X$28="P",'5-man'!X$28="R",AND('5-man'!X$24&lt;=IF('5-man'!$BF$4="",999,'5-man'!$BF$4),OR('5-man'!X$28="D",LEFT('5-man'!X$28,3)="ST&gt;",OR(AND('5-man'!X$25="ST&gt;4",X204&gt;=100),AND('5-man'!X$26="ST&gt;4",X212&gt;=100),AND('5-man'!X$27="ST&gt;4",X220&gt;=100),AND('5-man'!X$29="ST&gt;4",X236&gt;=100))))),'5-man'!X$24,0)</f>
        <v/>
      </c>
      <c r="Y235">
        <f>IF(OR('5-man'!Y$28="P",'5-man'!Y$28="R",AND('5-man'!Y$24&lt;=IF('5-man'!$BF$4="",999,'5-man'!$BF$4),OR('5-man'!Y$28="D",LEFT('5-man'!Y$28,3)="ST&gt;",OR(AND('5-man'!Y$25="ST&gt;4",Y204&gt;=100),AND('5-man'!Y$26="ST&gt;4",Y212&gt;=100),AND('5-man'!Y$27="ST&gt;4",Y220&gt;=100),AND('5-man'!Y$29="ST&gt;4",Y236&gt;=100))))),'5-man'!Y$24,0)</f>
        <v/>
      </c>
      <c r="Z235">
        <f>IF(OR('5-man'!Z$28="P",'5-man'!Z$28="R",AND('5-man'!Z$24&lt;=IF('5-man'!$BF$4="",999,'5-man'!$BF$4),OR('5-man'!Z$28="D",LEFT('5-man'!Z$28,3)="ST&gt;",OR(AND('5-man'!Z$25="ST&gt;4",Z204&gt;=100),AND('5-man'!Z$26="ST&gt;4",Z212&gt;=100),AND('5-man'!Z$27="ST&gt;4",Z220&gt;=100),AND('5-man'!Z$29="ST&gt;4",Z236&gt;=100))))),'5-man'!Z$24,0)</f>
        <v/>
      </c>
      <c r="AA235">
        <f>IF(OR('5-man'!AA$28="P",'5-man'!AA$28="R",AND('5-man'!AA$24&lt;=IF('5-man'!$BF$4="",999,'5-man'!$BF$4),OR('5-man'!AA$28="D",LEFT('5-man'!AA$28,3)="ST&gt;",OR(AND('5-man'!AA$25="ST&gt;4",AA204&gt;=100),AND('5-man'!AA$26="ST&gt;4",AA212&gt;=100),AND('5-man'!AA$27="ST&gt;4",AA220&gt;=100),AND('5-man'!AA$29="ST&gt;4",AA236&gt;=100))))),'5-man'!AA$24,0)</f>
        <v/>
      </c>
      <c r="AB235">
        <f>IF(OR('5-man'!AB$28="P",'5-man'!AB$28="R",AND('5-man'!AB$24&lt;=IF('5-man'!$BF$4="",999,'5-man'!$BF$4),OR('5-man'!AB$28="D",LEFT('5-man'!AB$28,3)="ST&gt;",OR(AND('5-man'!AB$25="ST&gt;4",AB204&gt;=100),AND('5-man'!AB$26="ST&gt;4",AB212&gt;=100),AND('5-man'!AB$27="ST&gt;4",AB220&gt;=100),AND('5-man'!AB$29="ST&gt;4",AB236&gt;=100))))),'5-man'!AB$24,0)</f>
        <v/>
      </c>
      <c r="AC235">
        <f>IF(OR('5-man'!AC$28="P",'5-man'!AC$28="R",AND('5-man'!AC$24&lt;=IF('5-man'!$BF$4="",999,'5-man'!$BF$4),OR('5-man'!AC$28="D",LEFT('5-man'!AC$28,3)="ST&gt;",OR(AND('5-man'!AC$25="ST&gt;4",AC204&gt;=100),AND('5-man'!AC$26="ST&gt;4",AC212&gt;=100),AND('5-man'!AC$27="ST&gt;4",AC220&gt;=100),AND('5-man'!AC$29="ST&gt;4",AC236&gt;=100))))),'5-man'!AC$24,0)</f>
        <v/>
      </c>
      <c r="AD235">
        <f>IF(OR('5-man'!AD$28="P",'5-man'!AD$28="R",AND('5-man'!AD$24&lt;=IF('5-man'!$BF$4="",999,'5-man'!$BF$4),OR('5-man'!AD$28="D",LEFT('5-man'!AD$28,3)="ST&gt;",OR(AND('5-man'!AD$25="ST&gt;4",AD204&gt;=100),AND('5-man'!AD$26="ST&gt;4",AD212&gt;=100),AND('5-man'!AD$27="ST&gt;4",AD220&gt;=100),AND('5-man'!AD$29="ST&gt;4",AD236&gt;=100))))),'5-man'!AD$24,0)</f>
        <v/>
      </c>
      <c r="AE235">
        <f>IF(OR('5-man'!AE$28="P",'5-man'!AE$28="R",AND('5-man'!AE$24&lt;=IF('5-man'!$BF$4="",999,'5-man'!$BF$4),OR('5-man'!AE$28="D",LEFT('5-man'!AE$28,3)="ST&gt;",OR(AND('5-man'!AE$25="ST&gt;4",AE204&gt;=100),AND('5-man'!AE$26="ST&gt;4",AE212&gt;=100),AND('5-man'!AE$27="ST&gt;4",AE220&gt;=100),AND('5-man'!AE$29="ST&gt;4",AE236&gt;=100))))),'5-man'!AE$24,0)</f>
        <v/>
      </c>
      <c r="AF235">
        <f>IF(OR('5-man'!AF$28="P",'5-man'!AF$28="R",AND('5-man'!AF$24&lt;=IF('5-man'!$BF$4="",999,'5-man'!$BF$4),OR('5-man'!AF$28="D",LEFT('5-man'!AF$28,3)="ST&gt;",OR(AND('5-man'!AF$25="ST&gt;4",AF204&gt;=100),AND('5-man'!AF$26="ST&gt;4",AF212&gt;=100),AND('5-man'!AF$27="ST&gt;4",AF220&gt;=100),AND('5-man'!AF$29="ST&gt;4",AF236&gt;=100))))),'5-man'!AF$24,0)</f>
        <v/>
      </c>
      <c r="AG235">
        <f>IF(OR('5-man'!AG$28="P",'5-man'!AG$28="R",AND('5-man'!AG$24&lt;=IF('5-man'!$BF$4="",999,'5-man'!$BF$4),OR('5-man'!AG$28="D",LEFT('5-man'!AG$28,3)="ST&gt;",OR(AND('5-man'!AG$25="ST&gt;4",AG204&gt;=100),AND('5-man'!AG$26="ST&gt;4",AG212&gt;=100),AND('5-man'!AG$27="ST&gt;4",AG220&gt;=100),AND('5-man'!AG$29="ST&gt;4",AG236&gt;=100))))),'5-man'!AG$24,0)</f>
        <v/>
      </c>
      <c r="AH235">
        <f>IF(OR('5-man'!AH$28="P",'5-man'!AH$28="R",AND('5-man'!AH$24&lt;=IF('5-man'!$BF$4="",999,'5-man'!$BF$4),OR('5-man'!AH$28="D",LEFT('5-man'!AH$28,3)="ST&gt;",OR(AND('5-man'!AH$25="ST&gt;4",AH204&gt;=100),AND('5-man'!AH$26="ST&gt;4",AH212&gt;=100),AND('5-man'!AH$27="ST&gt;4",AH220&gt;=100),AND('5-man'!AH$29="ST&gt;4",AH236&gt;=100))))),'5-man'!AH$24,0)</f>
        <v/>
      </c>
      <c r="AI235">
        <f>IF(OR('5-man'!AI$28="P",'5-man'!AI$28="R",AND('5-man'!AI$24&lt;=IF('5-man'!$BF$4="",999,'5-man'!$BF$4),OR('5-man'!AI$28="D",LEFT('5-man'!AI$28,3)="ST&gt;",OR(AND('5-man'!AI$25="ST&gt;4",AI204&gt;=100),AND('5-man'!AI$26="ST&gt;4",AI212&gt;=100),AND('5-man'!AI$27="ST&gt;4",AI220&gt;=100),AND('5-man'!AI$29="ST&gt;4",AI236&gt;=100))))),'5-man'!AI$24,0)</f>
        <v/>
      </c>
      <c r="AJ235">
        <f>IF(OR('5-man'!AJ$28="P",'5-man'!AJ$28="R",AND('5-man'!AJ$24&lt;=IF('5-man'!$BF$4="",999,'5-man'!$BF$4),OR('5-man'!AJ$28="D",LEFT('5-man'!AJ$28,3)="ST&gt;",OR(AND('5-man'!AJ$25="ST&gt;4",AJ204&gt;=100),AND('5-man'!AJ$26="ST&gt;4",AJ212&gt;=100),AND('5-man'!AJ$27="ST&gt;4",AJ220&gt;=100),AND('5-man'!AJ$29="ST&gt;4",AJ236&gt;=100))))),'5-man'!AJ$24,0)</f>
        <v/>
      </c>
      <c r="AK235">
        <f>IF(OR('5-man'!AK$28="P",'5-man'!AK$28="R",AND('5-man'!AK$24&lt;=IF('5-man'!$BF$4="",999,'5-man'!$BF$4),OR('5-man'!AK$28="D",LEFT('5-man'!AK$28,3)="ST&gt;",OR(AND('5-man'!AK$25="ST&gt;4",AK204&gt;=100),AND('5-man'!AK$26="ST&gt;4",AK212&gt;=100),AND('5-man'!AK$27="ST&gt;4",AK220&gt;=100),AND('5-man'!AK$29="ST&gt;4",AK236&gt;=100))))),'5-man'!AK$24,0)</f>
        <v/>
      </c>
      <c r="AL235">
        <f>IF(OR('5-man'!AL$28="P",'5-man'!AL$28="R",AND('5-man'!AL$24&lt;=IF('5-man'!$BF$4="",999,'5-man'!$BF$4),OR('5-man'!AL$28="D",LEFT('5-man'!AL$28,3)="ST&gt;",OR(AND('5-man'!AL$25="ST&gt;4",AL204&gt;=100),AND('5-man'!AL$26="ST&gt;4",AL212&gt;=100),AND('5-man'!AL$27="ST&gt;4",AL220&gt;=100),AND('5-man'!AL$29="ST&gt;4",AL236&gt;=100))))),'5-man'!AL$24,0)</f>
        <v/>
      </c>
      <c r="AM235">
        <f>IF(OR('5-man'!AM$28="P",'5-man'!AM$28="R",AND('5-man'!AM$24&lt;=IF('5-man'!$BF$4="",999,'5-man'!$BF$4),OR('5-man'!AM$28="D",LEFT('5-man'!AM$28,3)="ST&gt;",OR(AND('5-man'!AM$25="ST&gt;4",AM204&gt;=100),AND('5-man'!AM$26="ST&gt;4",AM212&gt;=100),AND('5-man'!AM$27="ST&gt;4",AM220&gt;=100),AND('5-man'!AM$29="ST&gt;4",AM236&gt;=100))))),'5-man'!AM$24,0)</f>
        <v/>
      </c>
      <c r="AN235">
        <f>IF(OR('5-man'!AN$28="P",'5-man'!AN$28="R",AND('5-man'!AN$24&lt;=IF('5-man'!$BF$4="",999,'5-man'!$BF$4),OR('5-man'!AN$28="D",LEFT('5-man'!AN$28,3)="ST&gt;",OR(AND('5-man'!AN$25="ST&gt;4",AN204&gt;=100),AND('5-man'!AN$26="ST&gt;4",AN212&gt;=100),AND('5-man'!AN$27="ST&gt;4",AN220&gt;=100),AND('5-man'!AN$29="ST&gt;4",AN236&gt;=100))))),'5-man'!AN$24,0)</f>
        <v/>
      </c>
      <c r="AO235">
        <f>IF(OR('5-man'!AO$28="P",'5-man'!AO$28="R",AND('5-man'!AO$24&lt;=IF('5-man'!$BF$4="",999,'5-man'!$BF$4),OR('5-man'!AO$28="D",LEFT('5-man'!AO$28,3)="ST&gt;",OR(AND('5-man'!AO$25="ST&gt;4",AO204&gt;=100),AND('5-man'!AO$26="ST&gt;4",AO212&gt;=100),AND('5-man'!AO$27="ST&gt;4",AO220&gt;=100),AND('5-man'!AO$29="ST&gt;4",AO236&gt;=100))))),'5-man'!AO$24,0)</f>
        <v/>
      </c>
      <c r="AP235">
        <f>IF(OR('5-man'!AP$28="P",'5-man'!AP$28="R",AND('5-man'!AP$24&lt;=IF('5-man'!$BF$4="",999,'5-man'!$BF$4),OR('5-man'!AP$28="D",LEFT('5-man'!AP$28,3)="ST&gt;",OR(AND('5-man'!AP$25="ST&gt;4",AP204&gt;=100),AND('5-man'!AP$26="ST&gt;4",AP212&gt;=100),AND('5-man'!AP$27="ST&gt;4",AP220&gt;=100),AND('5-man'!AP$29="ST&gt;4",AP236&gt;=100))))),'5-man'!AP$24,0)</f>
        <v/>
      </c>
      <c r="AQ235">
        <f>IF(OR('5-man'!AQ$28="P",'5-man'!AQ$28="R",AND('5-man'!AQ$24&lt;=IF('5-man'!$BF$4="",999,'5-man'!$BF$4),OR('5-man'!AQ$28="D",LEFT('5-man'!AQ$28,3)="ST&gt;",OR(AND('5-man'!AQ$25="ST&gt;4",AQ204&gt;=100),AND('5-man'!AQ$26="ST&gt;4",AQ212&gt;=100),AND('5-man'!AQ$27="ST&gt;4",AQ220&gt;=100),AND('5-man'!AQ$29="ST&gt;4",AQ236&gt;=100))))),'5-man'!AQ$24,0)</f>
        <v/>
      </c>
      <c r="AR235">
        <f>IF(OR('5-man'!AR$28="P",'5-man'!AR$28="R",AND('5-man'!AR$24&lt;=IF('5-man'!$BF$4="",999,'5-man'!$BF$4),OR('5-man'!AR$28="D",LEFT('5-man'!AR$28,3)="ST&gt;",OR(AND('5-man'!AR$25="ST&gt;4",AR204&gt;=100),AND('5-man'!AR$26="ST&gt;4",AR212&gt;=100),AND('5-man'!AR$27="ST&gt;4",AR220&gt;=100),AND('5-man'!AR$29="ST&gt;4",AR236&gt;=100))))),'5-man'!AR$24,0)</f>
        <v/>
      </c>
      <c r="AS235">
        <f>IF(OR('5-man'!AS$28="P",'5-man'!AS$28="R",AND('5-man'!AS$24&lt;=IF('5-man'!$BF$4="",999,'5-man'!$BF$4),OR('5-man'!AS$28="D",LEFT('5-man'!AS$28,3)="ST&gt;",OR(AND('5-man'!AS$25="ST&gt;4",AS204&gt;=100),AND('5-man'!AS$26="ST&gt;4",AS212&gt;=100),AND('5-man'!AS$27="ST&gt;4",AS220&gt;=100),AND('5-man'!AS$29="ST&gt;4",AS236&gt;=100))))),'5-man'!AS$24,0)</f>
        <v/>
      </c>
      <c r="AT235">
        <f>IF(OR('5-man'!AT$28="P",'5-man'!AT$28="R",AND('5-man'!AT$24&lt;=IF('5-man'!$BF$4="",999,'5-man'!$BF$4),OR('5-man'!AT$28="D",LEFT('5-man'!AT$28,3)="ST&gt;",OR(AND('5-man'!AT$25="ST&gt;4",AT204&gt;=100),AND('5-man'!AT$26="ST&gt;4",AT212&gt;=100),AND('5-man'!AT$27="ST&gt;4",AT220&gt;=100),AND('5-man'!AT$29="ST&gt;4",AT236&gt;=100))))),'5-man'!AT$24,0)</f>
        <v/>
      </c>
      <c r="AU235">
        <f>IF(OR('5-man'!AU$28="P",'5-man'!AU$28="R",AND('5-man'!AU$24&lt;=IF('5-man'!$BF$4="",999,'5-man'!$BF$4),OR('5-man'!AU$28="D",LEFT('5-man'!AU$28,3)="ST&gt;",OR(AND('5-man'!AU$25="ST&gt;4",AU204&gt;=100),AND('5-man'!AU$26="ST&gt;4",AU212&gt;=100),AND('5-man'!AU$27="ST&gt;4",AU220&gt;=100),AND('5-man'!AU$29="ST&gt;4",AU236&gt;=100))))),'5-man'!AU$24,0)</f>
        <v/>
      </c>
      <c r="AV235">
        <f>IF(OR('5-man'!AV$28="P",'5-man'!AV$28="R",AND('5-man'!AV$24&lt;=IF('5-man'!$BF$4="",999,'5-man'!$BF$4),OR('5-man'!AV$28="D",LEFT('5-man'!AV$28,3)="ST&gt;",OR(AND('5-man'!AV$25="ST&gt;4",AV204&gt;=100),AND('5-man'!AV$26="ST&gt;4",AV212&gt;=100),AND('5-man'!AV$27="ST&gt;4",AV220&gt;=100),AND('5-man'!AV$29="ST&gt;4",AV236&gt;=100))))),'5-man'!AV$24,0)</f>
        <v/>
      </c>
      <c r="AW235">
        <f>IF(OR('5-man'!AW$28="P",'5-man'!AW$28="R",AND('5-man'!AW$24&lt;=IF('5-man'!$BF$4="",999,'5-man'!$BF$4),OR('5-man'!AW$28="D",LEFT('5-man'!AW$28,3)="ST&gt;",OR(AND('5-man'!AW$25="ST&gt;4",AW204&gt;=100),AND('5-man'!AW$26="ST&gt;4",AW212&gt;=100),AND('5-man'!AW$27="ST&gt;4",AW220&gt;=100),AND('5-man'!AW$29="ST&gt;4",AW236&gt;=100))))),'5-man'!AW$24,0)</f>
        <v/>
      </c>
      <c r="AX235">
        <f>IF(OR('5-man'!AX$28="P",'5-man'!AX$28="R",AND('5-man'!AX$24&lt;=IF('5-man'!$BF$4="",999,'5-man'!$BF$4),OR('5-man'!AX$28="D",LEFT('5-man'!AX$28,3)="ST&gt;",OR(AND('5-man'!AX$25="ST&gt;4",AX204&gt;=100),AND('5-man'!AX$26="ST&gt;4",AX212&gt;=100),AND('5-man'!AX$27="ST&gt;4",AX220&gt;=100),AND('5-man'!AX$29="ST&gt;4",AX236&gt;=100))))),'5-man'!AX$24,0)</f>
        <v/>
      </c>
      <c r="AY235">
        <f>IF(OR('5-man'!AY$28="P",'5-man'!AY$28="R",AND('5-man'!AY$24&lt;=IF('5-man'!$BF$4="",999,'5-man'!$BF$4),OR('5-man'!AY$28="D",LEFT('5-man'!AY$28,3)="ST&gt;",OR(AND('5-man'!AY$25="ST&gt;4",AY204&gt;=100),AND('5-man'!AY$26="ST&gt;4",AY212&gt;=100),AND('5-man'!AY$27="ST&gt;4",AY220&gt;=100),AND('5-man'!AY$29="ST&gt;4",AY236&gt;=100))))),'5-man'!AY$24,0)</f>
        <v/>
      </c>
      <c r="AZ235">
        <f>IF(OR('5-man'!AZ$28="P",'5-man'!AZ$28="R",AND('5-man'!AZ$24&lt;=IF('5-man'!$BF$4="",999,'5-man'!$BF$4),OR('5-man'!AZ$28="D",LEFT('5-man'!AZ$28,3)="ST&gt;",OR(AND('5-man'!AZ$25="ST&gt;4",AZ204&gt;=100),AND('5-man'!AZ$26="ST&gt;4",AZ212&gt;=100),AND('5-man'!AZ$27="ST&gt;4",AZ220&gt;=100),AND('5-man'!AZ$29="ST&gt;4",AZ236&gt;=100))))),'5-man'!AZ$24,0)</f>
        <v/>
      </c>
      <c r="BA235">
        <f>IF(OR('5-man'!BA$28="P",'5-man'!BA$28="R",AND('5-man'!BA$24&lt;=IF('5-man'!$BF$4="",999,'5-man'!$BF$4),OR('5-man'!BA$28="D",LEFT('5-man'!BA$28,3)="ST&gt;",OR(AND('5-man'!BA$25="ST&gt;4",BA204&gt;=100),AND('5-man'!BA$26="ST&gt;4",BA212&gt;=100),AND('5-man'!BA$27="ST&gt;4",BA220&gt;=100),AND('5-man'!BA$29="ST&gt;4",BA236&gt;=100))))),'5-man'!BA$24,0)</f>
        <v/>
      </c>
      <c r="BB235">
        <f>IF(OR('5-man'!BB$28="P",'5-man'!BB$28="R",AND('5-man'!BB$24&lt;=IF('5-man'!$BF$4="",999,'5-man'!$BF$4),OR('5-man'!BB$28="D",LEFT('5-man'!BB$28,3)="ST&gt;",OR(AND('5-man'!BB$25="ST&gt;4",BB204&gt;=100),AND('5-man'!BB$26="ST&gt;4",BB212&gt;=100),AND('5-man'!BB$27="ST&gt;4",BB220&gt;=100),AND('5-man'!BB$29="ST&gt;4",BB236&gt;=100))))),'5-man'!BB$24,0)</f>
        <v/>
      </c>
      <c r="BC235">
        <f>IF(OR('5-man'!BC$28="P",'5-man'!BC$28="R",AND('5-man'!BC$24&lt;=IF('5-man'!$BF$4="",999,'5-man'!$BF$4),OR('5-man'!BC$28="D",LEFT('5-man'!BC$28,3)="ST&gt;",OR(AND('5-man'!BC$25="ST&gt;4",BC204&gt;=100),AND('5-man'!BC$26="ST&gt;4",BC212&gt;=100),AND('5-man'!BC$27="ST&gt;4",BC220&gt;=100),AND('5-man'!BC$29="ST&gt;4",BC236&gt;=100))))),'5-man'!BC$24,0)</f>
        <v/>
      </c>
      <c r="BD235">
        <f>IF(OR('5-man'!BD$28="P",'5-man'!BD$28="R",AND('5-man'!BD$24&lt;=IF('5-man'!$BF$4="",999,'5-man'!$BF$4),OR('5-man'!BD$28="D",LEFT('5-man'!BD$28,3)="ST&gt;",OR(AND('5-man'!BD$25="ST&gt;4",BD204&gt;=100),AND('5-man'!BD$26="ST&gt;4",BD212&gt;=100),AND('5-man'!BD$27="ST&gt;4",BD220&gt;=100),AND('5-man'!BD$29="ST&gt;4",BD236&gt;=100))))),'5-man'!BD$24,0)</f>
        <v/>
      </c>
      <c r="BE235">
        <f>IF(OR('5-man'!BE$28="P",'5-man'!BE$28="R",AND('5-man'!BE$24&lt;=IF('5-man'!$BF$4="",999,'5-man'!$BF$4),OR('5-man'!BE$28="D",LEFT('5-man'!BE$28,3)="ST&gt;",OR(AND('5-man'!BE$25="ST&gt;4",BE204&gt;=100),AND('5-man'!BE$26="ST&gt;4",BE212&gt;=100),AND('5-man'!BE$27="ST&gt;4",BE220&gt;=100),AND('5-man'!BE$29="ST&gt;4",BE236&gt;=100))))),'5-man'!BE$24,0)</f>
        <v/>
      </c>
      <c r="BF235">
        <f>IF(OR('5-man'!BF$28="P",'5-man'!BF$28="R",AND('5-man'!BF$24&lt;=IF('5-man'!$BF$4="",999,'5-man'!$BF$4),OR('5-man'!BF$28="D",LEFT('5-man'!BF$28,3)="ST&gt;",OR(AND('5-man'!BF$25="ST&gt;4",BF204&gt;=100),AND('5-man'!BF$26="ST&gt;4",BF212&gt;=100),AND('5-man'!BF$27="ST&gt;4",BF220&gt;=100),AND('5-man'!BF$29="ST&gt;4",BF236&gt;=100))))),'5-man'!BF$24,0)</f>
        <v/>
      </c>
      <c r="BG235">
        <f>IF(OR('5-man'!BG$28="P",'5-man'!BG$28="R",AND('5-man'!BG$24&lt;=IF('5-man'!$BF$4="",999,'5-man'!$BF$4),OR('5-man'!BG$28="D",LEFT('5-man'!BG$28,3)="ST&gt;",OR(AND('5-man'!BG$25="ST&gt;4",BG204&gt;=100),AND('5-man'!BG$26="ST&gt;4",BG212&gt;=100),AND('5-man'!BG$27="ST&gt;4",BG220&gt;=100),AND('5-man'!BG$29="ST&gt;4",BG236&gt;=100))))),'5-man'!BG$24,0)</f>
        <v/>
      </c>
      <c r="BH235">
        <f>IF(OR('5-man'!BH$28="P",'5-man'!BH$28="R",AND('5-man'!BH$24&lt;=IF('5-man'!$BF$4="",999,'5-man'!$BF$4),OR('5-man'!BH$28="D",LEFT('5-man'!BH$28,3)="ST&gt;",OR(AND('5-man'!BH$25="ST&gt;4",BH204&gt;=100),AND('5-man'!BH$26="ST&gt;4",BH212&gt;=100),AND('5-man'!BH$27="ST&gt;4",BH220&gt;=100),AND('5-man'!BH$29="ST&gt;4",BH236&gt;=100))))),'5-man'!BH$24,0)</f>
        <v/>
      </c>
      <c r="BI235">
        <f>IF(OR('5-man'!BI$28="P",'5-man'!BI$28="R",AND('5-man'!BI$24&lt;=IF('5-man'!$BF$4="",999,'5-man'!$BF$4),OR('5-man'!BI$28="D",LEFT('5-man'!BI$28,3)="ST&gt;",OR(AND('5-man'!BI$25="ST&gt;4",BI204&gt;=100),AND('5-man'!BI$26="ST&gt;4",BI212&gt;=100),AND('5-man'!BI$27="ST&gt;4",BI220&gt;=100),AND('5-man'!BI$29="ST&gt;4",BI236&gt;=100))))),'5-man'!BI$24,0)</f>
        <v/>
      </c>
      <c r="BJ235">
        <f>IF(OR('5-man'!BJ$28="P",'5-man'!BJ$28="R",AND('5-man'!BJ$24&lt;=IF('5-man'!$BF$4="",999,'5-man'!$BF$4),OR('5-man'!BJ$28="D",LEFT('5-man'!BJ$28,3)="ST&gt;",OR(AND('5-man'!BJ$25="ST&gt;4",BJ204&gt;=100),AND('5-man'!BJ$26="ST&gt;4",BJ212&gt;=100),AND('5-man'!BJ$27="ST&gt;4",BJ220&gt;=100),AND('5-man'!BJ$29="ST&gt;4",BJ236&gt;=100))))),'5-man'!BJ$24,0)</f>
        <v/>
      </c>
      <c r="BK235">
        <f>IF(OR('5-man'!BK$28="P",'5-man'!BK$28="R",AND('5-man'!BK$24&lt;=IF('5-man'!$BF$4="",999,'5-man'!$BF$4),OR('5-man'!BK$28="D",LEFT('5-man'!BK$28,3)="ST&gt;",OR(AND('5-man'!BK$25="ST&gt;4",BK204&gt;=100),AND('5-man'!BK$26="ST&gt;4",BK212&gt;=100),AND('5-man'!BK$27="ST&gt;4",BK220&gt;=100),AND('5-man'!BK$29="ST&gt;4",BK236&gt;=100))))),'5-man'!BK$24,0)</f>
        <v/>
      </c>
      <c r="BL235">
        <f>IF(OR('5-man'!BL$28="P",'5-man'!BL$28="R",AND('5-man'!BL$24&lt;=IF('5-man'!$BF$4="",999,'5-man'!$BF$4),OR('5-man'!BL$28="D",LEFT('5-man'!BL$28,3)="ST&gt;",OR(AND('5-man'!BL$25="ST&gt;4",BL204&gt;=100),AND('5-man'!BL$26="ST&gt;4",BL212&gt;=100),AND('5-man'!BL$27="ST&gt;4",BL220&gt;=100),AND('5-man'!BL$29="ST&gt;4",BL236&gt;=100))))),'5-man'!BL$24,0)</f>
        <v/>
      </c>
      <c r="BM235">
        <f>IF(OR('5-man'!BM$28="P",'5-man'!BM$28="R",AND('5-man'!BM$24&lt;=IF('5-man'!$BF$4="",999,'5-man'!$BF$4),OR('5-man'!BM$28="D",LEFT('5-man'!BM$28,3)="ST&gt;",OR(AND('5-man'!BM$25="ST&gt;4",BM204&gt;=100),AND('5-man'!BM$26="ST&gt;4",BM212&gt;=100),AND('5-man'!BM$27="ST&gt;4",BM220&gt;=100),AND('5-man'!BM$29="ST&gt;4",BM236&gt;=100))))),'5-man'!BM$24,0)</f>
        <v/>
      </c>
      <c r="BN235">
        <f>IF(OR('5-man'!BN$28="P",'5-man'!BN$28="R",AND('5-man'!BN$24&lt;=IF('5-man'!$BF$4="",999,'5-man'!$BF$4),OR('5-man'!BN$28="D",LEFT('5-man'!BN$28,3)="ST&gt;",OR(AND('5-man'!BN$25="ST&gt;4",BN204&gt;=100),AND('5-man'!BN$26="ST&gt;4",BN212&gt;=100),AND('5-man'!BN$27="ST&gt;4",BN220&gt;=100),AND('5-man'!BN$29="ST&gt;4",BN236&gt;=100))))),'5-man'!BN$24,0)</f>
        <v/>
      </c>
      <c r="BO235">
        <f>IF(OR('5-man'!BO$28="P",'5-man'!BO$28="R",AND('5-man'!BO$24&lt;=IF('5-man'!$BF$4="",999,'5-man'!$BF$4),OR('5-man'!BO$28="D",LEFT('5-man'!BO$28,3)="ST&gt;",OR(AND('5-man'!BO$25="ST&gt;4",BO204&gt;=100),AND('5-man'!BO$26="ST&gt;4",BO212&gt;=100),AND('5-man'!BO$27="ST&gt;4",BO220&gt;=100),AND('5-man'!BO$29="ST&gt;4",BO236&gt;=100))))),'5-man'!BO$24,0)</f>
        <v/>
      </c>
      <c r="BP235">
        <f>IF(OR('5-man'!BP$28="P",'5-man'!BP$28="R",AND('5-man'!BP$24&lt;=IF('5-man'!$BF$4="",999,'5-man'!$BF$4),OR('5-man'!BP$28="D",LEFT('5-man'!BP$28,3)="ST&gt;",OR(AND('5-man'!BP$25="ST&gt;4",BP204&gt;=100),AND('5-man'!BP$26="ST&gt;4",BP212&gt;=100),AND('5-man'!BP$27="ST&gt;4",BP220&gt;=100),AND('5-man'!BP$29="ST&gt;4",BP236&gt;=100))))),'5-man'!BP$24,0)</f>
        <v/>
      </c>
      <c r="BQ235">
        <f>IF(OR('5-man'!BQ$28="P",'5-man'!BQ$28="R",AND('5-man'!BQ$24&lt;=IF('5-man'!$BF$4="",999,'5-man'!$BF$4),OR('5-man'!BQ$28="D",LEFT('5-man'!BQ$28,3)="ST&gt;",OR(AND('5-man'!BQ$25="ST&gt;4",BQ204&gt;=100),AND('5-man'!BQ$26="ST&gt;4",BQ212&gt;=100),AND('5-man'!BQ$27="ST&gt;4",BQ220&gt;=100),AND('5-man'!BQ$29="ST&gt;4",BQ236&gt;=100))))),'5-man'!BQ$24,0)</f>
        <v/>
      </c>
      <c r="BR235">
        <f>IF(OR('5-man'!BR$28="P",'5-man'!BR$28="R",AND('5-man'!BR$24&lt;=IF('5-man'!$BF$4="",999,'5-man'!$BF$4),OR('5-man'!BR$28="D",LEFT('5-man'!BR$28,3)="ST&gt;",OR(AND('5-man'!BR$25="ST&gt;4",BR204&gt;=100),AND('5-man'!BR$26="ST&gt;4",BR212&gt;=100),AND('5-man'!BR$27="ST&gt;4",BR220&gt;=100),AND('5-man'!BR$29="ST&gt;4",BR236&gt;=100))))),'5-man'!BR$24,0)</f>
        <v/>
      </c>
      <c r="BS235">
        <f>IF(OR('5-man'!BS$28="P",'5-man'!BS$28="R",AND('5-man'!BS$24&lt;=IF('5-man'!$BF$4="",999,'5-man'!$BF$4),OR('5-man'!BS$28="D",LEFT('5-man'!BS$28,3)="ST&gt;",OR(AND('5-man'!BS$25="ST&gt;4",BS204&gt;=100),AND('5-man'!BS$26="ST&gt;4",BS212&gt;=100),AND('5-man'!BS$27="ST&gt;4",BS220&gt;=100),AND('5-man'!BS$29="ST&gt;4",BS236&gt;=100))))),'5-man'!BS$24,0)</f>
        <v/>
      </c>
      <c r="BT235">
        <f>IF(OR('5-man'!BT$28="P",'5-man'!BT$28="R",AND('5-man'!BT$24&lt;=IF('5-man'!$BF$4="",999,'5-man'!$BF$4),OR('5-man'!BT$28="D",LEFT('5-man'!BT$28,3)="ST&gt;",OR(AND('5-man'!BT$25="ST&gt;4",BT204&gt;=100),AND('5-man'!BT$26="ST&gt;4",BT212&gt;=100),AND('5-man'!BT$27="ST&gt;4",BT220&gt;=100),AND('5-man'!BT$29="ST&gt;4",BT236&gt;=100))))),'5-man'!BT$24,0)</f>
        <v/>
      </c>
      <c r="BU235">
        <f>IF(OR('5-man'!BU$28="P",'5-man'!BU$28="R",AND('5-man'!BU$24&lt;=IF('5-man'!$BF$4="",999,'5-man'!$BF$4),OR('5-man'!BU$28="D",LEFT('5-man'!BU$28,3)="ST&gt;",OR(AND('5-man'!BU$25="ST&gt;4",BU204&gt;=100),AND('5-man'!BU$26="ST&gt;4",BU212&gt;=100),AND('5-man'!BU$27="ST&gt;4",BU220&gt;=100),AND('5-man'!BU$29="ST&gt;4",BU236&gt;=100))))),'5-man'!BU$24,0)</f>
        <v/>
      </c>
      <c r="BV235">
        <f>IF(OR('5-man'!BV$28="P",'5-man'!BV$28="R",AND('5-man'!BV$24&lt;=IF('5-man'!$BF$4="",999,'5-man'!$BF$4),OR('5-man'!BV$28="D",LEFT('5-man'!BV$28,3)="ST&gt;",OR(AND('5-man'!BV$25="ST&gt;4",BV204&gt;=100),AND('5-man'!BV$26="ST&gt;4",BV212&gt;=100),AND('5-man'!BV$27="ST&gt;4",BV220&gt;=100),AND('5-man'!BV$29="ST&gt;4",BV236&gt;=100))))),'5-man'!BV$24,0)</f>
        <v/>
      </c>
      <c r="BW235">
        <f>IF(OR('5-man'!BW$28="P",'5-man'!BW$28="R",AND('5-man'!BW$24&lt;=IF('5-man'!$BF$4="",999,'5-man'!$BF$4),OR('5-man'!BW$28="D",LEFT('5-man'!BW$28,3)="ST&gt;",OR(AND('5-man'!BW$25="ST&gt;4",BW204&gt;=100),AND('5-man'!BW$26="ST&gt;4",BW212&gt;=100),AND('5-man'!BW$27="ST&gt;4",BW220&gt;=100),AND('5-man'!BW$29="ST&gt;4",BW236&gt;=100))))),'5-man'!BW$24,0)</f>
        <v/>
      </c>
      <c r="BX235">
        <f>IF(OR('5-man'!BX$28="P",'5-man'!BX$28="R",AND('5-man'!BX$24&lt;=IF('5-man'!$BF$4="",999,'5-man'!$BF$4),OR('5-man'!BX$28="D",LEFT('5-man'!BX$28,3)="ST&gt;",OR(AND('5-man'!BX$25="ST&gt;4",BX204&gt;=100),AND('5-man'!BX$26="ST&gt;4",BX212&gt;=100),AND('5-man'!BX$27="ST&gt;4",BX220&gt;=100),AND('5-man'!BX$29="ST&gt;4",BX236&gt;=100))))),'5-man'!BX$24,0)</f>
        <v/>
      </c>
      <c r="BY235">
        <f>IF(OR('5-man'!BY$28="P",'5-man'!BY$28="R",AND('5-man'!BY$24&lt;=IF('5-man'!$BF$4="",999,'5-man'!$BF$4),OR('5-man'!BY$28="D",LEFT('5-man'!BY$28,3)="ST&gt;",OR(AND('5-man'!BY$25="ST&gt;4",BY204&gt;=100),AND('5-man'!BY$26="ST&gt;4",BY212&gt;=100),AND('5-man'!BY$27="ST&gt;4",BY220&gt;=100),AND('5-man'!BY$29="ST&gt;4",BY236&gt;=100))))),'5-man'!BY$24,0)</f>
        <v/>
      </c>
      <c r="BZ235">
        <f>IF(OR('5-man'!BZ$28="P",'5-man'!BZ$28="R",AND('5-man'!BZ$24&lt;=IF('5-man'!$BF$4="",999,'5-man'!$BF$4),OR('5-man'!BZ$28="D",LEFT('5-man'!BZ$28,3)="ST&gt;",OR(AND('5-man'!BZ$25="ST&gt;4",BZ204&gt;=100),AND('5-man'!BZ$26="ST&gt;4",BZ212&gt;=100),AND('5-man'!BZ$27="ST&gt;4",BZ220&gt;=100),AND('5-man'!BZ$29="ST&gt;4",BZ236&gt;=100))))),'5-man'!BZ$24,0)</f>
        <v/>
      </c>
      <c r="CA235">
        <f>IF(OR('5-man'!CA$28="P",'5-man'!CA$28="R",AND('5-man'!CA$24&lt;=IF('5-man'!$BF$4="",999,'5-man'!$BF$4),OR('5-man'!CA$28="D",LEFT('5-man'!CA$28,3)="ST&gt;",OR(AND('5-man'!CA$25="ST&gt;4",CA204&gt;=100),AND('5-man'!CA$26="ST&gt;4",CA212&gt;=100),AND('5-man'!CA$27="ST&gt;4",CA220&gt;=100),AND('5-man'!CA$29="ST&gt;4",CA236&gt;=100))))),'5-man'!CA$24,0)</f>
        <v/>
      </c>
      <c r="CB235">
        <f>IF(OR('5-man'!CB$28="P",'5-man'!CB$28="R",AND('5-man'!CB$24&lt;=IF('5-man'!$BF$4="",999,'5-man'!$BF$4),OR('5-man'!CB$28="D",LEFT('5-man'!CB$28,3)="ST&gt;",OR(AND('5-man'!CB$25="ST&gt;4",CB204&gt;=100),AND('5-man'!CB$26="ST&gt;4",CB212&gt;=100),AND('5-man'!CB$27="ST&gt;4",CB220&gt;=100),AND('5-man'!CB$29="ST&gt;4",CB236&gt;=100))))),'5-man'!CB$24,0)</f>
        <v/>
      </c>
      <c r="CC235">
        <f>IF(OR('5-man'!CC$28="P",'5-man'!CC$28="R",AND('5-man'!CC$24&lt;=IF('5-man'!$BF$4="",999,'5-man'!$BF$4),OR('5-man'!CC$28="D",LEFT('5-man'!CC$28,3)="ST&gt;",OR(AND('5-man'!CC$25="ST&gt;4",CC204&gt;=100),AND('5-man'!CC$26="ST&gt;4",CC212&gt;=100),AND('5-man'!CC$27="ST&gt;4",CC220&gt;=100),AND('5-man'!CC$29="ST&gt;4",CC236&gt;=100))))),'5-man'!CC$24,0)</f>
        <v/>
      </c>
      <c r="CD235">
        <f>IF(OR('5-man'!CD$28="P",'5-man'!CD$28="R",AND('5-man'!CD$24&lt;=IF('5-man'!$BF$4="",999,'5-man'!$BF$4),OR('5-man'!CD$28="D",LEFT('5-man'!CD$28,3)="ST&gt;",OR(AND('5-man'!CD$25="ST&gt;4",CD204&gt;=100),AND('5-man'!CD$26="ST&gt;4",CD212&gt;=100),AND('5-man'!CD$27="ST&gt;4",CD220&gt;=100),AND('5-man'!CD$29="ST&gt;4",CD236&gt;=100))))),'5-man'!CD$24,0)</f>
        <v/>
      </c>
    </row>
    <row r="236">
      <c r="A236" t="inlineStr">
        <is>
          <t>P5 s1</t>
        </is>
      </c>
      <c r="C236">
        <f>MIN(100,B237+IF(AND(B237&lt;100,B238+1&gt;=IF(OR('5-man'!$F$8=TRUE,'5-man'!$F$8="TRUE",'5-man'!$F$8="Yes"),25,50)),10,0)+IF('5-man'!C$24=$Q$242,25,0))</f>
        <v/>
      </c>
      <c r="D236">
        <f>MIN(100,C237+IF(AND(C237&lt;100,C238+1&gt;=IF(OR('5-man'!$F$8=TRUE,'5-man'!$F$8="TRUE",'5-man'!$F$8="Yes"),25,50)),10,0)+IF('5-man'!D$24=$Q$242,25,0))</f>
        <v/>
      </c>
      <c r="E236">
        <f>MIN(100,D237+IF(AND(D237&lt;100,D238+1&gt;=IF(OR('5-man'!$F$8=TRUE,'5-man'!$F$8="TRUE",'5-man'!$F$8="Yes"),25,50)),10,0)+IF('5-man'!E$24=$Q$242,25,0))</f>
        <v/>
      </c>
      <c r="F236">
        <f>MIN(100,E237+IF(AND(E237&lt;100,E238+1&gt;=IF(OR('5-man'!$F$8=TRUE,'5-man'!$F$8="TRUE",'5-man'!$F$8="Yes"),25,50)),10,0)+IF('5-man'!F$24=$Q$242,25,0))</f>
        <v/>
      </c>
      <c r="G236">
        <f>MIN(100,F237+IF(AND(F237&lt;100,F238+1&gt;=IF(OR('5-man'!$F$8=TRUE,'5-man'!$F$8="TRUE",'5-man'!$F$8="Yes"),25,50)),10,0)+IF('5-man'!G$24=$Q$242,25,0))</f>
        <v/>
      </c>
      <c r="H236">
        <f>MIN(100,G237+IF(AND(G237&lt;100,G238+1&gt;=IF(OR('5-man'!$F$8=TRUE,'5-man'!$F$8="TRUE",'5-man'!$F$8="Yes"),25,50)),10,0)+IF('5-man'!H$24=$Q$242,25,0))</f>
        <v/>
      </c>
      <c r="I236">
        <f>MIN(100,H237+IF(AND(H237&lt;100,H238+1&gt;=IF(OR('5-man'!$F$8=TRUE,'5-man'!$F$8="TRUE",'5-man'!$F$8="Yes"),25,50)),10,0)+IF('5-man'!I$24=$Q$242,25,0))</f>
        <v/>
      </c>
      <c r="J236">
        <f>MIN(100,I237+IF(AND(I237&lt;100,I238+1&gt;=IF(OR('5-man'!$F$8=TRUE,'5-man'!$F$8="TRUE",'5-man'!$F$8="Yes"),25,50)),10,0)+IF('5-man'!J$24=$Q$242,25,0))</f>
        <v/>
      </c>
      <c r="K236">
        <f>MIN(100,J237+IF(AND(J237&lt;100,J238+1&gt;=IF(OR('5-man'!$F$8=TRUE,'5-man'!$F$8="TRUE",'5-man'!$F$8="Yes"),25,50)),10,0)+IF('5-man'!K$24=$Q$242,25,0))</f>
        <v/>
      </c>
      <c r="L236">
        <f>MIN(100,K237+IF(AND(K237&lt;100,K238+1&gt;=IF(OR('5-man'!$F$8=TRUE,'5-man'!$F$8="TRUE",'5-man'!$F$8="Yes"),25,50)),10,0)+IF('5-man'!L$24=$Q$242,25,0))</f>
        <v/>
      </c>
      <c r="M236">
        <f>MIN(100,L237+IF(AND(L237&lt;100,L238+1&gt;=IF(OR('5-man'!$F$8=TRUE,'5-man'!$F$8="TRUE",'5-man'!$F$8="Yes"),25,50)),10,0)+IF('5-man'!M$24=$Q$242,25,0))</f>
        <v/>
      </c>
      <c r="N236">
        <f>MIN(100,M237+IF(AND(M237&lt;100,M238+1&gt;=IF(OR('5-man'!$F$8=TRUE,'5-man'!$F$8="TRUE",'5-man'!$F$8="Yes"),25,50)),10,0)+IF('5-man'!N$24=$Q$242,25,0))</f>
        <v/>
      </c>
      <c r="O236">
        <f>MIN(100,N237+IF(AND(N237&lt;100,N238+1&gt;=IF(OR('5-man'!$F$8=TRUE,'5-man'!$F$8="TRUE",'5-man'!$F$8="Yes"),25,50)),10,0)+IF('5-man'!O$24=$Q$242,25,0))</f>
        <v/>
      </c>
      <c r="P236">
        <f>MIN(100,O237+IF(AND(O237&lt;100,O238+1&gt;=IF(OR('5-man'!$F$8=TRUE,'5-man'!$F$8="TRUE",'5-man'!$F$8="Yes"),25,50)),10,0)+IF('5-man'!P$24=$Q$242,25,0))</f>
        <v/>
      </c>
      <c r="Q236">
        <f>MIN(100,P237+IF(AND(P237&lt;100,P238+1&gt;=IF(OR('5-man'!$F$8=TRUE,'5-man'!$F$8="TRUE",'5-man'!$F$8="Yes"),25,50)),10,0)+IF('5-man'!Q$24=$Q$242,25,0))</f>
        <v/>
      </c>
      <c r="R236">
        <f>MIN(100,Q237+IF(AND(Q237&lt;100,Q238+1&gt;=IF(OR('5-man'!$F$8=TRUE,'5-man'!$F$8="TRUE",'5-man'!$F$8="Yes"),25,50)),10,0)+IF('5-man'!R$24=$Q$242,25,0))</f>
        <v/>
      </c>
      <c r="S236">
        <f>MIN(100,R237+IF(AND(R237&lt;100,R238+1&gt;=IF(OR('5-man'!$F$8=TRUE,'5-man'!$F$8="TRUE",'5-man'!$F$8="Yes"),25,50)),10,0)+IF('5-man'!S$24=$Q$242,25,0))</f>
        <v/>
      </c>
      <c r="T236">
        <f>MIN(100,S237+IF(AND(S237&lt;100,S238+1&gt;=IF(OR('5-man'!$F$8=TRUE,'5-man'!$F$8="TRUE",'5-man'!$F$8="Yes"),25,50)),10,0)+IF('5-man'!T$24=$Q$242,25,0))</f>
        <v/>
      </c>
      <c r="U236">
        <f>MIN(100,T237+IF(AND(T237&lt;100,T238+1&gt;=IF(OR('5-man'!$F$8=TRUE,'5-man'!$F$8="TRUE",'5-man'!$F$8="Yes"),25,50)),10,0)+IF('5-man'!U$24=$Q$242,25,0))</f>
        <v/>
      </c>
      <c r="V236">
        <f>MIN(100,U237+IF(AND(U237&lt;100,U238+1&gt;=IF(OR('5-man'!$F$8=TRUE,'5-man'!$F$8="TRUE",'5-man'!$F$8="Yes"),25,50)),10,0)+IF('5-man'!V$24=$Q$242,25,0))</f>
        <v/>
      </c>
      <c r="W236">
        <f>MIN(100,V237+IF(AND(V237&lt;100,V238+1&gt;=IF(OR('5-man'!$F$8=TRUE,'5-man'!$F$8="TRUE",'5-man'!$F$8="Yes"),25,50)),10,0)+IF('5-man'!W$24=$Q$242,25,0))</f>
        <v/>
      </c>
      <c r="X236">
        <f>MIN(100,W237+IF(AND(W237&lt;100,W238+1&gt;=IF(OR('5-man'!$F$8=TRUE,'5-man'!$F$8="TRUE",'5-man'!$F$8="Yes"),25,50)),10,0)+IF('5-man'!X$24=$Q$242,25,0))</f>
        <v/>
      </c>
      <c r="Y236">
        <f>MIN(100,X237+IF(AND(X237&lt;100,X238+1&gt;=IF(OR('5-man'!$F$8=TRUE,'5-man'!$F$8="TRUE",'5-man'!$F$8="Yes"),25,50)),10,0)+IF('5-man'!Y$24=$Q$242,25,0))</f>
        <v/>
      </c>
      <c r="Z236">
        <f>MIN(100,Y237+IF(AND(Y237&lt;100,Y238+1&gt;=IF(OR('5-man'!$F$8=TRUE,'5-man'!$F$8="TRUE",'5-man'!$F$8="Yes"),25,50)),10,0)+IF('5-man'!Z$24=$Q$242,25,0))</f>
        <v/>
      </c>
      <c r="AA236">
        <f>MIN(100,Z237+IF(AND(Z237&lt;100,Z238+1&gt;=IF(OR('5-man'!$F$8=TRUE,'5-man'!$F$8="TRUE",'5-man'!$F$8="Yes"),25,50)),10,0)+IF('5-man'!AA$24=$Q$242,25,0))</f>
        <v/>
      </c>
      <c r="AB236">
        <f>MIN(100,AA237+IF(AND(AA237&lt;100,AA238+1&gt;=IF(OR('5-man'!$F$8=TRUE,'5-man'!$F$8="TRUE",'5-man'!$F$8="Yes"),25,50)),10,0)+IF('5-man'!AB$24=$Q$242,25,0))</f>
        <v/>
      </c>
      <c r="AC236">
        <f>MIN(100,AB237+IF(AND(AB237&lt;100,AB238+1&gt;=IF(OR('5-man'!$F$8=TRUE,'5-man'!$F$8="TRUE",'5-man'!$F$8="Yes"),25,50)),10,0)+IF('5-man'!AC$24=$Q$242,25,0))</f>
        <v/>
      </c>
      <c r="AD236">
        <f>MIN(100,AC237+IF(AND(AC237&lt;100,AC238+1&gt;=IF(OR('5-man'!$F$8=TRUE,'5-man'!$F$8="TRUE",'5-man'!$F$8="Yes"),25,50)),10,0)+IF('5-man'!AD$24=$Q$242,25,0))</f>
        <v/>
      </c>
      <c r="AE236">
        <f>MIN(100,AD237+IF(AND(AD237&lt;100,AD238+1&gt;=IF(OR('5-man'!$F$8=TRUE,'5-man'!$F$8="TRUE",'5-man'!$F$8="Yes"),25,50)),10,0)+IF('5-man'!AE$24=$Q$242,25,0))</f>
        <v/>
      </c>
      <c r="AF236">
        <f>MIN(100,AE237+IF(AND(AE237&lt;100,AE238+1&gt;=IF(OR('5-man'!$F$8=TRUE,'5-man'!$F$8="TRUE",'5-man'!$F$8="Yes"),25,50)),10,0)+IF('5-man'!AF$24=$Q$242,25,0))</f>
        <v/>
      </c>
      <c r="AG236">
        <f>MIN(100,AF237+IF(AND(AF237&lt;100,AF238+1&gt;=IF(OR('5-man'!$F$8=TRUE,'5-man'!$F$8="TRUE",'5-man'!$F$8="Yes"),25,50)),10,0)+IF('5-man'!AG$24=$Q$242,25,0))</f>
        <v/>
      </c>
      <c r="AH236">
        <f>MIN(100,AG237+IF(AND(AG237&lt;100,AG238+1&gt;=IF(OR('5-man'!$F$8=TRUE,'5-man'!$F$8="TRUE",'5-man'!$F$8="Yes"),25,50)),10,0)+IF('5-man'!AH$24=$Q$242,25,0))</f>
        <v/>
      </c>
      <c r="AI236">
        <f>MIN(100,AH237+IF(AND(AH237&lt;100,AH238+1&gt;=IF(OR('5-man'!$F$8=TRUE,'5-man'!$F$8="TRUE",'5-man'!$F$8="Yes"),25,50)),10,0)+IF('5-man'!AI$24=$Q$242,25,0))</f>
        <v/>
      </c>
      <c r="AJ236">
        <f>MIN(100,AI237+IF(AND(AI237&lt;100,AI238+1&gt;=IF(OR('5-man'!$F$8=TRUE,'5-man'!$F$8="TRUE",'5-man'!$F$8="Yes"),25,50)),10,0)+IF('5-man'!AJ$24=$Q$242,25,0))</f>
        <v/>
      </c>
      <c r="AK236">
        <f>MIN(100,AJ237+IF(AND(AJ237&lt;100,AJ238+1&gt;=IF(OR('5-man'!$F$8=TRUE,'5-man'!$F$8="TRUE",'5-man'!$F$8="Yes"),25,50)),10,0)+IF('5-man'!AK$24=$Q$242,25,0))</f>
        <v/>
      </c>
      <c r="AL236">
        <f>MIN(100,AK237+IF(AND(AK237&lt;100,AK238+1&gt;=IF(OR('5-man'!$F$8=TRUE,'5-man'!$F$8="TRUE",'5-man'!$F$8="Yes"),25,50)),10,0)+IF('5-man'!AL$24=$Q$242,25,0))</f>
        <v/>
      </c>
      <c r="AM236">
        <f>MIN(100,AL237+IF(AND(AL237&lt;100,AL238+1&gt;=IF(OR('5-man'!$F$8=TRUE,'5-man'!$F$8="TRUE",'5-man'!$F$8="Yes"),25,50)),10,0)+IF('5-man'!AM$24=$Q$242,25,0))</f>
        <v/>
      </c>
      <c r="AN236">
        <f>MIN(100,AM237+IF(AND(AM237&lt;100,AM238+1&gt;=IF(OR('5-man'!$F$8=TRUE,'5-man'!$F$8="TRUE",'5-man'!$F$8="Yes"),25,50)),10,0)+IF('5-man'!AN$24=$Q$242,25,0))</f>
        <v/>
      </c>
      <c r="AO236">
        <f>MIN(100,AN237+IF(AND(AN237&lt;100,AN238+1&gt;=IF(OR('5-man'!$F$8=TRUE,'5-man'!$F$8="TRUE",'5-man'!$F$8="Yes"),25,50)),10,0)+IF('5-man'!AO$24=$Q$242,25,0))</f>
        <v/>
      </c>
      <c r="AP236">
        <f>MIN(100,AO237+IF(AND(AO237&lt;100,AO238+1&gt;=IF(OR('5-man'!$F$8=TRUE,'5-man'!$F$8="TRUE",'5-man'!$F$8="Yes"),25,50)),10,0)+IF('5-man'!AP$24=$Q$242,25,0))</f>
        <v/>
      </c>
      <c r="AQ236">
        <f>MIN(100,AP237+IF(AND(AP237&lt;100,AP238+1&gt;=IF(OR('5-man'!$F$8=TRUE,'5-man'!$F$8="TRUE",'5-man'!$F$8="Yes"),25,50)),10,0)+IF('5-man'!AQ$24=$Q$242,25,0))</f>
        <v/>
      </c>
      <c r="AR236">
        <f>MIN(100,AQ237+IF(AND(AQ237&lt;100,AQ238+1&gt;=IF(OR('5-man'!$F$8=TRUE,'5-man'!$F$8="TRUE",'5-man'!$F$8="Yes"),25,50)),10,0)+IF('5-man'!AR$24=$Q$242,25,0))</f>
        <v/>
      </c>
      <c r="AS236">
        <f>MIN(100,AR237+IF(AND(AR237&lt;100,AR238+1&gt;=IF(OR('5-man'!$F$8=TRUE,'5-man'!$F$8="TRUE",'5-man'!$F$8="Yes"),25,50)),10,0)+IF('5-man'!AS$24=$Q$242,25,0))</f>
        <v/>
      </c>
      <c r="AT236">
        <f>MIN(100,AS237+IF(AND(AS237&lt;100,AS238+1&gt;=IF(OR('5-man'!$F$8=TRUE,'5-man'!$F$8="TRUE",'5-man'!$F$8="Yes"),25,50)),10,0)+IF('5-man'!AT$24=$Q$242,25,0))</f>
        <v/>
      </c>
      <c r="AU236">
        <f>MIN(100,AT237+IF(AND(AT237&lt;100,AT238+1&gt;=IF(OR('5-man'!$F$8=TRUE,'5-man'!$F$8="TRUE",'5-man'!$F$8="Yes"),25,50)),10,0)+IF('5-man'!AU$24=$Q$242,25,0))</f>
        <v/>
      </c>
      <c r="AV236">
        <f>MIN(100,AU237+IF(AND(AU237&lt;100,AU238+1&gt;=IF(OR('5-man'!$F$8=TRUE,'5-man'!$F$8="TRUE",'5-man'!$F$8="Yes"),25,50)),10,0)+IF('5-man'!AV$24=$Q$242,25,0))</f>
        <v/>
      </c>
      <c r="AW236">
        <f>MIN(100,AV237+IF(AND(AV237&lt;100,AV238+1&gt;=IF(OR('5-man'!$F$8=TRUE,'5-man'!$F$8="TRUE",'5-man'!$F$8="Yes"),25,50)),10,0)+IF('5-man'!AW$24=$Q$242,25,0))</f>
        <v/>
      </c>
      <c r="AX236">
        <f>MIN(100,AW237+IF(AND(AW237&lt;100,AW238+1&gt;=IF(OR('5-man'!$F$8=TRUE,'5-man'!$F$8="TRUE",'5-man'!$F$8="Yes"),25,50)),10,0)+IF('5-man'!AX$24=$Q$242,25,0))</f>
        <v/>
      </c>
      <c r="AY236">
        <f>MIN(100,AX237+IF(AND(AX237&lt;100,AX238+1&gt;=IF(OR('5-man'!$F$8=TRUE,'5-man'!$F$8="TRUE",'5-man'!$F$8="Yes"),25,50)),10,0)+IF('5-man'!AY$24=$Q$242,25,0))</f>
        <v/>
      </c>
      <c r="AZ236">
        <f>MIN(100,AY237+IF(AND(AY237&lt;100,AY238+1&gt;=IF(OR('5-man'!$F$8=TRUE,'5-man'!$F$8="TRUE",'5-man'!$F$8="Yes"),25,50)),10,0)+IF('5-man'!AZ$24=$Q$242,25,0))</f>
        <v/>
      </c>
      <c r="BA236">
        <f>MIN(100,AZ237+IF(AND(AZ237&lt;100,AZ238+1&gt;=IF(OR('5-man'!$F$8=TRUE,'5-man'!$F$8="TRUE",'5-man'!$F$8="Yes"),25,50)),10,0)+IF('5-man'!BA$24=$Q$242,25,0))</f>
        <v/>
      </c>
      <c r="BB236">
        <f>MIN(100,BA237+IF(AND(BA237&lt;100,BA238+1&gt;=IF(OR('5-man'!$F$8=TRUE,'5-man'!$F$8="TRUE",'5-man'!$F$8="Yes"),25,50)),10,0)+IF('5-man'!BB$24=$Q$242,25,0))</f>
        <v/>
      </c>
      <c r="BC236">
        <f>MIN(100,BB237+IF(AND(BB237&lt;100,BB238+1&gt;=IF(OR('5-man'!$F$8=TRUE,'5-man'!$F$8="TRUE",'5-man'!$F$8="Yes"),25,50)),10,0)+IF('5-man'!BC$24=$Q$242,25,0))</f>
        <v/>
      </c>
      <c r="BD236">
        <f>MIN(100,BC237+IF(AND(BC237&lt;100,BC238+1&gt;=IF(OR('5-man'!$F$8=TRUE,'5-man'!$F$8="TRUE",'5-man'!$F$8="Yes"),25,50)),10,0)+IF('5-man'!BD$24=$Q$242,25,0))</f>
        <v/>
      </c>
      <c r="BE236">
        <f>MIN(100,BD237+IF(AND(BD237&lt;100,BD238+1&gt;=IF(OR('5-man'!$F$8=TRUE,'5-man'!$F$8="TRUE",'5-man'!$F$8="Yes"),25,50)),10,0)+IF('5-man'!BE$24=$Q$242,25,0))</f>
        <v/>
      </c>
      <c r="BF236">
        <f>MIN(100,BE237+IF(AND(BE237&lt;100,BE238+1&gt;=IF(OR('5-man'!$F$8=TRUE,'5-man'!$F$8="TRUE",'5-man'!$F$8="Yes"),25,50)),10,0)+IF('5-man'!BF$24=$Q$242,25,0))</f>
        <v/>
      </c>
      <c r="BG236">
        <f>MIN(100,BF237+IF(AND(BF237&lt;100,BF238+1&gt;=IF(OR('5-man'!$F$8=TRUE,'5-man'!$F$8="TRUE",'5-man'!$F$8="Yes"),25,50)),10,0)+IF('5-man'!BG$24=$Q$242,25,0))</f>
        <v/>
      </c>
      <c r="BH236">
        <f>MIN(100,BG237+IF(AND(BG237&lt;100,BG238+1&gt;=IF(OR('5-man'!$F$8=TRUE,'5-man'!$F$8="TRUE",'5-man'!$F$8="Yes"),25,50)),10,0)+IF('5-man'!BH$24=$Q$242,25,0))</f>
        <v/>
      </c>
      <c r="BI236">
        <f>MIN(100,BH237+IF(AND(BH237&lt;100,BH238+1&gt;=IF(OR('5-man'!$F$8=TRUE,'5-man'!$F$8="TRUE",'5-man'!$F$8="Yes"),25,50)),10,0)+IF('5-man'!BI$24=$Q$242,25,0))</f>
        <v/>
      </c>
      <c r="BJ236">
        <f>MIN(100,BI237+IF(AND(BI237&lt;100,BI238+1&gt;=IF(OR('5-man'!$F$8=TRUE,'5-man'!$F$8="TRUE",'5-man'!$F$8="Yes"),25,50)),10,0)+IF('5-man'!BJ$24=$Q$242,25,0))</f>
        <v/>
      </c>
      <c r="BK236">
        <f>MIN(100,BJ237+IF(AND(BJ237&lt;100,BJ238+1&gt;=IF(OR('5-man'!$F$8=TRUE,'5-man'!$F$8="TRUE",'5-man'!$F$8="Yes"),25,50)),10,0)+IF('5-man'!BK$24=$Q$242,25,0))</f>
        <v/>
      </c>
      <c r="BL236">
        <f>MIN(100,BK237+IF(AND(BK237&lt;100,BK238+1&gt;=IF(OR('5-man'!$F$8=TRUE,'5-man'!$F$8="TRUE",'5-man'!$F$8="Yes"),25,50)),10,0)+IF('5-man'!BL$24=$Q$242,25,0))</f>
        <v/>
      </c>
      <c r="BM236">
        <f>MIN(100,BL237+IF(AND(BL237&lt;100,BL238+1&gt;=IF(OR('5-man'!$F$8=TRUE,'5-man'!$F$8="TRUE",'5-man'!$F$8="Yes"),25,50)),10,0)+IF('5-man'!BM$24=$Q$242,25,0))</f>
        <v/>
      </c>
      <c r="BN236">
        <f>MIN(100,BM237+IF(AND(BM237&lt;100,BM238+1&gt;=IF(OR('5-man'!$F$8=TRUE,'5-man'!$F$8="TRUE",'5-man'!$F$8="Yes"),25,50)),10,0)+IF('5-man'!BN$24=$Q$242,25,0))</f>
        <v/>
      </c>
      <c r="BO236">
        <f>MIN(100,BN237+IF(AND(BN237&lt;100,BN238+1&gt;=IF(OR('5-man'!$F$8=TRUE,'5-man'!$F$8="TRUE",'5-man'!$F$8="Yes"),25,50)),10,0)+IF('5-man'!BO$24=$Q$242,25,0))</f>
        <v/>
      </c>
      <c r="BP236">
        <f>MIN(100,BO237+IF(AND(BO237&lt;100,BO238+1&gt;=IF(OR('5-man'!$F$8=TRUE,'5-man'!$F$8="TRUE",'5-man'!$F$8="Yes"),25,50)),10,0)+IF('5-man'!BP$24=$Q$242,25,0))</f>
        <v/>
      </c>
      <c r="BQ236">
        <f>MIN(100,BP237+IF(AND(BP237&lt;100,BP238+1&gt;=IF(OR('5-man'!$F$8=TRUE,'5-man'!$F$8="TRUE",'5-man'!$F$8="Yes"),25,50)),10,0)+IF('5-man'!BQ$24=$Q$242,25,0))</f>
        <v/>
      </c>
      <c r="BR236">
        <f>MIN(100,BQ237+IF(AND(BQ237&lt;100,BQ238+1&gt;=IF(OR('5-man'!$F$8=TRUE,'5-man'!$F$8="TRUE",'5-man'!$F$8="Yes"),25,50)),10,0)+IF('5-man'!BR$24=$Q$242,25,0))</f>
        <v/>
      </c>
      <c r="BS236">
        <f>MIN(100,BR237+IF(AND(BR237&lt;100,BR238+1&gt;=IF(OR('5-man'!$F$8=TRUE,'5-man'!$F$8="TRUE",'5-man'!$F$8="Yes"),25,50)),10,0)+IF('5-man'!BS$24=$Q$242,25,0))</f>
        <v/>
      </c>
      <c r="BT236">
        <f>MIN(100,BS237+IF(AND(BS237&lt;100,BS238+1&gt;=IF(OR('5-man'!$F$8=TRUE,'5-man'!$F$8="TRUE",'5-man'!$F$8="Yes"),25,50)),10,0)+IF('5-man'!BT$24=$Q$242,25,0))</f>
        <v/>
      </c>
      <c r="BU236">
        <f>MIN(100,BT237+IF(AND(BT237&lt;100,BT238+1&gt;=IF(OR('5-man'!$F$8=TRUE,'5-man'!$F$8="TRUE",'5-man'!$F$8="Yes"),25,50)),10,0)+IF('5-man'!BU$24=$Q$242,25,0))</f>
        <v/>
      </c>
      <c r="BV236">
        <f>MIN(100,BU237+IF(AND(BU237&lt;100,BU238+1&gt;=IF(OR('5-man'!$F$8=TRUE,'5-man'!$F$8="TRUE",'5-man'!$F$8="Yes"),25,50)),10,0)+IF('5-man'!BV$24=$Q$242,25,0))</f>
        <v/>
      </c>
      <c r="BW236">
        <f>MIN(100,BV237+IF(AND(BV237&lt;100,BV238+1&gt;=IF(OR('5-man'!$F$8=TRUE,'5-man'!$F$8="TRUE",'5-man'!$F$8="Yes"),25,50)),10,0)+IF('5-man'!BW$24=$Q$242,25,0))</f>
        <v/>
      </c>
      <c r="BX236">
        <f>MIN(100,BW237+IF(AND(BW237&lt;100,BW238+1&gt;=IF(OR('5-man'!$F$8=TRUE,'5-man'!$F$8="TRUE",'5-man'!$F$8="Yes"),25,50)),10,0)+IF('5-man'!BX$24=$Q$242,25,0))</f>
        <v/>
      </c>
      <c r="BY236">
        <f>MIN(100,BX237+IF(AND(BX237&lt;100,BX238+1&gt;=IF(OR('5-man'!$F$8=TRUE,'5-man'!$F$8="TRUE",'5-man'!$F$8="Yes"),25,50)),10,0)+IF('5-man'!BY$24=$Q$242,25,0))</f>
        <v/>
      </c>
      <c r="BZ236">
        <f>MIN(100,BY237+IF(AND(BY237&lt;100,BY238+1&gt;=IF(OR('5-man'!$F$8=TRUE,'5-man'!$F$8="TRUE",'5-man'!$F$8="Yes"),25,50)),10,0)+IF('5-man'!BZ$24=$Q$242,25,0))</f>
        <v/>
      </c>
      <c r="CA236">
        <f>MIN(100,BZ237+IF(AND(BZ237&lt;100,BZ238+1&gt;=IF(OR('5-man'!$F$8=TRUE,'5-man'!$F$8="TRUE",'5-man'!$F$8="Yes"),25,50)),10,0)+IF('5-man'!CA$24=$Q$242,25,0))</f>
        <v/>
      </c>
      <c r="CB236">
        <f>MIN(100,CA237+IF(AND(CA237&lt;100,CA238+1&gt;=IF(OR('5-man'!$F$8=TRUE,'5-man'!$F$8="TRUE",'5-man'!$F$8="Yes"),25,50)),10,0)+IF('5-man'!CB$24=$Q$242,25,0))</f>
        <v/>
      </c>
      <c r="CC236">
        <f>MIN(100,CB237+IF(AND(CB237&lt;100,CB238+1&gt;=IF(OR('5-man'!$F$8=TRUE,'5-man'!$F$8="TRUE",'5-man'!$F$8="Yes"),25,50)),10,0)+IF('5-man'!CC$24=$Q$242,25,0))</f>
        <v/>
      </c>
      <c r="CD236">
        <f>MIN(100,CC237+IF(AND(CC237&lt;100,CC238+1&gt;=IF(OR('5-man'!$F$8=TRUE,'5-man'!$F$8="TRUE",'5-man'!$F$8="Yes"),25,50)),10,0)+IF('5-man'!CD$24=$Q$242,25,0))</f>
        <v/>
      </c>
    </row>
    <row r="237">
      <c r="A237" t="inlineStr">
        <is>
          <t>P5 spec</t>
        </is>
      </c>
      <c r="B237">
        <f>IF('5-man'!$C$8="",100,'5-man'!$C$8)</f>
        <v/>
      </c>
      <c r="C237">
        <f>IF('5-man'!C$29="R",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5-man'!D$29="R",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5-man'!E$29="R",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5-man'!F$29="R",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5-man'!G$29="R",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5-man'!H$29="R",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5-man'!I$29="R",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5-man'!J$29="R",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5-man'!K$29="R",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5-man'!L$29="R",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5-man'!M$29="R",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5-man'!N$29="R",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5-man'!O$29="R",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5-man'!P$29="R",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5-man'!Q$29="R",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5-man'!R$29="R",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5-man'!S$29="R",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5-man'!T$29="R",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5-man'!U$29="R",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5-man'!V$29="R",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5-man'!W$29="R",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5-man'!X$29="R",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5-man'!Y$29="R",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5-man'!Z$29="R",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5-man'!AA$29="R",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5-man'!AB$29="R",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5-man'!AC$29="R",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5-man'!AD$29="R",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5-man'!AE$29="R",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5-man'!AF$29="R",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5-man'!AG$29="R",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5-man'!AH$29="R",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5-man'!AI$29="R",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5-man'!AJ$29="R",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5-man'!AK$29="R",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5-man'!AL$29="R",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5-man'!AM$29="R",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5-man'!AN$29="R",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5-man'!AO$29="R",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5-man'!AP$29="R",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5-man'!AQ$29="R",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5-man'!AR$29="R",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5-man'!AS$29="R",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5-man'!AT$29="R",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5-man'!AU$29="R",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5-man'!AV$29="R",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5-man'!AW$29="R",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5-man'!AX$29="R",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5-man'!AY$29="R",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5-man'!AZ$29="R",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5-man'!BA$29="R",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5-man'!BB$29="R",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5-man'!BC$29="R",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5-man'!BD$29="R",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5-man'!BE$29="R",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5-man'!BF$29="R",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5-man'!BG$29="R",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5-man'!BH$29="R",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5-man'!BI$29="R",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5-man'!BJ$29="R",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5-man'!BK$29="R",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5-man'!BL$29="R",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5-man'!BM$29="R",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5-man'!BN$29="R",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5-man'!BO$29="R",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5-man'!BP$29="R",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5-man'!BQ$29="R",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5-man'!BR$29="R",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5-man'!BS$29="R",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5-man'!BT$29="R",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5-man'!BU$29="R",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5-man'!BV$29="R",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5-man'!BW$29="R",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5-man'!BX$29="R",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5-man'!BY$29="R",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5-man'!BZ$29="R",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5-man'!CA$29="R",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5-man'!CB$29="R",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5-man'!CC$29="R",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5-man'!CD$29="R",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IF('5-man'!C$29="R",0,IF(B237&gt;=100,0,IF(B238+1&gt;=IF(OR('5-man'!$F$8=TRUE,'5-man'!$F$8="TRUE",'5-man'!$F$8="Yes"),25,50),0,B238+1)))</f>
        <v/>
      </c>
      <c r="D238">
        <f>IF('5-man'!D$29="R",0,IF(C237&gt;=100,0,IF(C238+1&gt;=IF(OR('5-man'!$F$8=TRUE,'5-man'!$F$8="TRUE",'5-man'!$F$8="Yes"),25,50),0,C238+1)))</f>
        <v/>
      </c>
      <c r="E238">
        <f>IF('5-man'!E$29="R",0,IF(D237&gt;=100,0,IF(D238+1&gt;=IF(OR('5-man'!$F$8=TRUE,'5-man'!$F$8="TRUE",'5-man'!$F$8="Yes"),25,50),0,D238+1)))</f>
        <v/>
      </c>
      <c r="F238">
        <f>IF('5-man'!F$29="R",0,IF(E237&gt;=100,0,IF(E238+1&gt;=IF(OR('5-man'!$F$8=TRUE,'5-man'!$F$8="TRUE",'5-man'!$F$8="Yes"),25,50),0,E238+1)))</f>
        <v/>
      </c>
      <c r="G238">
        <f>IF('5-man'!G$29="R",0,IF(F237&gt;=100,0,IF(F238+1&gt;=IF(OR('5-man'!$F$8=TRUE,'5-man'!$F$8="TRUE",'5-man'!$F$8="Yes"),25,50),0,F238+1)))</f>
        <v/>
      </c>
      <c r="H238">
        <f>IF('5-man'!H$29="R",0,IF(G237&gt;=100,0,IF(G238+1&gt;=IF(OR('5-man'!$F$8=TRUE,'5-man'!$F$8="TRUE",'5-man'!$F$8="Yes"),25,50),0,G238+1)))</f>
        <v/>
      </c>
      <c r="I238">
        <f>IF('5-man'!I$29="R",0,IF(H237&gt;=100,0,IF(H238+1&gt;=IF(OR('5-man'!$F$8=TRUE,'5-man'!$F$8="TRUE",'5-man'!$F$8="Yes"),25,50),0,H238+1)))</f>
        <v/>
      </c>
      <c r="J238">
        <f>IF('5-man'!J$29="R",0,IF(I237&gt;=100,0,IF(I238+1&gt;=IF(OR('5-man'!$F$8=TRUE,'5-man'!$F$8="TRUE",'5-man'!$F$8="Yes"),25,50),0,I238+1)))</f>
        <v/>
      </c>
      <c r="K238">
        <f>IF('5-man'!K$29="R",0,IF(J237&gt;=100,0,IF(J238+1&gt;=IF(OR('5-man'!$F$8=TRUE,'5-man'!$F$8="TRUE",'5-man'!$F$8="Yes"),25,50),0,J238+1)))</f>
        <v/>
      </c>
      <c r="L238">
        <f>IF('5-man'!L$29="R",0,IF(K237&gt;=100,0,IF(K238+1&gt;=IF(OR('5-man'!$F$8=TRUE,'5-man'!$F$8="TRUE",'5-man'!$F$8="Yes"),25,50),0,K238+1)))</f>
        <v/>
      </c>
      <c r="M238">
        <f>IF('5-man'!M$29="R",0,IF(L237&gt;=100,0,IF(L238+1&gt;=IF(OR('5-man'!$F$8=TRUE,'5-man'!$F$8="TRUE",'5-man'!$F$8="Yes"),25,50),0,L238+1)))</f>
        <v/>
      </c>
      <c r="N238">
        <f>IF('5-man'!N$29="R",0,IF(M237&gt;=100,0,IF(M238+1&gt;=IF(OR('5-man'!$F$8=TRUE,'5-man'!$F$8="TRUE",'5-man'!$F$8="Yes"),25,50),0,M238+1)))</f>
        <v/>
      </c>
      <c r="O238">
        <f>IF('5-man'!O$29="R",0,IF(N237&gt;=100,0,IF(N238+1&gt;=IF(OR('5-man'!$F$8=TRUE,'5-man'!$F$8="TRUE",'5-man'!$F$8="Yes"),25,50),0,N238+1)))</f>
        <v/>
      </c>
      <c r="P238">
        <f>IF('5-man'!P$29="R",0,IF(O237&gt;=100,0,IF(O238+1&gt;=IF(OR('5-man'!$F$8=TRUE,'5-man'!$F$8="TRUE",'5-man'!$F$8="Yes"),25,50),0,O238+1)))</f>
        <v/>
      </c>
      <c r="Q238">
        <f>IF('5-man'!Q$29="R",0,IF(P237&gt;=100,0,IF(P238+1&gt;=IF(OR('5-man'!$F$8=TRUE,'5-man'!$F$8="TRUE",'5-man'!$F$8="Yes"),25,50),0,P238+1)))</f>
        <v/>
      </c>
      <c r="R238">
        <f>IF('5-man'!R$29="R",0,IF(Q237&gt;=100,0,IF(Q238+1&gt;=IF(OR('5-man'!$F$8=TRUE,'5-man'!$F$8="TRUE",'5-man'!$F$8="Yes"),25,50),0,Q238+1)))</f>
        <v/>
      </c>
      <c r="S238">
        <f>IF('5-man'!S$29="R",0,IF(R237&gt;=100,0,IF(R238+1&gt;=IF(OR('5-man'!$F$8=TRUE,'5-man'!$F$8="TRUE",'5-man'!$F$8="Yes"),25,50),0,R238+1)))</f>
        <v/>
      </c>
      <c r="T238">
        <f>IF('5-man'!T$29="R",0,IF(S237&gt;=100,0,IF(S238+1&gt;=IF(OR('5-man'!$F$8=TRUE,'5-man'!$F$8="TRUE",'5-man'!$F$8="Yes"),25,50),0,S238+1)))</f>
        <v/>
      </c>
      <c r="U238">
        <f>IF('5-man'!U$29="R",0,IF(T237&gt;=100,0,IF(T238+1&gt;=IF(OR('5-man'!$F$8=TRUE,'5-man'!$F$8="TRUE",'5-man'!$F$8="Yes"),25,50),0,T238+1)))</f>
        <v/>
      </c>
      <c r="V238">
        <f>IF('5-man'!V$29="R",0,IF(U237&gt;=100,0,IF(U238+1&gt;=IF(OR('5-man'!$F$8=TRUE,'5-man'!$F$8="TRUE",'5-man'!$F$8="Yes"),25,50),0,U238+1)))</f>
        <v/>
      </c>
      <c r="W238">
        <f>IF('5-man'!W$29="R",0,IF(V237&gt;=100,0,IF(V238+1&gt;=IF(OR('5-man'!$F$8=TRUE,'5-man'!$F$8="TRUE",'5-man'!$F$8="Yes"),25,50),0,V238+1)))</f>
        <v/>
      </c>
      <c r="X238">
        <f>IF('5-man'!X$29="R",0,IF(W237&gt;=100,0,IF(W238+1&gt;=IF(OR('5-man'!$F$8=TRUE,'5-man'!$F$8="TRUE",'5-man'!$F$8="Yes"),25,50),0,W238+1)))</f>
        <v/>
      </c>
      <c r="Y238">
        <f>IF('5-man'!Y$29="R",0,IF(X237&gt;=100,0,IF(X238+1&gt;=IF(OR('5-man'!$F$8=TRUE,'5-man'!$F$8="TRUE",'5-man'!$F$8="Yes"),25,50),0,X238+1)))</f>
        <v/>
      </c>
      <c r="Z238">
        <f>IF('5-man'!Z$29="R",0,IF(Y237&gt;=100,0,IF(Y238+1&gt;=IF(OR('5-man'!$F$8=TRUE,'5-man'!$F$8="TRUE",'5-man'!$F$8="Yes"),25,50),0,Y238+1)))</f>
        <v/>
      </c>
      <c r="AA238">
        <f>IF('5-man'!AA$29="R",0,IF(Z237&gt;=100,0,IF(Z238+1&gt;=IF(OR('5-man'!$F$8=TRUE,'5-man'!$F$8="TRUE",'5-man'!$F$8="Yes"),25,50),0,Z238+1)))</f>
        <v/>
      </c>
      <c r="AB238">
        <f>IF('5-man'!AB$29="R",0,IF(AA237&gt;=100,0,IF(AA238+1&gt;=IF(OR('5-man'!$F$8=TRUE,'5-man'!$F$8="TRUE",'5-man'!$F$8="Yes"),25,50),0,AA238+1)))</f>
        <v/>
      </c>
      <c r="AC238">
        <f>IF('5-man'!AC$29="R",0,IF(AB237&gt;=100,0,IF(AB238+1&gt;=IF(OR('5-man'!$F$8=TRUE,'5-man'!$F$8="TRUE",'5-man'!$F$8="Yes"),25,50),0,AB238+1)))</f>
        <v/>
      </c>
      <c r="AD238">
        <f>IF('5-man'!AD$29="R",0,IF(AC237&gt;=100,0,IF(AC238+1&gt;=IF(OR('5-man'!$F$8=TRUE,'5-man'!$F$8="TRUE",'5-man'!$F$8="Yes"),25,50),0,AC238+1)))</f>
        <v/>
      </c>
      <c r="AE238">
        <f>IF('5-man'!AE$29="R",0,IF(AD237&gt;=100,0,IF(AD238+1&gt;=IF(OR('5-man'!$F$8=TRUE,'5-man'!$F$8="TRUE",'5-man'!$F$8="Yes"),25,50),0,AD238+1)))</f>
        <v/>
      </c>
      <c r="AF238">
        <f>IF('5-man'!AF$29="R",0,IF(AE237&gt;=100,0,IF(AE238+1&gt;=IF(OR('5-man'!$F$8=TRUE,'5-man'!$F$8="TRUE",'5-man'!$F$8="Yes"),25,50),0,AE238+1)))</f>
        <v/>
      </c>
      <c r="AG238">
        <f>IF('5-man'!AG$29="R",0,IF(AF237&gt;=100,0,IF(AF238+1&gt;=IF(OR('5-man'!$F$8=TRUE,'5-man'!$F$8="TRUE",'5-man'!$F$8="Yes"),25,50),0,AF238+1)))</f>
        <v/>
      </c>
      <c r="AH238">
        <f>IF('5-man'!AH$29="R",0,IF(AG237&gt;=100,0,IF(AG238+1&gt;=IF(OR('5-man'!$F$8=TRUE,'5-man'!$F$8="TRUE",'5-man'!$F$8="Yes"),25,50),0,AG238+1)))</f>
        <v/>
      </c>
      <c r="AI238">
        <f>IF('5-man'!AI$29="R",0,IF(AH237&gt;=100,0,IF(AH238+1&gt;=IF(OR('5-man'!$F$8=TRUE,'5-man'!$F$8="TRUE",'5-man'!$F$8="Yes"),25,50),0,AH238+1)))</f>
        <v/>
      </c>
      <c r="AJ238">
        <f>IF('5-man'!AJ$29="R",0,IF(AI237&gt;=100,0,IF(AI238+1&gt;=IF(OR('5-man'!$F$8=TRUE,'5-man'!$F$8="TRUE",'5-man'!$F$8="Yes"),25,50),0,AI238+1)))</f>
        <v/>
      </c>
      <c r="AK238">
        <f>IF('5-man'!AK$29="R",0,IF(AJ237&gt;=100,0,IF(AJ238+1&gt;=IF(OR('5-man'!$F$8=TRUE,'5-man'!$F$8="TRUE",'5-man'!$F$8="Yes"),25,50),0,AJ238+1)))</f>
        <v/>
      </c>
      <c r="AL238">
        <f>IF('5-man'!AL$29="R",0,IF(AK237&gt;=100,0,IF(AK238+1&gt;=IF(OR('5-man'!$F$8=TRUE,'5-man'!$F$8="TRUE",'5-man'!$F$8="Yes"),25,50),0,AK238+1)))</f>
        <v/>
      </c>
      <c r="AM238">
        <f>IF('5-man'!AM$29="R",0,IF(AL237&gt;=100,0,IF(AL238+1&gt;=IF(OR('5-man'!$F$8=TRUE,'5-man'!$F$8="TRUE",'5-man'!$F$8="Yes"),25,50),0,AL238+1)))</f>
        <v/>
      </c>
      <c r="AN238">
        <f>IF('5-man'!AN$29="R",0,IF(AM237&gt;=100,0,IF(AM238+1&gt;=IF(OR('5-man'!$F$8=TRUE,'5-man'!$F$8="TRUE",'5-man'!$F$8="Yes"),25,50),0,AM238+1)))</f>
        <v/>
      </c>
      <c r="AO238">
        <f>IF('5-man'!AO$29="R",0,IF(AN237&gt;=100,0,IF(AN238+1&gt;=IF(OR('5-man'!$F$8=TRUE,'5-man'!$F$8="TRUE",'5-man'!$F$8="Yes"),25,50),0,AN238+1)))</f>
        <v/>
      </c>
      <c r="AP238">
        <f>IF('5-man'!AP$29="R",0,IF(AO237&gt;=100,0,IF(AO238+1&gt;=IF(OR('5-man'!$F$8=TRUE,'5-man'!$F$8="TRUE",'5-man'!$F$8="Yes"),25,50),0,AO238+1)))</f>
        <v/>
      </c>
      <c r="AQ238">
        <f>IF('5-man'!AQ$29="R",0,IF(AP237&gt;=100,0,IF(AP238+1&gt;=IF(OR('5-man'!$F$8=TRUE,'5-man'!$F$8="TRUE",'5-man'!$F$8="Yes"),25,50),0,AP238+1)))</f>
        <v/>
      </c>
      <c r="AR238">
        <f>IF('5-man'!AR$29="R",0,IF(AQ237&gt;=100,0,IF(AQ238+1&gt;=IF(OR('5-man'!$F$8=TRUE,'5-man'!$F$8="TRUE",'5-man'!$F$8="Yes"),25,50),0,AQ238+1)))</f>
        <v/>
      </c>
      <c r="AS238">
        <f>IF('5-man'!AS$29="R",0,IF(AR237&gt;=100,0,IF(AR238+1&gt;=IF(OR('5-man'!$F$8=TRUE,'5-man'!$F$8="TRUE",'5-man'!$F$8="Yes"),25,50),0,AR238+1)))</f>
        <v/>
      </c>
      <c r="AT238">
        <f>IF('5-man'!AT$29="R",0,IF(AS237&gt;=100,0,IF(AS238+1&gt;=IF(OR('5-man'!$F$8=TRUE,'5-man'!$F$8="TRUE",'5-man'!$F$8="Yes"),25,50),0,AS238+1)))</f>
        <v/>
      </c>
      <c r="AU238">
        <f>IF('5-man'!AU$29="R",0,IF(AT237&gt;=100,0,IF(AT238+1&gt;=IF(OR('5-man'!$F$8=TRUE,'5-man'!$F$8="TRUE",'5-man'!$F$8="Yes"),25,50),0,AT238+1)))</f>
        <v/>
      </c>
      <c r="AV238">
        <f>IF('5-man'!AV$29="R",0,IF(AU237&gt;=100,0,IF(AU238+1&gt;=IF(OR('5-man'!$F$8=TRUE,'5-man'!$F$8="TRUE",'5-man'!$F$8="Yes"),25,50),0,AU238+1)))</f>
        <v/>
      </c>
      <c r="AW238">
        <f>IF('5-man'!AW$29="R",0,IF(AV237&gt;=100,0,IF(AV238+1&gt;=IF(OR('5-man'!$F$8=TRUE,'5-man'!$F$8="TRUE",'5-man'!$F$8="Yes"),25,50),0,AV238+1)))</f>
        <v/>
      </c>
      <c r="AX238">
        <f>IF('5-man'!AX$29="R",0,IF(AW237&gt;=100,0,IF(AW238+1&gt;=IF(OR('5-man'!$F$8=TRUE,'5-man'!$F$8="TRUE",'5-man'!$F$8="Yes"),25,50),0,AW238+1)))</f>
        <v/>
      </c>
      <c r="AY238">
        <f>IF('5-man'!AY$29="R",0,IF(AX237&gt;=100,0,IF(AX238+1&gt;=IF(OR('5-man'!$F$8=TRUE,'5-man'!$F$8="TRUE",'5-man'!$F$8="Yes"),25,50),0,AX238+1)))</f>
        <v/>
      </c>
      <c r="AZ238">
        <f>IF('5-man'!AZ$29="R",0,IF(AY237&gt;=100,0,IF(AY238+1&gt;=IF(OR('5-man'!$F$8=TRUE,'5-man'!$F$8="TRUE",'5-man'!$F$8="Yes"),25,50),0,AY238+1)))</f>
        <v/>
      </c>
      <c r="BA238">
        <f>IF('5-man'!BA$29="R",0,IF(AZ237&gt;=100,0,IF(AZ238+1&gt;=IF(OR('5-man'!$F$8=TRUE,'5-man'!$F$8="TRUE",'5-man'!$F$8="Yes"),25,50),0,AZ238+1)))</f>
        <v/>
      </c>
      <c r="BB238">
        <f>IF('5-man'!BB$29="R",0,IF(BA237&gt;=100,0,IF(BA238+1&gt;=IF(OR('5-man'!$F$8=TRUE,'5-man'!$F$8="TRUE",'5-man'!$F$8="Yes"),25,50),0,BA238+1)))</f>
        <v/>
      </c>
      <c r="BC238">
        <f>IF('5-man'!BC$29="R",0,IF(BB237&gt;=100,0,IF(BB238+1&gt;=IF(OR('5-man'!$F$8=TRUE,'5-man'!$F$8="TRUE",'5-man'!$F$8="Yes"),25,50),0,BB238+1)))</f>
        <v/>
      </c>
      <c r="BD238">
        <f>IF('5-man'!BD$29="R",0,IF(BC237&gt;=100,0,IF(BC238+1&gt;=IF(OR('5-man'!$F$8=TRUE,'5-man'!$F$8="TRUE",'5-man'!$F$8="Yes"),25,50),0,BC238+1)))</f>
        <v/>
      </c>
      <c r="BE238">
        <f>IF('5-man'!BE$29="R",0,IF(BD237&gt;=100,0,IF(BD238+1&gt;=IF(OR('5-man'!$F$8=TRUE,'5-man'!$F$8="TRUE",'5-man'!$F$8="Yes"),25,50),0,BD238+1)))</f>
        <v/>
      </c>
      <c r="BF238">
        <f>IF('5-man'!BF$29="R",0,IF(BE237&gt;=100,0,IF(BE238+1&gt;=IF(OR('5-man'!$F$8=TRUE,'5-man'!$F$8="TRUE",'5-man'!$F$8="Yes"),25,50),0,BE238+1)))</f>
        <v/>
      </c>
      <c r="BG238">
        <f>IF('5-man'!BG$29="R",0,IF(BF237&gt;=100,0,IF(BF238+1&gt;=IF(OR('5-man'!$F$8=TRUE,'5-man'!$F$8="TRUE",'5-man'!$F$8="Yes"),25,50),0,BF238+1)))</f>
        <v/>
      </c>
      <c r="BH238">
        <f>IF('5-man'!BH$29="R",0,IF(BG237&gt;=100,0,IF(BG238+1&gt;=IF(OR('5-man'!$F$8=TRUE,'5-man'!$F$8="TRUE",'5-man'!$F$8="Yes"),25,50),0,BG238+1)))</f>
        <v/>
      </c>
      <c r="BI238">
        <f>IF('5-man'!BI$29="R",0,IF(BH237&gt;=100,0,IF(BH238+1&gt;=IF(OR('5-man'!$F$8=TRUE,'5-man'!$F$8="TRUE",'5-man'!$F$8="Yes"),25,50),0,BH238+1)))</f>
        <v/>
      </c>
      <c r="BJ238">
        <f>IF('5-man'!BJ$29="R",0,IF(BI237&gt;=100,0,IF(BI238+1&gt;=IF(OR('5-man'!$F$8=TRUE,'5-man'!$F$8="TRUE",'5-man'!$F$8="Yes"),25,50),0,BI238+1)))</f>
        <v/>
      </c>
      <c r="BK238">
        <f>IF('5-man'!BK$29="R",0,IF(BJ237&gt;=100,0,IF(BJ238+1&gt;=IF(OR('5-man'!$F$8=TRUE,'5-man'!$F$8="TRUE",'5-man'!$F$8="Yes"),25,50),0,BJ238+1)))</f>
        <v/>
      </c>
      <c r="BL238">
        <f>IF('5-man'!BL$29="R",0,IF(BK237&gt;=100,0,IF(BK238+1&gt;=IF(OR('5-man'!$F$8=TRUE,'5-man'!$F$8="TRUE",'5-man'!$F$8="Yes"),25,50),0,BK238+1)))</f>
        <v/>
      </c>
      <c r="BM238">
        <f>IF('5-man'!BM$29="R",0,IF(BL237&gt;=100,0,IF(BL238+1&gt;=IF(OR('5-man'!$F$8=TRUE,'5-man'!$F$8="TRUE",'5-man'!$F$8="Yes"),25,50),0,BL238+1)))</f>
        <v/>
      </c>
      <c r="BN238">
        <f>IF('5-man'!BN$29="R",0,IF(BM237&gt;=100,0,IF(BM238+1&gt;=IF(OR('5-man'!$F$8=TRUE,'5-man'!$F$8="TRUE",'5-man'!$F$8="Yes"),25,50),0,BM238+1)))</f>
        <v/>
      </c>
      <c r="BO238">
        <f>IF('5-man'!BO$29="R",0,IF(BN237&gt;=100,0,IF(BN238+1&gt;=IF(OR('5-man'!$F$8=TRUE,'5-man'!$F$8="TRUE",'5-man'!$F$8="Yes"),25,50),0,BN238+1)))</f>
        <v/>
      </c>
      <c r="BP238">
        <f>IF('5-man'!BP$29="R",0,IF(BO237&gt;=100,0,IF(BO238+1&gt;=IF(OR('5-man'!$F$8=TRUE,'5-man'!$F$8="TRUE",'5-man'!$F$8="Yes"),25,50),0,BO238+1)))</f>
        <v/>
      </c>
      <c r="BQ238">
        <f>IF('5-man'!BQ$29="R",0,IF(BP237&gt;=100,0,IF(BP238+1&gt;=IF(OR('5-man'!$F$8=TRUE,'5-man'!$F$8="TRUE",'5-man'!$F$8="Yes"),25,50),0,BP238+1)))</f>
        <v/>
      </c>
      <c r="BR238">
        <f>IF('5-man'!BR$29="R",0,IF(BQ237&gt;=100,0,IF(BQ238+1&gt;=IF(OR('5-man'!$F$8=TRUE,'5-man'!$F$8="TRUE",'5-man'!$F$8="Yes"),25,50),0,BQ238+1)))</f>
        <v/>
      </c>
      <c r="BS238">
        <f>IF('5-man'!BS$29="R",0,IF(BR237&gt;=100,0,IF(BR238+1&gt;=IF(OR('5-man'!$F$8=TRUE,'5-man'!$F$8="TRUE",'5-man'!$F$8="Yes"),25,50),0,BR238+1)))</f>
        <v/>
      </c>
      <c r="BT238">
        <f>IF('5-man'!BT$29="R",0,IF(BS237&gt;=100,0,IF(BS238+1&gt;=IF(OR('5-man'!$F$8=TRUE,'5-man'!$F$8="TRUE",'5-man'!$F$8="Yes"),25,50),0,BS238+1)))</f>
        <v/>
      </c>
      <c r="BU238">
        <f>IF('5-man'!BU$29="R",0,IF(BT237&gt;=100,0,IF(BT238+1&gt;=IF(OR('5-man'!$F$8=TRUE,'5-man'!$F$8="TRUE",'5-man'!$F$8="Yes"),25,50),0,BT238+1)))</f>
        <v/>
      </c>
      <c r="BV238">
        <f>IF('5-man'!BV$29="R",0,IF(BU237&gt;=100,0,IF(BU238+1&gt;=IF(OR('5-man'!$F$8=TRUE,'5-man'!$F$8="TRUE",'5-man'!$F$8="Yes"),25,50),0,BU238+1)))</f>
        <v/>
      </c>
      <c r="BW238">
        <f>IF('5-man'!BW$29="R",0,IF(BV237&gt;=100,0,IF(BV238+1&gt;=IF(OR('5-man'!$F$8=TRUE,'5-man'!$F$8="TRUE",'5-man'!$F$8="Yes"),25,50),0,BV238+1)))</f>
        <v/>
      </c>
      <c r="BX238">
        <f>IF('5-man'!BX$29="R",0,IF(BW237&gt;=100,0,IF(BW238+1&gt;=IF(OR('5-man'!$F$8=TRUE,'5-man'!$F$8="TRUE",'5-man'!$F$8="Yes"),25,50),0,BW238+1)))</f>
        <v/>
      </c>
      <c r="BY238">
        <f>IF('5-man'!BY$29="R",0,IF(BX237&gt;=100,0,IF(BX238+1&gt;=IF(OR('5-man'!$F$8=TRUE,'5-man'!$F$8="TRUE",'5-man'!$F$8="Yes"),25,50),0,BX238+1)))</f>
        <v/>
      </c>
      <c r="BZ238">
        <f>IF('5-man'!BZ$29="R",0,IF(BY237&gt;=100,0,IF(BY238+1&gt;=IF(OR('5-man'!$F$8=TRUE,'5-man'!$F$8="TRUE",'5-man'!$F$8="Yes"),25,50),0,BY238+1)))</f>
        <v/>
      </c>
      <c r="CA238">
        <f>IF('5-man'!CA$29="R",0,IF(BZ237&gt;=100,0,IF(BZ238+1&gt;=IF(OR('5-man'!$F$8=TRUE,'5-man'!$F$8="TRUE",'5-man'!$F$8="Yes"),25,50),0,BZ238+1)))</f>
        <v/>
      </c>
      <c r="CB238">
        <f>IF('5-man'!CB$29="R",0,IF(CA237&gt;=100,0,IF(CA238+1&gt;=IF(OR('5-man'!$F$8=TRUE,'5-man'!$F$8="TRUE",'5-man'!$F$8="Yes"),25,50),0,CA238+1)))</f>
        <v/>
      </c>
      <c r="CC238">
        <f>IF('5-man'!CC$29="R",0,IF(CB237&gt;=100,0,IF(CB238+1&gt;=IF(OR('5-man'!$F$8=TRUE,'5-man'!$F$8="TRUE",'5-man'!$F$8="Yes"),25,50),0,CB238+1)))</f>
        <v/>
      </c>
      <c r="CD238">
        <f>IF('5-man'!CD$29="R",0,IF(CC237&gt;=100,0,IF(CC238+1&gt;=IF(OR('5-man'!$F$8=TRUE,'5-man'!$F$8="TRUE",'5-man'!$F$8="Yes"),25,50),0,CC238+1)))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row>
    <row r="243">
      <c r="A243" t="inlineStr">
        <is>
          <t>P5 act</t>
        </is>
      </c>
      <c r="C243">
        <f>IF(OR('5-man'!C$29="P",'5-man'!C$29="R",AND('5-man'!C$24&lt;=IF('5-man'!$BF$4="",999,'5-man'!$BF$4),OR('5-man'!C$29="D",LEFT('5-man'!C$29,3)="ST&gt;",OR(AND('5-man'!C$25="ST&gt;5",C204&gt;=100),AND('5-man'!C$26="ST&gt;5",C212&gt;=100),AND('5-man'!C$27="ST&gt;5",C220&gt;=100),AND('5-man'!C$28="ST&gt;5",C228&gt;=100))))),'5-man'!C$24,0)</f>
        <v/>
      </c>
      <c r="D243">
        <f>IF(OR('5-man'!D$29="P",'5-man'!D$29="R",AND('5-man'!D$24&lt;=IF('5-man'!$BF$4="",999,'5-man'!$BF$4),OR('5-man'!D$29="D",LEFT('5-man'!D$29,3)="ST&gt;",OR(AND('5-man'!D$25="ST&gt;5",D204&gt;=100),AND('5-man'!D$26="ST&gt;5",D212&gt;=100),AND('5-man'!D$27="ST&gt;5",D220&gt;=100),AND('5-man'!D$28="ST&gt;5",D228&gt;=100))))),'5-man'!D$24,0)</f>
        <v/>
      </c>
      <c r="E243">
        <f>IF(OR('5-man'!E$29="P",'5-man'!E$29="R",AND('5-man'!E$24&lt;=IF('5-man'!$BF$4="",999,'5-man'!$BF$4),OR('5-man'!E$29="D",LEFT('5-man'!E$29,3)="ST&gt;",OR(AND('5-man'!E$25="ST&gt;5",E204&gt;=100),AND('5-man'!E$26="ST&gt;5",E212&gt;=100),AND('5-man'!E$27="ST&gt;5",E220&gt;=100),AND('5-man'!E$28="ST&gt;5",E228&gt;=100))))),'5-man'!E$24,0)</f>
        <v/>
      </c>
      <c r="F243">
        <f>IF(OR('5-man'!F$29="P",'5-man'!F$29="R",AND('5-man'!F$24&lt;=IF('5-man'!$BF$4="",999,'5-man'!$BF$4),OR('5-man'!F$29="D",LEFT('5-man'!F$29,3)="ST&gt;",OR(AND('5-man'!F$25="ST&gt;5",F204&gt;=100),AND('5-man'!F$26="ST&gt;5",F212&gt;=100),AND('5-man'!F$27="ST&gt;5",F220&gt;=100),AND('5-man'!F$28="ST&gt;5",F228&gt;=100))))),'5-man'!F$24,0)</f>
        <v/>
      </c>
      <c r="G243">
        <f>IF(OR('5-man'!G$29="P",'5-man'!G$29="R",AND('5-man'!G$24&lt;=IF('5-man'!$BF$4="",999,'5-man'!$BF$4),OR('5-man'!G$29="D",LEFT('5-man'!G$29,3)="ST&gt;",OR(AND('5-man'!G$25="ST&gt;5",G204&gt;=100),AND('5-man'!G$26="ST&gt;5",G212&gt;=100),AND('5-man'!G$27="ST&gt;5",G220&gt;=100),AND('5-man'!G$28="ST&gt;5",G228&gt;=100))))),'5-man'!G$24,0)</f>
        <v/>
      </c>
      <c r="H243">
        <f>IF(OR('5-man'!H$29="P",'5-man'!H$29="R",AND('5-man'!H$24&lt;=IF('5-man'!$BF$4="",999,'5-man'!$BF$4),OR('5-man'!H$29="D",LEFT('5-man'!H$29,3)="ST&gt;",OR(AND('5-man'!H$25="ST&gt;5",H204&gt;=100),AND('5-man'!H$26="ST&gt;5",H212&gt;=100),AND('5-man'!H$27="ST&gt;5",H220&gt;=100),AND('5-man'!H$28="ST&gt;5",H228&gt;=100))))),'5-man'!H$24,0)</f>
        <v/>
      </c>
      <c r="I243">
        <f>IF(OR('5-man'!I$29="P",'5-man'!I$29="R",AND('5-man'!I$24&lt;=IF('5-man'!$BF$4="",999,'5-man'!$BF$4),OR('5-man'!I$29="D",LEFT('5-man'!I$29,3)="ST&gt;",OR(AND('5-man'!I$25="ST&gt;5",I204&gt;=100),AND('5-man'!I$26="ST&gt;5",I212&gt;=100),AND('5-man'!I$27="ST&gt;5",I220&gt;=100),AND('5-man'!I$28="ST&gt;5",I228&gt;=100))))),'5-man'!I$24,0)</f>
        <v/>
      </c>
      <c r="J243">
        <f>IF(OR('5-man'!J$29="P",'5-man'!J$29="R",AND('5-man'!J$24&lt;=IF('5-man'!$BF$4="",999,'5-man'!$BF$4),OR('5-man'!J$29="D",LEFT('5-man'!J$29,3)="ST&gt;",OR(AND('5-man'!J$25="ST&gt;5",J204&gt;=100),AND('5-man'!J$26="ST&gt;5",J212&gt;=100),AND('5-man'!J$27="ST&gt;5",J220&gt;=100),AND('5-man'!J$28="ST&gt;5",J228&gt;=100))))),'5-man'!J$24,0)</f>
        <v/>
      </c>
      <c r="K243">
        <f>IF(OR('5-man'!K$29="P",'5-man'!K$29="R",AND('5-man'!K$24&lt;=IF('5-man'!$BF$4="",999,'5-man'!$BF$4),OR('5-man'!K$29="D",LEFT('5-man'!K$29,3)="ST&gt;",OR(AND('5-man'!K$25="ST&gt;5",K204&gt;=100),AND('5-man'!K$26="ST&gt;5",K212&gt;=100),AND('5-man'!K$27="ST&gt;5",K220&gt;=100),AND('5-man'!K$28="ST&gt;5",K228&gt;=100))))),'5-man'!K$24,0)</f>
        <v/>
      </c>
      <c r="L243">
        <f>IF(OR('5-man'!L$29="P",'5-man'!L$29="R",AND('5-man'!L$24&lt;=IF('5-man'!$BF$4="",999,'5-man'!$BF$4),OR('5-man'!L$29="D",LEFT('5-man'!L$29,3)="ST&gt;",OR(AND('5-man'!L$25="ST&gt;5",L204&gt;=100),AND('5-man'!L$26="ST&gt;5",L212&gt;=100),AND('5-man'!L$27="ST&gt;5",L220&gt;=100),AND('5-man'!L$28="ST&gt;5",L228&gt;=100))))),'5-man'!L$24,0)</f>
        <v/>
      </c>
      <c r="M243">
        <f>IF(OR('5-man'!M$29="P",'5-man'!M$29="R",AND('5-man'!M$24&lt;=IF('5-man'!$BF$4="",999,'5-man'!$BF$4),OR('5-man'!M$29="D",LEFT('5-man'!M$29,3)="ST&gt;",OR(AND('5-man'!M$25="ST&gt;5",M204&gt;=100),AND('5-man'!M$26="ST&gt;5",M212&gt;=100),AND('5-man'!M$27="ST&gt;5",M220&gt;=100),AND('5-man'!M$28="ST&gt;5",M228&gt;=100))))),'5-man'!M$24,0)</f>
        <v/>
      </c>
      <c r="N243">
        <f>IF(OR('5-man'!N$29="P",'5-man'!N$29="R",AND('5-man'!N$24&lt;=IF('5-man'!$BF$4="",999,'5-man'!$BF$4),OR('5-man'!N$29="D",LEFT('5-man'!N$29,3)="ST&gt;",OR(AND('5-man'!N$25="ST&gt;5",N204&gt;=100),AND('5-man'!N$26="ST&gt;5",N212&gt;=100),AND('5-man'!N$27="ST&gt;5",N220&gt;=100),AND('5-man'!N$28="ST&gt;5",N228&gt;=100))))),'5-man'!N$24,0)</f>
        <v/>
      </c>
      <c r="O243">
        <f>IF(OR('5-man'!O$29="P",'5-man'!O$29="R",AND('5-man'!O$24&lt;=IF('5-man'!$BF$4="",999,'5-man'!$BF$4),OR('5-man'!O$29="D",LEFT('5-man'!O$29,3)="ST&gt;",OR(AND('5-man'!O$25="ST&gt;5",O204&gt;=100),AND('5-man'!O$26="ST&gt;5",O212&gt;=100),AND('5-man'!O$27="ST&gt;5",O220&gt;=100),AND('5-man'!O$28="ST&gt;5",O228&gt;=100))))),'5-man'!O$24,0)</f>
        <v/>
      </c>
      <c r="P243">
        <f>IF(OR('5-man'!P$29="P",'5-man'!P$29="R",AND('5-man'!P$24&lt;=IF('5-man'!$BF$4="",999,'5-man'!$BF$4),OR('5-man'!P$29="D",LEFT('5-man'!P$29,3)="ST&gt;",OR(AND('5-man'!P$25="ST&gt;5",P204&gt;=100),AND('5-man'!P$26="ST&gt;5",P212&gt;=100),AND('5-man'!P$27="ST&gt;5",P220&gt;=100),AND('5-man'!P$28="ST&gt;5",P228&gt;=100))))),'5-man'!P$24,0)</f>
        <v/>
      </c>
      <c r="Q243">
        <f>IF(OR('5-man'!Q$29="P",'5-man'!Q$29="R",AND('5-man'!Q$24&lt;=IF('5-man'!$BF$4="",999,'5-man'!$BF$4),OR('5-man'!Q$29="D",LEFT('5-man'!Q$29,3)="ST&gt;",OR(AND('5-man'!Q$25="ST&gt;5",Q204&gt;=100),AND('5-man'!Q$26="ST&gt;5",Q212&gt;=100),AND('5-man'!Q$27="ST&gt;5",Q220&gt;=100),AND('5-man'!Q$28="ST&gt;5",Q228&gt;=100))))),'5-man'!Q$24,0)</f>
        <v/>
      </c>
      <c r="R243">
        <f>IF(OR('5-man'!R$29="P",'5-man'!R$29="R",AND('5-man'!R$24&lt;=IF('5-man'!$BF$4="",999,'5-man'!$BF$4),OR('5-man'!R$29="D",LEFT('5-man'!R$29,3)="ST&gt;",OR(AND('5-man'!R$25="ST&gt;5",R204&gt;=100),AND('5-man'!R$26="ST&gt;5",R212&gt;=100),AND('5-man'!R$27="ST&gt;5",R220&gt;=100),AND('5-man'!R$28="ST&gt;5",R228&gt;=100))))),'5-man'!R$24,0)</f>
        <v/>
      </c>
      <c r="S243">
        <f>IF(OR('5-man'!S$29="P",'5-man'!S$29="R",AND('5-man'!S$24&lt;=IF('5-man'!$BF$4="",999,'5-man'!$BF$4),OR('5-man'!S$29="D",LEFT('5-man'!S$29,3)="ST&gt;",OR(AND('5-man'!S$25="ST&gt;5",S204&gt;=100),AND('5-man'!S$26="ST&gt;5",S212&gt;=100),AND('5-man'!S$27="ST&gt;5",S220&gt;=100),AND('5-man'!S$28="ST&gt;5",S228&gt;=100))))),'5-man'!S$24,0)</f>
        <v/>
      </c>
      <c r="T243">
        <f>IF(OR('5-man'!T$29="P",'5-man'!T$29="R",AND('5-man'!T$24&lt;=IF('5-man'!$BF$4="",999,'5-man'!$BF$4),OR('5-man'!T$29="D",LEFT('5-man'!T$29,3)="ST&gt;",OR(AND('5-man'!T$25="ST&gt;5",T204&gt;=100),AND('5-man'!T$26="ST&gt;5",T212&gt;=100),AND('5-man'!T$27="ST&gt;5",T220&gt;=100),AND('5-man'!T$28="ST&gt;5",T228&gt;=100))))),'5-man'!T$24,0)</f>
        <v/>
      </c>
      <c r="U243">
        <f>IF(OR('5-man'!U$29="P",'5-man'!U$29="R",AND('5-man'!U$24&lt;=IF('5-man'!$BF$4="",999,'5-man'!$BF$4),OR('5-man'!U$29="D",LEFT('5-man'!U$29,3)="ST&gt;",OR(AND('5-man'!U$25="ST&gt;5",U204&gt;=100),AND('5-man'!U$26="ST&gt;5",U212&gt;=100),AND('5-man'!U$27="ST&gt;5",U220&gt;=100),AND('5-man'!U$28="ST&gt;5",U228&gt;=100))))),'5-man'!U$24,0)</f>
        <v/>
      </c>
      <c r="V243">
        <f>IF(OR('5-man'!V$29="P",'5-man'!V$29="R",AND('5-man'!V$24&lt;=IF('5-man'!$BF$4="",999,'5-man'!$BF$4),OR('5-man'!V$29="D",LEFT('5-man'!V$29,3)="ST&gt;",OR(AND('5-man'!V$25="ST&gt;5",V204&gt;=100),AND('5-man'!V$26="ST&gt;5",V212&gt;=100),AND('5-man'!V$27="ST&gt;5",V220&gt;=100),AND('5-man'!V$28="ST&gt;5",V228&gt;=100))))),'5-man'!V$24,0)</f>
        <v/>
      </c>
      <c r="W243">
        <f>IF(OR('5-man'!W$29="P",'5-man'!W$29="R",AND('5-man'!W$24&lt;=IF('5-man'!$BF$4="",999,'5-man'!$BF$4),OR('5-man'!W$29="D",LEFT('5-man'!W$29,3)="ST&gt;",OR(AND('5-man'!W$25="ST&gt;5",W204&gt;=100),AND('5-man'!W$26="ST&gt;5",W212&gt;=100),AND('5-man'!W$27="ST&gt;5",W220&gt;=100),AND('5-man'!W$28="ST&gt;5",W228&gt;=100))))),'5-man'!W$24,0)</f>
        <v/>
      </c>
      <c r="X243">
        <f>IF(OR('5-man'!X$29="P",'5-man'!X$29="R",AND('5-man'!X$24&lt;=IF('5-man'!$BF$4="",999,'5-man'!$BF$4),OR('5-man'!X$29="D",LEFT('5-man'!X$29,3)="ST&gt;",OR(AND('5-man'!X$25="ST&gt;5",X204&gt;=100),AND('5-man'!X$26="ST&gt;5",X212&gt;=100),AND('5-man'!X$27="ST&gt;5",X220&gt;=100),AND('5-man'!X$28="ST&gt;5",X228&gt;=100))))),'5-man'!X$24,0)</f>
        <v/>
      </c>
      <c r="Y243">
        <f>IF(OR('5-man'!Y$29="P",'5-man'!Y$29="R",AND('5-man'!Y$24&lt;=IF('5-man'!$BF$4="",999,'5-man'!$BF$4),OR('5-man'!Y$29="D",LEFT('5-man'!Y$29,3)="ST&gt;",OR(AND('5-man'!Y$25="ST&gt;5",Y204&gt;=100),AND('5-man'!Y$26="ST&gt;5",Y212&gt;=100),AND('5-man'!Y$27="ST&gt;5",Y220&gt;=100),AND('5-man'!Y$28="ST&gt;5",Y228&gt;=100))))),'5-man'!Y$24,0)</f>
        <v/>
      </c>
      <c r="Z243">
        <f>IF(OR('5-man'!Z$29="P",'5-man'!Z$29="R",AND('5-man'!Z$24&lt;=IF('5-man'!$BF$4="",999,'5-man'!$BF$4),OR('5-man'!Z$29="D",LEFT('5-man'!Z$29,3)="ST&gt;",OR(AND('5-man'!Z$25="ST&gt;5",Z204&gt;=100),AND('5-man'!Z$26="ST&gt;5",Z212&gt;=100),AND('5-man'!Z$27="ST&gt;5",Z220&gt;=100),AND('5-man'!Z$28="ST&gt;5",Z228&gt;=100))))),'5-man'!Z$24,0)</f>
        <v/>
      </c>
      <c r="AA243">
        <f>IF(OR('5-man'!AA$29="P",'5-man'!AA$29="R",AND('5-man'!AA$24&lt;=IF('5-man'!$BF$4="",999,'5-man'!$BF$4),OR('5-man'!AA$29="D",LEFT('5-man'!AA$29,3)="ST&gt;",OR(AND('5-man'!AA$25="ST&gt;5",AA204&gt;=100),AND('5-man'!AA$26="ST&gt;5",AA212&gt;=100),AND('5-man'!AA$27="ST&gt;5",AA220&gt;=100),AND('5-man'!AA$28="ST&gt;5",AA228&gt;=100))))),'5-man'!AA$24,0)</f>
        <v/>
      </c>
      <c r="AB243">
        <f>IF(OR('5-man'!AB$29="P",'5-man'!AB$29="R",AND('5-man'!AB$24&lt;=IF('5-man'!$BF$4="",999,'5-man'!$BF$4),OR('5-man'!AB$29="D",LEFT('5-man'!AB$29,3)="ST&gt;",OR(AND('5-man'!AB$25="ST&gt;5",AB204&gt;=100),AND('5-man'!AB$26="ST&gt;5",AB212&gt;=100),AND('5-man'!AB$27="ST&gt;5",AB220&gt;=100),AND('5-man'!AB$28="ST&gt;5",AB228&gt;=100))))),'5-man'!AB$24,0)</f>
        <v/>
      </c>
      <c r="AC243">
        <f>IF(OR('5-man'!AC$29="P",'5-man'!AC$29="R",AND('5-man'!AC$24&lt;=IF('5-man'!$BF$4="",999,'5-man'!$BF$4),OR('5-man'!AC$29="D",LEFT('5-man'!AC$29,3)="ST&gt;",OR(AND('5-man'!AC$25="ST&gt;5",AC204&gt;=100),AND('5-man'!AC$26="ST&gt;5",AC212&gt;=100),AND('5-man'!AC$27="ST&gt;5",AC220&gt;=100),AND('5-man'!AC$28="ST&gt;5",AC228&gt;=100))))),'5-man'!AC$24,0)</f>
        <v/>
      </c>
      <c r="AD243">
        <f>IF(OR('5-man'!AD$29="P",'5-man'!AD$29="R",AND('5-man'!AD$24&lt;=IF('5-man'!$BF$4="",999,'5-man'!$BF$4),OR('5-man'!AD$29="D",LEFT('5-man'!AD$29,3)="ST&gt;",OR(AND('5-man'!AD$25="ST&gt;5",AD204&gt;=100),AND('5-man'!AD$26="ST&gt;5",AD212&gt;=100),AND('5-man'!AD$27="ST&gt;5",AD220&gt;=100),AND('5-man'!AD$28="ST&gt;5",AD228&gt;=100))))),'5-man'!AD$24,0)</f>
        <v/>
      </c>
      <c r="AE243">
        <f>IF(OR('5-man'!AE$29="P",'5-man'!AE$29="R",AND('5-man'!AE$24&lt;=IF('5-man'!$BF$4="",999,'5-man'!$BF$4),OR('5-man'!AE$29="D",LEFT('5-man'!AE$29,3)="ST&gt;",OR(AND('5-man'!AE$25="ST&gt;5",AE204&gt;=100),AND('5-man'!AE$26="ST&gt;5",AE212&gt;=100),AND('5-man'!AE$27="ST&gt;5",AE220&gt;=100),AND('5-man'!AE$28="ST&gt;5",AE228&gt;=100))))),'5-man'!AE$24,0)</f>
        <v/>
      </c>
      <c r="AF243">
        <f>IF(OR('5-man'!AF$29="P",'5-man'!AF$29="R",AND('5-man'!AF$24&lt;=IF('5-man'!$BF$4="",999,'5-man'!$BF$4),OR('5-man'!AF$29="D",LEFT('5-man'!AF$29,3)="ST&gt;",OR(AND('5-man'!AF$25="ST&gt;5",AF204&gt;=100),AND('5-man'!AF$26="ST&gt;5",AF212&gt;=100),AND('5-man'!AF$27="ST&gt;5",AF220&gt;=100),AND('5-man'!AF$28="ST&gt;5",AF228&gt;=100))))),'5-man'!AF$24,0)</f>
        <v/>
      </c>
      <c r="AG243">
        <f>IF(OR('5-man'!AG$29="P",'5-man'!AG$29="R",AND('5-man'!AG$24&lt;=IF('5-man'!$BF$4="",999,'5-man'!$BF$4),OR('5-man'!AG$29="D",LEFT('5-man'!AG$29,3)="ST&gt;",OR(AND('5-man'!AG$25="ST&gt;5",AG204&gt;=100),AND('5-man'!AG$26="ST&gt;5",AG212&gt;=100),AND('5-man'!AG$27="ST&gt;5",AG220&gt;=100),AND('5-man'!AG$28="ST&gt;5",AG228&gt;=100))))),'5-man'!AG$24,0)</f>
        <v/>
      </c>
      <c r="AH243">
        <f>IF(OR('5-man'!AH$29="P",'5-man'!AH$29="R",AND('5-man'!AH$24&lt;=IF('5-man'!$BF$4="",999,'5-man'!$BF$4),OR('5-man'!AH$29="D",LEFT('5-man'!AH$29,3)="ST&gt;",OR(AND('5-man'!AH$25="ST&gt;5",AH204&gt;=100),AND('5-man'!AH$26="ST&gt;5",AH212&gt;=100),AND('5-man'!AH$27="ST&gt;5",AH220&gt;=100),AND('5-man'!AH$28="ST&gt;5",AH228&gt;=100))))),'5-man'!AH$24,0)</f>
        <v/>
      </c>
      <c r="AI243">
        <f>IF(OR('5-man'!AI$29="P",'5-man'!AI$29="R",AND('5-man'!AI$24&lt;=IF('5-man'!$BF$4="",999,'5-man'!$BF$4),OR('5-man'!AI$29="D",LEFT('5-man'!AI$29,3)="ST&gt;",OR(AND('5-man'!AI$25="ST&gt;5",AI204&gt;=100),AND('5-man'!AI$26="ST&gt;5",AI212&gt;=100),AND('5-man'!AI$27="ST&gt;5",AI220&gt;=100),AND('5-man'!AI$28="ST&gt;5",AI228&gt;=100))))),'5-man'!AI$24,0)</f>
        <v/>
      </c>
      <c r="AJ243">
        <f>IF(OR('5-man'!AJ$29="P",'5-man'!AJ$29="R",AND('5-man'!AJ$24&lt;=IF('5-man'!$BF$4="",999,'5-man'!$BF$4),OR('5-man'!AJ$29="D",LEFT('5-man'!AJ$29,3)="ST&gt;",OR(AND('5-man'!AJ$25="ST&gt;5",AJ204&gt;=100),AND('5-man'!AJ$26="ST&gt;5",AJ212&gt;=100),AND('5-man'!AJ$27="ST&gt;5",AJ220&gt;=100),AND('5-man'!AJ$28="ST&gt;5",AJ228&gt;=100))))),'5-man'!AJ$24,0)</f>
        <v/>
      </c>
      <c r="AK243">
        <f>IF(OR('5-man'!AK$29="P",'5-man'!AK$29="R",AND('5-man'!AK$24&lt;=IF('5-man'!$BF$4="",999,'5-man'!$BF$4),OR('5-man'!AK$29="D",LEFT('5-man'!AK$29,3)="ST&gt;",OR(AND('5-man'!AK$25="ST&gt;5",AK204&gt;=100),AND('5-man'!AK$26="ST&gt;5",AK212&gt;=100),AND('5-man'!AK$27="ST&gt;5",AK220&gt;=100),AND('5-man'!AK$28="ST&gt;5",AK228&gt;=100))))),'5-man'!AK$24,0)</f>
        <v/>
      </c>
      <c r="AL243">
        <f>IF(OR('5-man'!AL$29="P",'5-man'!AL$29="R",AND('5-man'!AL$24&lt;=IF('5-man'!$BF$4="",999,'5-man'!$BF$4),OR('5-man'!AL$29="D",LEFT('5-man'!AL$29,3)="ST&gt;",OR(AND('5-man'!AL$25="ST&gt;5",AL204&gt;=100),AND('5-man'!AL$26="ST&gt;5",AL212&gt;=100),AND('5-man'!AL$27="ST&gt;5",AL220&gt;=100),AND('5-man'!AL$28="ST&gt;5",AL228&gt;=100))))),'5-man'!AL$24,0)</f>
        <v/>
      </c>
      <c r="AM243">
        <f>IF(OR('5-man'!AM$29="P",'5-man'!AM$29="R",AND('5-man'!AM$24&lt;=IF('5-man'!$BF$4="",999,'5-man'!$BF$4),OR('5-man'!AM$29="D",LEFT('5-man'!AM$29,3)="ST&gt;",OR(AND('5-man'!AM$25="ST&gt;5",AM204&gt;=100),AND('5-man'!AM$26="ST&gt;5",AM212&gt;=100),AND('5-man'!AM$27="ST&gt;5",AM220&gt;=100),AND('5-man'!AM$28="ST&gt;5",AM228&gt;=100))))),'5-man'!AM$24,0)</f>
        <v/>
      </c>
      <c r="AN243">
        <f>IF(OR('5-man'!AN$29="P",'5-man'!AN$29="R",AND('5-man'!AN$24&lt;=IF('5-man'!$BF$4="",999,'5-man'!$BF$4),OR('5-man'!AN$29="D",LEFT('5-man'!AN$29,3)="ST&gt;",OR(AND('5-man'!AN$25="ST&gt;5",AN204&gt;=100),AND('5-man'!AN$26="ST&gt;5",AN212&gt;=100),AND('5-man'!AN$27="ST&gt;5",AN220&gt;=100),AND('5-man'!AN$28="ST&gt;5",AN228&gt;=100))))),'5-man'!AN$24,0)</f>
        <v/>
      </c>
      <c r="AO243">
        <f>IF(OR('5-man'!AO$29="P",'5-man'!AO$29="R",AND('5-man'!AO$24&lt;=IF('5-man'!$BF$4="",999,'5-man'!$BF$4),OR('5-man'!AO$29="D",LEFT('5-man'!AO$29,3)="ST&gt;",OR(AND('5-man'!AO$25="ST&gt;5",AO204&gt;=100),AND('5-man'!AO$26="ST&gt;5",AO212&gt;=100),AND('5-man'!AO$27="ST&gt;5",AO220&gt;=100),AND('5-man'!AO$28="ST&gt;5",AO228&gt;=100))))),'5-man'!AO$24,0)</f>
        <v/>
      </c>
      <c r="AP243">
        <f>IF(OR('5-man'!AP$29="P",'5-man'!AP$29="R",AND('5-man'!AP$24&lt;=IF('5-man'!$BF$4="",999,'5-man'!$BF$4),OR('5-man'!AP$29="D",LEFT('5-man'!AP$29,3)="ST&gt;",OR(AND('5-man'!AP$25="ST&gt;5",AP204&gt;=100),AND('5-man'!AP$26="ST&gt;5",AP212&gt;=100),AND('5-man'!AP$27="ST&gt;5",AP220&gt;=100),AND('5-man'!AP$28="ST&gt;5",AP228&gt;=100))))),'5-man'!AP$24,0)</f>
        <v/>
      </c>
      <c r="AQ243">
        <f>IF(OR('5-man'!AQ$29="P",'5-man'!AQ$29="R",AND('5-man'!AQ$24&lt;=IF('5-man'!$BF$4="",999,'5-man'!$BF$4),OR('5-man'!AQ$29="D",LEFT('5-man'!AQ$29,3)="ST&gt;",OR(AND('5-man'!AQ$25="ST&gt;5",AQ204&gt;=100),AND('5-man'!AQ$26="ST&gt;5",AQ212&gt;=100),AND('5-man'!AQ$27="ST&gt;5",AQ220&gt;=100),AND('5-man'!AQ$28="ST&gt;5",AQ228&gt;=100))))),'5-man'!AQ$24,0)</f>
        <v/>
      </c>
      <c r="AR243">
        <f>IF(OR('5-man'!AR$29="P",'5-man'!AR$29="R",AND('5-man'!AR$24&lt;=IF('5-man'!$BF$4="",999,'5-man'!$BF$4),OR('5-man'!AR$29="D",LEFT('5-man'!AR$29,3)="ST&gt;",OR(AND('5-man'!AR$25="ST&gt;5",AR204&gt;=100),AND('5-man'!AR$26="ST&gt;5",AR212&gt;=100),AND('5-man'!AR$27="ST&gt;5",AR220&gt;=100),AND('5-man'!AR$28="ST&gt;5",AR228&gt;=100))))),'5-man'!AR$24,0)</f>
        <v/>
      </c>
      <c r="AS243">
        <f>IF(OR('5-man'!AS$29="P",'5-man'!AS$29="R",AND('5-man'!AS$24&lt;=IF('5-man'!$BF$4="",999,'5-man'!$BF$4),OR('5-man'!AS$29="D",LEFT('5-man'!AS$29,3)="ST&gt;",OR(AND('5-man'!AS$25="ST&gt;5",AS204&gt;=100),AND('5-man'!AS$26="ST&gt;5",AS212&gt;=100),AND('5-man'!AS$27="ST&gt;5",AS220&gt;=100),AND('5-man'!AS$28="ST&gt;5",AS228&gt;=100))))),'5-man'!AS$24,0)</f>
        <v/>
      </c>
      <c r="AT243">
        <f>IF(OR('5-man'!AT$29="P",'5-man'!AT$29="R",AND('5-man'!AT$24&lt;=IF('5-man'!$BF$4="",999,'5-man'!$BF$4),OR('5-man'!AT$29="D",LEFT('5-man'!AT$29,3)="ST&gt;",OR(AND('5-man'!AT$25="ST&gt;5",AT204&gt;=100),AND('5-man'!AT$26="ST&gt;5",AT212&gt;=100),AND('5-man'!AT$27="ST&gt;5",AT220&gt;=100),AND('5-man'!AT$28="ST&gt;5",AT228&gt;=100))))),'5-man'!AT$24,0)</f>
        <v/>
      </c>
      <c r="AU243">
        <f>IF(OR('5-man'!AU$29="P",'5-man'!AU$29="R",AND('5-man'!AU$24&lt;=IF('5-man'!$BF$4="",999,'5-man'!$BF$4),OR('5-man'!AU$29="D",LEFT('5-man'!AU$29,3)="ST&gt;",OR(AND('5-man'!AU$25="ST&gt;5",AU204&gt;=100),AND('5-man'!AU$26="ST&gt;5",AU212&gt;=100),AND('5-man'!AU$27="ST&gt;5",AU220&gt;=100),AND('5-man'!AU$28="ST&gt;5",AU228&gt;=100))))),'5-man'!AU$24,0)</f>
        <v/>
      </c>
      <c r="AV243">
        <f>IF(OR('5-man'!AV$29="P",'5-man'!AV$29="R",AND('5-man'!AV$24&lt;=IF('5-man'!$BF$4="",999,'5-man'!$BF$4),OR('5-man'!AV$29="D",LEFT('5-man'!AV$29,3)="ST&gt;",OR(AND('5-man'!AV$25="ST&gt;5",AV204&gt;=100),AND('5-man'!AV$26="ST&gt;5",AV212&gt;=100),AND('5-man'!AV$27="ST&gt;5",AV220&gt;=100),AND('5-man'!AV$28="ST&gt;5",AV228&gt;=100))))),'5-man'!AV$24,0)</f>
        <v/>
      </c>
      <c r="AW243">
        <f>IF(OR('5-man'!AW$29="P",'5-man'!AW$29="R",AND('5-man'!AW$24&lt;=IF('5-man'!$BF$4="",999,'5-man'!$BF$4),OR('5-man'!AW$29="D",LEFT('5-man'!AW$29,3)="ST&gt;",OR(AND('5-man'!AW$25="ST&gt;5",AW204&gt;=100),AND('5-man'!AW$26="ST&gt;5",AW212&gt;=100),AND('5-man'!AW$27="ST&gt;5",AW220&gt;=100),AND('5-man'!AW$28="ST&gt;5",AW228&gt;=100))))),'5-man'!AW$24,0)</f>
        <v/>
      </c>
      <c r="AX243">
        <f>IF(OR('5-man'!AX$29="P",'5-man'!AX$29="R",AND('5-man'!AX$24&lt;=IF('5-man'!$BF$4="",999,'5-man'!$BF$4),OR('5-man'!AX$29="D",LEFT('5-man'!AX$29,3)="ST&gt;",OR(AND('5-man'!AX$25="ST&gt;5",AX204&gt;=100),AND('5-man'!AX$26="ST&gt;5",AX212&gt;=100),AND('5-man'!AX$27="ST&gt;5",AX220&gt;=100),AND('5-man'!AX$28="ST&gt;5",AX228&gt;=100))))),'5-man'!AX$24,0)</f>
        <v/>
      </c>
      <c r="AY243">
        <f>IF(OR('5-man'!AY$29="P",'5-man'!AY$29="R",AND('5-man'!AY$24&lt;=IF('5-man'!$BF$4="",999,'5-man'!$BF$4),OR('5-man'!AY$29="D",LEFT('5-man'!AY$29,3)="ST&gt;",OR(AND('5-man'!AY$25="ST&gt;5",AY204&gt;=100),AND('5-man'!AY$26="ST&gt;5",AY212&gt;=100),AND('5-man'!AY$27="ST&gt;5",AY220&gt;=100),AND('5-man'!AY$28="ST&gt;5",AY228&gt;=100))))),'5-man'!AY$24,0)</f>
        <v/>
      </c>
      <c r="AZ243">
        <f>IF(OR('5-man'!AZ$29="P",'5-man'!AZ$29="R",AND('5-man'!AZ$24&lt;=IF('5-man'!$BF$4="",999,'5-man'!$BF$4),OR('5-man'!AZ$29="D",LEFT('5-man'!AZ$29,3)="ST&gt;",OR(AND('5-man'!AZ$25="ST&gt;5",AZ204&gt;=100),AND('5-man'!AZ$26="ST&gt;5",AZ212&gt;=100),AND('5-man'!AZ$27="ST&gt;5",AZ220&gt;=100),AND('5-man'!AZ$28="ST&gt;5",AZ228&gt;=100))))),'5-man'!AZ$24,0)</f>
        <v/>
      </c>
      <c r="BA243">
        <f>IF(OR('5-man'!BA$29="P",'5-man'!BA$29="R",AND('5-man'!BA$24&lt;=IF('5-man'!$BF$4="",999,'5-man'!$BF$4),OR('5-man'!BA$29="D",LEFT('5-man'!BA$29,3)="ST&gt;",OR(AND('5-man'!BA$25="ST&gt;5",BA204&gt;=100),AND('5-man'!BA$26="ST&gt;5",BA212&gt;=100),AND('5-man'!BA$27="ST&gt;5",BA220&gt;=100),AND('5-man'!BA$28="ST&gt;5",BA228&gt;=100))))),'5-man'!BA$24,0)</f>
        <v/>
      </c>
      <c r="BB243">
        <f>IF(OR('5-man'!BB$29="P",'5-man'!BB$29="R",AND('5-man'!BB$24&lt;=IF('5-man'!$BF$4="",999,'5-man'!$BF$4),OR('5-man'!BB$29="D",LEFT('5-man'!BB$29,3)="ST&gt;",OR(AND('5-man'!BB$25="ST&gt;5",BB204&gt;=100),AND('5-man'!BB$26="ST&gt;5",BB212&gt;=100),AND('5-man'!BB$27="ST&gt;5",BB220&gt;=100),AND('5-man'!BB$28="ST&gt;5",BB228&gt;=100))))),'5-man'!BB$24,0)</f>
        <v/>
      </c>
      <c r="BC243">
        <f>IF(OR('5-man'!BC$29="P",'5-man'!BC$29="R",AND('5-man'!BC$24&lt;=IF('5-man'!$BF$4="",999,'5-man'!$BF$4),OR('5-man'!BC$29="D",LEFT('5-man'!BC$29,3)="ST&gt;",OR(AND('5-man'!BC$25="ST&gt;5",BC204&gt;=100),AND('5-man'!BC$26="ST&gt;5",BC212&gt;=100),AND('5-man'!BC$27="ST&gt;5",BC220&gt;=100),AND('5-man'!BC$28="ST&gt;5",BC228&gt;=100))))),'5-man'!BC$24,0)</f>
        <v/>
      </c>
      <c r="BD243">
        <f>IF(OR('5-man'!BD$29="P",'5-man'!BD$29="R",AND('5-man'!BD$24&lt;=IF('5-man'!$BF$4="",999,'5-man'!$BF$4),OR('5-man'!BD$29="D",LEFT('5-man'!BD$29,3)="ST&gt;",OR(AND('5-man'!BD$25="ST&gt;5",BD204&gt;=100),AND('5-man'!BD$26="ST&gt;5",BD212&gt;=100),AND('5-man'!BD$27="ST&gt;5",BD220&gt;=100),AND('5-man'!BD$28="ST&gt;5",BD228&gt;=100))))),'5-man'!BD$24,0)</f>
        <v/>
      </c>
      <c r="BE243">
        <f>IF(OR('5-man'!BE$29="P",'5-man'!BE$29="R",AND('5-man'!BE$24&lt;=IF('5-man'!$BF$4="",999,'5-man'!$BF$4),OR('5-man'!BE$29="D",LEFT('5-man'!BE$29,3)="ST&gt;",OR(AND('5-man'!BE$25="ST&gt;5",BE204&gt;=100),AND('5-man'!BE$26="ST&gt;5",BE212&gt;=100),AND('5-man'!BE$27="ST&gt;5",BE220&gt;=100),AND('5-man'!BE$28="ST&gt;5",BE228&gt;=100))))),'5-man'!BE$24,0)</f>
        <v/>
      </c>
      <c r="BF243">
        <f>IF(OR('5-man'!BF$29="P",'5-man'!BF$29="R",AND('5-man'!BF$24&lt;=IF('5-man'!$BF$4="",999,'5-man'!$BF$4),OR('5-man'!BF$29="D",LEFT('5-man'!BF$29,3)="ST&gt;",OR(AND('5-man'!BF$25="ST&gt;5",BF204&gt;=100),AND('5-man'!BF$26="ST&gt;5",BF212&gt;=100),AND('5-man'!BF$27="ST&gt;5",BF220&gt;=100),AND('5-man'!BF$28="ST&gt;5",BF228&gt;=100))))),'5-man'!BF$24,0)</f>
        <v/>
      </c>
      <c r="BG243">
        <f>IF(OR('5-man'!BG$29="P",'5-man'!BG$29="R",AND('5-man'!BG$24&lt;=IF('5-man'!$BF$4="",999,'5-man'!$BF$4),OR('5-man'!BG$29="D",LEFT('5-man'!BG$29,3)="ST&gt;",OR(AND('5-man'!BG$25="ST&gt;5",BG204&gt;=100),AND('5-man'!BG$26="ST&gt;5",BG212&gt;=100),AND('5-man'!BG$27="ST&gt;5",BG220&gt;=100),AND('5-man'!BG$28="ST&gt;5",BG228&gt;=100))))),'5-man'!BG$24,0)</f>
        <v/>
      </c>
      <c r="BH243">
        <f>IF(OR('5-man'!BH$29="P",'5-man'!BH$29="R",AND('5-man'!BH$24&lt;=IF('5-man'!$BF$4="",999,'5-man'!$BF$4),OR('5-man'!BH$29="D",LEFT('5-man'!BH$29,3)="ST&gt;",OR(AND('5-man'!BH$25="ST&gt;5",BH204&gt;=100),AND('5-man'!BH$26="ST&gt;5",BH212&gt;=100),AND('5-man'!BH$27="ST&gt;5",BH220&gt;=100),AND('5-man'!BH$28="ST&gt;5",BH228&gt;=100))))),'5-man'!BH$24,0)</f>
        <v/>
      </c>
      <c r="BI243">
        <f>IF(OR('5-man'!BI$29="P",'5-man'!BI$29="R",AND('5-man'!BI$24&lt;=IF('5-man'!$BF$4="",999,'5-man'!$BF$4),OR('5-man'!BI$29="D",LEFT('5-man'!BI$29,3)="ST&gt;",OR(AND('5-man'!BI$25="ST&gt;5",BI204&gt;=100),AND('5-man'!BI$26="ST&gt;5",BI212&gt;=100),AND('5-man'!BI$27="ST&gt;5",BI220&gt;=100),AND('5-man'!BI$28="ST&gt;5",BI228&gt;=100))))),'5-man'!BI$24,0)</f>
        <v/>
      </c>
      <c r="BJ243">
        <f>IF(OR('5-man'!BJ$29="P",'5-man'!BJ$29="R",AND('5-man'!BJ$24&lt;=IF('5-man'!$BF$4="",999,'5-man'!$BF$4),OR('5-man'!BJ$29="D",LEFT('5-man'!BJ$29,3)="ST&gt;",OR(AND('5-man'!BJ$25="ST&gt;5",BJ204&gt;=100),AND('5-man'!BJ$26="ST&gt;5",BJ212&gt;=100),AND('5-man'!BJ$27="ST&gt;5",BJ220&gt;=100),AND('5-man'!BJ$28="ST&gt;5",BJ228&gt;=100))))),'5-man'!BJ$24,0)</f>
        <v/>
      </c>
      <c r="BK243">
        <f>IF(OR('5-man'!BK$29="P",'5-man'!BK$29="R",AND('5-man'!BK$24&lt;=IF('5-man'!$BF$4="",999,'5-man'!$BF$4),OR('5-man'!BK$29="D",LEFT('5-man'!BK$29,3)="ST&gt;",OR(AND('5-man'!BK$25="ST&gt;5",BK204&gt;=100),AND('5-man'!BK$26="ST&gt;5",BK212&gt;=100),AND('5-man'!BK$27="ST&gt;5",BK220&gt;=100),AND('5-man'!BK$28="ST&gt;5",BK228&gt;=100))))),'5-man'!BK$24,0)</f>
        <v/>
      </c>
      <c r="BL243">
        <f>IF(OR('5-man'!BL$29="P",'5-man'!BL$29="R",AND('5-man'!BL$24&lt;=IF('5-man'!$BF$4="",999,'5-man'!$BF$4),OR('5-man'!BL$29="D",LEFT('5-man'!BL$29,3)="ST&gt;",OR(AND('5-man'!BL$25="ST&gt;5",BL204&gt;=100),AND('5-man'!BL$26="ST&gt;5",BL212&gt;=100),AND('5-man'!BL$27="ST&gt;5",BL220&gt;=100),AND('5-man'!BL$28="ST&gt;5",BL228&gt;=100))))),'5-man'!BL$24,0)</f>
        <v/>
      </c>
      <c r="BM243">
        <f>IF(OR('5-man'!BM$29="P",'5-man'!BM$29="R",AND('5-man'!BM$24&lt;=IF('5-man'!$BF$4="",999,'5-man'!$BF$4),OR('5-man'!BM$29="D",LEFT('5-man'!BM$29,3)="ST&gt;",OR(AND('5-man'!BM$25="ST&gt;5",BM204&gt;=100),AND('5-man'!BM$26="ST&gt;5",BM212&gt;=100),AND('5-man'!BM$27="ST&gt;5",BM220&gt;=100),AND('5-man'!BM$28="ST&gt;5",BM228&gt;=100))))),'5-man'!BM$24,0)</f>
        <v/>
      </c>
      <c r="BN243">
        <f>IF(OR('5-man'!BN$29="P",'5-man'!BN$29="R",AND('5-man'!BN$24&lt;=IF('5-man'!$BF$4="",999,'5-man'!$BF$4),OR('5-man'!BN$29="D",LEFT('5-man'!BN$29,3)="ST&gt;",OR(AND('5-man'!BN$25="ST&gt;5",BN204&gt;=100),AND('5-man'!BN$26="ST&gt;5",BN212&gt;=100),AND('5-man'!BN$27="ST&gt;5",BN220&gt;=100),AND('5-man'!BN$28="ST&gt;5",BN228&gt;=100))))),'5-man'!BN$24,0)</f>
        <v/>
      </c>
      <c r="BO243">
        <f>IF(OR('5-man'!BO$29="P",'5-man'!BO$29="R",AND('5-man'!BO$24&lt;=IF('5-man'!$BF$4="",999,'5-man'!$BF$4),OR('5-man'!BO$29="D",LEFT('5-man'!BO$29,3)="ST&gt;",OR(AND('5-man'!BO$25="ST&gt;5",BO204&gt;=100),AND('5-man'!BO$26="ST&gt;5",BO212&gt;=100),AND('5-man'!BO$27="ST&gt;5",BO220&gt;=100),AND('5-man'!BO$28="ST&gt;5",BO228&gt;=100))))),'5-man'!BO$24,0)</f>
        <v/>
      </c>
      <c r="BP243">
        <f>IF(OR('5-man'!BP$29="P",'5-man'!BP$29="R",AND('5-man'!BP$24&lt;=IF('5-man'!$BF$4="",999,'5-man'!$BF$4),OR('5-man'!BP$29="D",LEFT('5-man'!BP$29,3)="ST&gt;",OR(AND('5-man'!BP$25="ST&gt;5",BP204&gt;=100),AND('5-man'!BP$26="ST&gt;5",BP212&gt;=100),AND('5-man'!BP$27="ST&gt;5",BP220&gt;=100),AND('5-man'!BP$28="ST&gt;5",BP228&gt;=100))))),'5-man'!BP$24,0)</f>
        <v/>
      </c>
      <c r="BQ243">
        <f>IF(OR('5-man'!BQ$29="P",'5-man'!BQ$29="R",AND('5-man'!BQ$24&lt;=IF('5-man'!$BF$4="",999,'5-man'!$BF$4),OR('5-man'!BQ$29="D",LEFT('5-man'!BQ$29,3)="ST&gt;",OR(AND('5-man'!BQ$25="ST&gt;5",BQ204&gt;=100),AND('5-man'!BQ$26="ST&gt;5",BQ212&gt;=100),AND('5-man'!BQ$27="ST&gt;5",BQ220&gt;=100),AND('5-man'!BQ$28="ST&gt;5",BQ228&gt;=100))))),'5-man'!BQ$24,0)</f>
        <v/>
      </c>
      <c r="BR243">
        <f>IF(OR('5-man'!BR$29="P",'5-man'!BR$29="R",AND('5-man'!BR$24&lt;=IF('5-man'!$BF$4="",999,'5-man'!$BF$4),OR('5-man'!BR$29="D",LEFT('5-man'!BR$29,3)="ST&gt;",OR(AND('5-man'!BR$25="ST&gt;5",BR204&gt;=100),AND('5-man'!BR$26="ST&gt;5",BR212&gt;=100),AND('5-man'!BR$27="ST&gt;5",BR220&gt;=100),AND('5-man'!BR$28="ST&gt;5",BR228&gt;=100))))),'5-man'!BR$24,0)</f>
        <v/>
      </c>
      <c r="BS243">
        <f>IF(OR('5-man'!BS$29="P",'5-man'!BS$29="R",AND('5-man'!BS$24&lt;=IF('5-man'!$BF$4="",999,'5-man'!$BF$4),OR('5-man'!BS$29="D",LEFT('5-man'!BS$29,3)="ST&gt;",OR(AND('5-man'!BS$25="ST&gt;5",BS204&gt;=100),AND('5-man'!BS$26="ST&gt;5",BS212&gt;=100),AND('5-man'!BS$27="ST&gt;5",BS220&gt;=100),AND('5-man'!BS$28="ST&gt;5",BS228&gt;=100))))),'5-man'!BS$24,0)</f>
        <v/>
      </c>
      <c r="BT243">
        <f>IF(OR('5-man'!BT$29="P",'5-man'!BT$29="R",AND('5-man'!BT$24&lt;=IF('5-man'!$BF$4="",999,'5-man'!$BF$4),OR('5-man'!BT$29="D",LEFT('5-man'!BT$29,3)="ST&gt;",OR(AND('5-man'!BT$25="ST&gt;5",BT204&gt;=100),AND('5-man'!BT$26="ST&gt;5",BT212&gt;=100),AND('5-man'!BT$27="ST&gt;5",BT220&gt;=100),AND('5-man'!BT$28="ST&gt;5",BT228&gt;=100))))),'5-man'!BT$24,0)</f>
        <v/>
      </c>
      <c r="BU243">
        <f>IF(OR('5-man'!BU$29="P",'5-man'!BU$29="R",AND('5-man'!BU$24&lt;=IF('5-man'!$BF$4="",999,'5-man'!$BF$4),OR('5-man'!BU$29="D",LEFT('5-man'!BU$29,3)="ST&gt;",OR(AND('5-man'!BU$25="ST&gt;5",BU204&gt;=100),AND('5-man'!BU$26="ST&gt;5",BU212&gt;=100),AND('5-man'!BU$27="ST&gt;5",BU220&gt;=100),AND('5-man'!BU$28="ST&gt;5",BU228&gt;=100))))),'5-man'!BU$24,0)</f>
        <v/>
      </c>
      <c r="BV243">
        <f>IF(OR('5-man'!BV$29="P",'5-man'!BV$29="R",AND('5-man'!BV$24&lt;=IF('5-man'!$BF$4="",999,'5-man'!$BF$4),OR('5-man'!BV$29="D",LEFT('5-man'!BV$29,3)="ST&gt;",OR(AND('5-man'!BV$25="ST&gt;5",BV204&gt;=100),AND('5-man'!BV$26="ST&gt;5",BV212&gt;=100),AND('5-man'!BV$27="ST&gt;5",BV220&gt;=100),AND('5-man'!BV$28="ST&gt;5",BV228&gt;=100))))),'5-man'!BV$24,0)</f>
        <v/>
      </c>
      <c r="BW243">
        <f>IF(OR('5-man'!BW$29="P",'5-man'!BW$29="R",AND('5-man'!BW$24&lt;=IF('5-man'!$BF$4="",999,'5-man'!$BF$4),OR('5-man'!BW$29="D",LEFT('5-man'!BW$29,3)="ST&gt;",OR(AND('5-man'!BW$25="ST&gt;5",BW204&gt;=100),AND('5-man'!BW$26="ST&gt;5",BW212&gt;=100),AND('5-man'!BW$27="ST&gt;5",BW220&gt;=100),AND('5-man'!BW$28="ST&gt;5",BW228&gt;=100))))),'5-man'!BW$24,0)</f>
        <v/>
      </c>
      <c r="BX243">
        <f>IF(OR('5-man'!BX$29="P",'5-man'!BX$29="R",AND('5-man'!BX$24&lt;=IF('5-man'!$BF$4="",999,'5-man'!$BF$4),OR('5-man'!BX$29="D",LEFT('5-man'!BX$29,3)="ST&gt;",OR(AND('5-man'!BX$25="ST&gt;5",BX204&gt;=100),AND('5-man'!BX$26="ST&gt;5",BX212&gt;=100),AND('5-man'!BX$27="ST&gt;5",BX220&gt;=100),AND('5-man'!BX$28="ST&gt;5",BX228&gt;=100))))),'5-man'!BX$24,0)</f>
        <v/>
      </c>
      <c r="BY243">
        <f>IF(OR('5-man'!BY$29="P",'5-man'!BY$29="R",AND('5-man'!BY$24&lt;=IF('5-man'!$BF$4="",999,'5-man'!$BF$4),OR('5-man'!BY$29="D",LEFT('5-man'!BY$29,3)="ST&gt;",OR(AND('5-man'!BY$25="ST&gt;5",BY204&gt;=100),AND('5-man'!BY$26="ST&gt;5",BY212&gt;=100),AND('5-man'!BY$27="ST&gt;5",BY220&gt;=100),AND('5-man'!BY$28="ST&gt;5",BY228&gt;=100))))),'5-man'!BY$24,0)</f>
        <v/>
      </c>
      <c r="BZ243">
        <f>IF(OR('5-man'!BZ$29="P",'5-man'!BZ$29="R",AND('5-man'!BZ$24&lt;=IF('5-man'!$BF$4="",999,'5-man'!$BF$4),OR('5-man'!BZ$29="D",LEFT('5-man'!BZ$29,3)="ST&gt;",OR(AND('5-man'!BZ$25="ST&gt;5",BZ204&gt;=100),AND('5-man'!BZ$26="ST&gt;5",BZ212&gt;=100),AND('5-man'!BZ$27="ST&gt;5",BZ220&gt;=100),AND('5-man'!BZ$28="ST&gt;5",BZ228&gt;=100))))),'5-man'!BZ$24,0)</f>
        <v/>
      </c>
      <c r="CA243">
        <f>IF(OR('5-man'!CA$29="P",'5-man'!CA$29="R",AND('5-man'!CA$24&lt;=IF('5-man'!$BF$4="",999,'5-man'!$BF$4),OR('5-man'!CA$29="D",LEFT('5-man'!CA$29,3)="ST&gt;",OR(AND('5-man'!CA$25="ST&gt;5",CA204&gt;=100),AND('5-man'!CA$26="ST&gt;5",CA212&gt;=100),AND('5-man'!CA$27="ST&gt;5",CA220&gt;=100),AND('5-man'!CA$28="ST&gt;5",CA228&gt;=100))))),'5-man'!CA$24,0)</f>
        <v/>
      </c>
      <c r="CB243">
        <f>IF(OR('5-man'!CB$29="P",'5-man'!CB$29="R",AND('5-man'!CB$24&lt;=IF('5-man'!$BF$4="",999,'5-man'!$BF$4),OR('5-man'!CB$29="D",LEFT('5-man'!CB$29,3)="ST&gt;",OR(AND('5-man'!CB$25="ST&gt;5",CB204&gt;=100),AND('5-man'!CB$26="ST&gt;5",CB212&gt;=100),AND('5-man'!CB$27="ST&gt;5",CB220&gt;=100),AND('5-man'!CB$28="ST&gt;5",CB228&gt;=100))))),'5-man'!CB$24,0)</f>
        <v/>
      </c>
      <c r="CC243">
        <f>IF(OR('5-man'!CC$29="P",'5-man'!CC$29="R",AND('5-man'!CC$24&lt;=IF('5-man'!$BF$4="",999,'5-man'!$BF$4),OR('5-man'!CC$29="D",LEFT('5-man'!CC$29,3)="ST&gt;",OR(AND('5-man'!CC$25="ST&gt;5",CC204&gt;=100),AND('5-man'!CC$26="ST&gt;5",CC212&gt;=100),AND('5-man'!CC$27="ST&gt;5",CC220&gt;=100),AND('5-man'!CC$28="ST&gt;5",CC228&gt;=100))))),'5-man'!CC$24,0)</f>
        <v/>
      </c>
      <c r="CD243">
        <f>IF(OR('5-man'!CD$29="P",'5-man'!CD$29="R",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MIN(100,B253+IF(AND(B253&lt;100,B254+1&gt;=IF(OR('5-man'!$F$42=TRUE,'5-man'!$F$42="TRUE",'5-man'!$F$42="Yes"),25,50)),10,0)+IF('5-man'!C$62=$Q$258,25,0))</f>
        <v/>
      </c>
      <c r="D252">
        <f>MIN(100,C253+IF(AND(C253&lt;100,C254+1&gt;=IF(OR('5-man'!$F$42=TRUE,'5-man'!$F$42="TRUE",'5-man'!$F$42="Yes"),25,50)),10,0)+IF('5-man'!D$62=$Q$258,25,0))</f>
        <v/>
      </c>
      <c r="E252">
        <f>MIN(100,D253+IF(AND(D253&lt;100,D254+1&gt;=IF(OR('5-man'!$F$42=TRUE,'5-man'!$F$42="TRUE",'5-man'!$F$42="Yes"),25,50)),10,0)+IF('5-man'!E$62=$Q$258,25,0))</f>
        <v/>
      </c>
      <c r="F252">
        <f>MIN(100,E253+IF(AND(E253&lt;100,E254+1&gt;=IF(OR('5-man'!$F$42=TRUE,'5-man'!$F$42="TRUE",'5-man'!$F$42="Yes"),25,50)),10,0)+IF('5-man'!F$62=$Q$258,25,0))</f>
        <v/>
      </c>
      <c r="G252">
        <f>MIN(100,F253+IF(AND(F253&lt;100,F254+1&gt;=IF(OR('5-man'!$F$42=TRUE,'5-man'!$F$42="TRUE",'5-man'!$F$42="Yes"),25,50)),10,0)+IF('5-man'!G$62=$Q$258,25,0))</f>
        <v/>
      </c>
      <c r="H252">
        <f>MIN(100,G253+IF(AND(G253&lt;100,G254+1&gt;=IF(OR('5-man'!$F$42=TRUE,'5-man'!$F$42="TRUE",'5-man'!$F$42="Yes"),25,50)),10,0)+IF('5-man'!H$62=$Q$258,25,0))</f>
        <v/>
      </c>
      <c r="I252">
        <f>MIN(100,H253+IF(AND(H253&lt;100,H254+1&gt;=IF(OR('5-man'!$F$42=TRUE,'5-man'!$F$42="TRUE",'5-man'!$F$42="Yes"),25,50)),10,0)+IF('5-man'!I$62=$Q$258,25,0))</f>
        <v/>
      </c>
      <c r="J252">
        <f>MIN(100,I253+IF(AND(I253&lt;100,I254+1&gt;=IF(OR('5-man'!$F$42=TRUE,'5-man'!$F$42="TRUE",'5-man'!$F$42="Yes"),25,50)),10,0)+IF('5-man'!J$62=$Q$258,25,0))</f>
        <v/>
      </c>
      <c r="K252">
        <f>MIN(100,J253+IF(AND(J253&lt;100,J254+1&gt;=IF(OR('5-man'!$F$42=TRUE,'5-man'!$F$42="TRUE",'5-man'!$F$42="Yes"),25,50)),10,0)+IF('5-man'!K$62=$Q$258,25,0))</f>
        <v/>
      </c>
      <c r="L252">
        <f>MIN(100,K253+IF(AND(K253&lt;100,K254+1&gt;=IF(OR('5-man'!$F$42=TRUE,'5-man'!$F$42="TRUE",'5-man'!$F$42="Yes"),25,50)),10,0)+IF('5-man'!L$62=$Q$258,25,0))</f>
        <v/>
      </c>
      <c r="M252">
        <f>MIN(100,L253+IF(AND(L253&lt;100,L254+1&gt;=IF(OR('5-man'!$F$42=TRUE,'5-man'!$F$42="TRUE",'5-man'!$F$42="Yes"),25,50)),10,0)+IF('5-man'!M$62=$Q$258,25,0))</f>
        <v/>
      </c>
      <c r="N252">
        <f>MIN(100,M253+IF(AND(M253&lt;100,M254+1&gt;=IF(OR('5-man'!$F$42=TRUE,'5-man'!$F$42="TRUE",'5-man'!$F$42="Yes"),25,50)),10,0)+IF('5-man'!N$62=$Q$258,25,0))</f>
        <v/>
      </c>
      <c r="O252">
        <f>MIN(100,N253+IF(AND(N253&lt;100,N254+1&gt;=IF(OR('5-man'!$F$42=TRUE,'5-man'!$F$42="TRUE",'5-man'!$F$42="Yes"),25,50)),10,0)+IF('5-man'!O$62=$Q$258,25,0))</f>
        <v/>
      </c>
      <c r="P252">
        <f>MIN(100,O253+IF(AND(O253&lt;100,O254+1&gt;=IF(OR('5-man'!$F$42=TRUE,'5-man'!$F$42="TRUE",'5-man'!$F$42="Yes"),25,50)),10,0)+IF('5-man'!P$62=$Q$258,25,0))</f>
        <v/>
      </c>
      <c r="Q252">
        <f>MIN(100,P253+IF(AND(P253&lt;100,P254+1&gt;=IF(OR('5-man'!$F$42=TRUE,'5-man'!$F$42="TRUE",'5-man'!$F$42="Yes"),25,50)),10,0)+IF('5-man'!Q$62=$Q$258,25,0))</f>
        <v/>
      </c>
      <c r="R252">
        <f>MIN(100,Q253+IF(AND(Q253&lt;100,Q254+1&gt;=IF(OR('5-man'!$F$42=TRUE,'5-man'!$F$42="TRUE",'5-man'!$F$42="Yes"),25,50)),10,0)+IF('5-man'!R$62=$Q$258,25,0))</f>
        <v/>
      </c>
      <c r="S252">
        <f>MIN(100,R253+IF(AND(R253&lt;100,R254+1&gt;=IF(OR('5-man'!$F$42=TRUE,'5-man'!$F$42="TRUE",'5-man'!$F$42="Yes"),25,50)),10,0)+IF('5-man'!S$62=$Q$258,25,0))</f>
        <v/>
      </c>
      <c r="T252">
        <f>MIN(100,S253+IF(AND(S253&lt;100,S254+1&gt;=IF(OR('5-man'!$F$42=TRUE,'5-man'!$F$42="TRUE",'5-man'!$F$42="Yes"),25,50)),10,0)+IF('5-man'!T$62=$Q$258,25,0))</f>
        <v/>
      </c>
      <c r="U252">
        <f>MIN(100,T253+IF(AND(T253&lt;100,T254+1&gt;=IF(OR('5-man'!$F$42=TRUE,'5-man'!$F$42="TRUE",'5-man'!$F$42="Yes"),25,50)),10,0)+IF('5-man'!U$62=$Q$258,25,0))</f>
        <v/>
      </c>
      <c r="V252">
        <f>MIN(100,U253+IF(AND(U253&lt;100,U254+1&gt;=IF(OR('5-man'!$F$42=TRUE,'5-man'!$F$42="TRUE",'5-man'!$F$42="Yes"),25,50)),10,0)+IF('5-man'!V$62=$Q$258,25,0))</f>
        <v/>
      </c>
      <c r="W252">
        <f>MIN(100,V253+IF(AND(V253&lt;100,V254+1&gt;=IF(OR('5-man'!$F$42=TRUE,'5-man'!$F$42="TRUE",'5-man'!$F$42="Yes"),25,50)),10,0)+IF('5-man'!W$62=$Q$258,25,0))</f>
        <v/>
      </c>
      <c r="X252">
        <f>MIN(100,W253+IF(AND(W253&lt;100,W254+1&gt;=IF(OR('5-man'!$F$42=TRUE,'5-man'!$F$42="TRUE",'5-man'!$F$42="Yes"),25,50)),10,0)+IF('5-man'!X$62=$Q$258,25,0))</f>
        <v/>
      </c>
      <c r="Y252">
        <f>MIN(100,X253+IF(AND(X253&lt;100,X254+1&gt;=IF(OR('5-man'!$F$42=TRUE,'5-man'!$F$42="TRUE",'5-man'!$F$42="Yes"),25,50)),10,0)+IF('5-man'!Y$62=$Q$258,25,0))</f>
        <v/>
      </c>
      <c r="Z252">
        <f>MIN(100,Y253+IF(AND(Y253&lt;100,Y254+1&gt;=IF(OR('5-man'!$F$42=TRUE,'5-man'!$F$42="TRUE",'5-man'!$F$42="Yes"),25,50)),10,0)+IF('5-man'!Z$62=$Q$258,25,0))</f>
        <v/>
      </c>
      <c r="AA252">
        <f>MIN(100,Z253+IF(AND(Z253&lt;100,Z254+1&gt;=IF(OR('5-man'!$F$42=TRUE,'5-man'!$F$42="TRUE",'5-man'!$F$42="Yes"),25,50)),10,0)+IF('5-man'!AA$62=$Q$258,25,0))</f>
        <v/>
      </c>
      <c r="AB252">
        <f>MIN(100,AA253+IF(AND(AA253&lt;100,AA254+1&gt;=IF(OR('5-man'!$F$42=TRUE,'5-man'!$F$42="TRUE",'5-man'!$F$42="Yes"),25,50)),10,0)+IF('5-man'!AB$62=$Q$258,25,0))</f>
        <v/>
      </c>
      <c r="AC252">
        <f>MIN(100,AB253+IF(AND(AB253&lt;100,AB254+1&gt;=IF(OR('5-man'!$F$42=TRUE,'5-man'!$F$42="TRUE",'5-man'!$F$42="Yes"),25,50)),10,0)+IF('5-man'!AC$62=$Q$258,25,0))</f>
        <v/>
      </c>
      <c r="AD252">
        <f>MIN(100,AC253+IF(AND(AC253&lt;100,AC254+1&gt;=IF(OR('5-man'!$F$42=TRUE,'5-man'!$F$42="TRUE",'5-man'!$F$42="Yes"),25,50)),10,0)+IF('5-man'!AD$62=$Q$258,25,0))</f>
        <v/>
      </c>
      <c r="AE252">
        <f>MIN(100,AD253+IF(AND(AD253&lt;100,AD254+1&gt;=IF(OR('5-man'!$F$42=TRUE,'5-man'!$F$42="TRUE",'5-man'!$F$42="Yes"),25,50)),10,0)+IF('5-man'!AE$62=$Q$258,25,0))</f>
        <v/>
      </c>
      <c r="AF252">
        <f>MIN(100,AE253+IF(AND(AE253&lt;100,AE254+1&gt;=IF(OR('5-man'!$F$42=TRUE,'5-man'!$F$42="TRUE",'5-man'!$F$42="Yes"),25,50)),10,0)+IF('5-man'!AF$62=$Q$258,25,0))</f>
        <v/>
      </c>
      <c r="AG252">
        <f>MIN(100,AF253+IF(AND(AF253&lt;100,AF254+1&gt;=IF(OR('5-man'!$F$42=TRUE,'5-man'!$F$42="TRUE",'5-man'!$F$42="Yes"),25,50)),10,0)+IF('5-man'!AG$62=$Q$258,25,0))</f>
        <v/>
      </c>
      <c r="AH252">
        <f>MIN(100,AG253+IF(AND(AG253&lt;100,AG254+1&gt;=IF(OR('5-man'!$F$42=TRUE,'5-man'!$F$42="TRUE",'5-man'!$F$42="Yes"),25,50)),10,0)+IF('5-man'!AH$62=$Q$258,25,0))</f>
        <v/>
      </c>
      <c r="AI252">
        <f>MIN(100,AH253+IF(AND(AH253&lt;100,AH254+1&gt;=IF(OR('5-man'!$F$42=TRUE,'5-man'!$F$42="TRUE",'5-man'!$F$42="Yes"),25,50)),10,0)+IF('5-man'!AI$62=$Q$258,25,0))</f>
        <v/>
      </c>
      <c r="AJ252">
        <f>MIN(100,AI253+IF(AND(AI253&lt;100,AI254+1&gt;=IF(OR('5-man'!$F$42=TRUE,'5-man'!$F$42="TRUE",'5-man'!$F$42="Yes"),25,50)),10,0)+IF('5-man'!AJ$62=$Q$258,25,0))</f>
        <v/>
      </c>
      <c r="AK252">
        <f>MIN(100,AJ253+IF(AND(AJ253&lt;100,AJ254+1&gt;=IF(OR('5-man'!$F$42=TRUE,'5-man'!$F$42="TRUE",'5-man'!$F$42="Yes"),25,50)),10,0)+IF('5-man'!AK$62=$Q$258,25,0))</f>
        <v/>
      </c>
      <c r="AL252">
        <f>MIN(100,AK253+IF(AND(AK253&lt;100,AK254+1&gt;=IF(OR('5-man'!$F$42=TRUE,'5-man'!$F$42="TRUE",'5-man'!$F$42="Yes"),25,50)),10,0)+IF('5-man'!AL$62=$Q$258,25,0))</f>
        <v/>
      </c>
      <c r="AM252">
        <f>MIN(100,AL253+IF(AND(AL253&lt;100,AL254+1&gt;=IF(OR('5-man'!$F$42=TRUE,'5-man'!$F$42="TRUE",'5-man'!$F$42="Yes"),25,50)),10,0)+IF('5-man'!AM$62=$Q$258,25,0))</f>
        <v/>
      </c>
      <c r="AN252">
        <f>MIN(100,AM253+IF(AND(AM253&lt;100,AM254+1&gt;=IF(OR('5-man'!$F$42=TRUE,'5-man'!$F$42="TRUE",'5-man'!$F$42="Yes"),25,50)),10,0)+IF('5-man'!AN$62=$Q$258,25,0))</f>
        <v/>
      </c>
      <c r="AO252">
        <f>MIN(100,AN253+IF(AND(AN253&lt;100,AN254+1&gt;=IF(OR('5-man'!$F$42=TRUE,'5-man'!$F$42="TRUE",'5-man'!$F$42="Yes"),25,50)),10,0)+IF('5-man'!AO$62=$Q$258,25,0))</f>
        <v/>
      </c>
      <c r="AP252">
        <f>MIN(100,AO253+IF(AND(AO253&lt;100,AO254+1&gt;=IF(OR('5-man'!$F$42=TRUE,'5-man'!$F$42="TRUE",'5-man'!$F$42="Yes"),25,50)),10,0)+IF('5-man'!AP$62=$Q$258,25,0))</f>
        <v/>
      </c>
      <c r="AQ252">
        <f>MIN(100,AP253+IF(AND(AP253&lt;100,AP254+1&gt;=IF(OR('5-man'!$F$42=TRUE,'5-man'!$F$42="TRUE",'5-man'!$F$42="Yes"),25,50)),10,0)+IF('5-man'!AQ$62=$Q$258,25,0))</f>
        <v/>
      </c>
      <c r="AR252">
        <f>MIN(100,AQ253+IF(AND(AQ253&lt;100,AQ254+1&gt;=IF(OR('5-man'!$F$42=TRUE,'5-man'!$F$42="TRUE",'5-man'!$F$42="Yes"),25,50)),10,0)+IF('5-man'!AR$62=$Q$258,25,0))</f>
        <v/>
      </c>
      <c r="AS252">
        <f>MIN(100,AR253+IF(AND(AR253&lt;100,AR254+1&gt;=IF(OR('5-man'!$F$42=TRUE,'5-man'!$F$42="TRUE",'5-man'!$F$42="Yes"),25,50)),10,0)+IF('5-man'!AS$62=$Q$258,25,0))</f>
        <v/>
      </c>
      <c r="AT252">
        <f>MIN(100,AS253+IF(AND(AS253&lt;100,AS254+1&gt;=IF(OR('5-man'!$F$42=TRUE,'5-man'!$F$42="TRUE",'5-man'!$F$42="Yes"),25,50)),10,0)+IF('5-man'!AT$62=$Q$258,25,0))</f>
        <v/>
      </c>
      <c r="AU252">
        <f>MIN(100,AT253+IF(AND(AT253&lt;100,AT254+1&gt;=IF(OR('5-man'!$F$42=TRUE,'5-man'!$F$42="TRUE",'5-man'!$F$42="Yes"),25,50)),10,0)+IF('5-man'!AU$62=$Q$258,25,0))</f>
        <v/>
      </c>
      <c r="AV252">
        <f>MIN(100,AU253+IF(AND(AU253&lt;100,AU254+1&gt;=IF(OR('5-man'!$F$42=TRUE,'5-man'!$F$42="TRUE",'5-man'!$F$42="Yes"),25,50)),10,0)+IF('5-man'!AV$62=$Q$258,25,0))</f>
        <v/>
      </c>
      <c r="AW252">
        <f>MIN(100,AV253+IF(AND(AV253&lt;100,AV254+1&gt;=IF(OR('5-man'!$F$42=TRUE,'5-man'!$F$42="TRUE",'5-man'!$F$42="Yes"),25,50)),10,0)+IF('5-man'!AW$62=$Q$258,25,0))</f>
        <v/>
      </c>
      <c r="AX252">
        <f>MIN(100,AW253+IF(AND(AW253&lt;100,AW254+1&gt;=IF(OR('5-man'!$F$42=TRUE,'5-man'!$F$42="TRUE",'5-man'!$F$42="Yes"),25,50)),10,0)+IF('5-man'!AX$62=$Q$258,25,0))</f>
        <v/>
      </c>
      <c r="AY252">
        <f>MIN(100,AX253+IF(AND(AX253&lt;100,AX254+1&gt;=IF(OR('5-man'!$F$42=TRUE,'5-man'!$F$42="TRUE",'5-man'!$F$42="Yes"),25,50)),10,0)+IF('5-man'!AY$62=$Q$258,25,0))</f>
        <v/>
      </c>
      <c r="AZ252">
        <f>MIN(100,AY253+IF(AND(AY253&lt;100,AY254+1&gt;=IF(OR('5-man'!$F$42=TRUE,'5-man'!$F$42="TRUE",'5-man'!$F$42="Yes"),25,50)),10,0)+IF('5-man'!AZ$62=$Q$258,25,0))</f>
        <v/>
      </c>
      <c r="BA252">
        <f>MIN(100,AZ253+IF(AND(AZ253&lt;100,AZ254+1&gt;=IF(OR('5-man'!$F$42=TRUE,'5-man'!$F$42="TRUE",'5-man'!$F$42="Yes"),25,50)),10,0)+IF('5-man'!BA$62=$Q$258,25,0))</f>
        <v/>
      </c>
      <c r="BB252">
        <f>MIN(100,BA253+IF(AND(BA253&lt;100,BA254+1&gt;=IF(OR('5-man'!$F$42=TRUE,'5-man'!$F$42="TRUE",'5-man'!$F$42="Yes"),25,50)),10,0)+IF('5-man'!BB$62=$Q$258,25,0))</f>
        <v/>
      </c>
      <c r="BC252">
        <f>MIN(100,BB253+IF(AND(BB253&lt;100,BB254+1&gt;=IF(OR('5-man'!$F$42=TRUE,'5-man'!$F$42="TRUE",'5-man'!$F$42="Yes"),25,50)),10,0)+IF('5-man'!BC$62=$Q$258,25,0))</f>
        <v/>
      </c>
      <c r="BD252">
        <f>MIN(100,BC253+IF(AND(BC253&lt;100,BC254+1&gt;=IF(OR('5-man'!$F$42=TRUE,'5-man'!$F$42="TRUE",'5-man'!$F$42="Yes"),25,50)),10,0)+IF('5-man'!BD$62=$Q$258,25,0))</f>
        <v/>
      </c>
      <c r="BE252">
        <f>MIN(100,BD253+IF(AND(BD253&lt;100,BD254+1&gt;=IF(OR('5-man'!$F$42=TRUE,'5-man'!$F$42="TRUE",'5-man'!$F$42="Yes"),25,50)),10,0)+IF('5-man'!BE$62=$Q$258,25,0))</f>
        <v/>
      </c>
      <c r="BF252">
        <f>MIN(100,BE253+IF(AND(BE253&lt;100,BE254+1&gt;=IF(OR('5-man'!$F$42=TRUE,'5-man'!$F$42="TRUE",'5-man'!$F$42="Yes"),25,50)),10,0)+IF('5-man'!BF$62=$Q$258,25,0))</f>
        <v/>
      </c>
      <c r="BG252">
        <f>MIN(100,BF253+IF(AND(BF253&lt;100,BF254+1&gt;=IF(OR('5-man'!$F$42=TRUE,'5-man'!$F$42="TRUE",'5-man'!$F$42="Yes"),25,50)),10,0)+IF('5-man'!BG$62=$Q$258,25,0))</f>
        <v/>
      </c>
      <c r="BH252">
        <f>MIN(100,BG253+IF(AND(BG253&lt;100,BG254+1&gt;=IF(OR('5-man'!$F$42=TRUE,'5-man'!$F$42="TRUE",'5-man'!$F$42="Yes"),25,50)),10,0)+IF('5-man'!BH$62=$Q$258,25,0))</f>
        <v/>
      </c>
      <c r="BI252">
        <f>MIN(100,BH253+IF(AND(BH253&lt;100,BH254+1&gt;=IF(OR('5-man'!$F$42=TRUE,'5-man'!$F$42="TRUE",'5-man'!$F$42="Yes"),25,50)),10,0)+IF('5-man'!BI$62=$Q$258,25,0))</f>
        <v/>
      </c>
      <c r="BJ252">
        <f>MIN(100,BI253+IF(AND(BI253&lt;100,BI254+1&gt;=IF(OR('5-man'!$F$42=TRUE,'5-man'!$F$42="TRUE",'5-man'!$F$42="Yes"),25,50)),10,0)+IF('5-man'!BJ$62=$Q$258,25,0))</f>
        <v/>
      </c>
      <c r="BK252">
        <f>MIN(100,BJ253+IF(AND(BJ253&lt;100,BJ254+1&gt;=IF(OR('5-man'!$F$42=TRUE,'5-man'!$F$42="TRUE",'5-man'!$F$42="Yes"),25,50)),10,0)+IF('5-man'!BK$62=$Q$258,25,0))</f>
        <v/>
      </c>
      <c r="BL252">
        <f>MIN(100,BK253+IF(AND(BK253&lt;100,BK254+1&gt;=IF(OR('5-man'!$F$42=TRUE,'5-man'!$F$42="TRUE",'5-man'!$F$42="Yes"),25,50)),10,0)+IF('5-man'!BL$62=$Q$258,25,0))</f>
        <v/>
      </c>
      <c r="BM252">
        <f>MIN(100,BL253+IF(AND(BL253&lt;100,BL254+1&gt;=IF(OR('5-man'!$F$42=TRUE,'5-man'!$F$42="TRUE",'5-man'!$F$42="Yes"),25,50)),10,0)+IF('5-man'!BM$62=$Q$258,25,0))</f>
        <v/>
      </c>
      <c r="BN252">
        <f>MIN(100,BM253+IF(AND(BM253&lt;100,BM254+1&gt;=IF(OR('5-man'!$F$42=TRUE,'5-man'!$F$42="TRUE",'5-man'!$F$42="Yes"),25,50)),10,0)+IF('5-man'!BN$62=$Q$258,25,0))</f>
        <v/>
      </c>
      <c r="BO252">
        <f>MIN(100,BN253+IF(AND(BN253&lt;100,BN254+1&gt;=IF(OR('5-man'!$F$42=TRUE,'5-man'!$F$42="TRUE",'5-man'!$F$42="Yes"),25,50)),10,0)+IF('5-man'!BO$62=$Q$258,25,0))</f>
        <v/>
      </c>
      <c r="BP252">
        <f>MIN(100,BO253+IF(AND(BO253&lt;100,BO254+1&gt;=IF(OR('5-man'!$F$42=TRUE,'5-man'!$F$42="TRUE",'5-man'!$F$42="Yes"),25,50)),10,0)+IF('5-man'!BP$62=$Q$258,25,0))</f>
        <v/>
      </c>
      <c r="BQ252">
        <f>MIN(100,BP253+IF(AND(BP253&lt;100,BP254+1&gt;=IF(OR('5-man'!$F$42=TRUE,'5-man'!$F$42="TRUE",'5-man'!$F$42="Yes"),25,50)),10,0)+IF('5-man'!BQ$62=$Q$258,25,0))</f>
        <v/>
      </c>
      <c r="BR252">
        <f>MIN(100,BQ253+IF(AND(BQ253&lt;100,BQ254+1&gt;=IF(OR('5-man'!$F$42=TRUE,'5-man'!$F$42="TRUE",'5-man'!$F$42="Yes"),25,50)),10,0)+IF('5-man'!BR$62=$Q$258,25,0))</f>
        <v/>
      </c>
      <c r="BS252">
        <f>MIN(100,BR253+IF(AND(BR253&lt;100,BR254+1&gt;=IF(OR('5-man'!$F$42=TRUE,'5-man'!$F$42="TRUE",'5-man'!$F$42="Yes"),25,50)),10,0)+IF('5-man'!BS$62=$Q$258,25,0))</f>
        <v/>
      </c>
      <c r="BT252">
        <f>MIN(100,BS253+IF(AND(BS253&lt;100,BS254+1&gt;=IF(OR('5-man'!$F$42=TRUE,'5-man'!$F$42="TRUE",'5-man'!$F$42="Yes"),25,50)),10,0)+IF('5-man'!BT$62=$Q$258,25,0))</f>
        <v/>
      </c>
      <c r="BU252">
        <f>MIN(100,BT253+IF(AND(BT253&lt;100,BT254+1&gt;=IF(OR('5-man'!$F$42=TRUE,'5-man'!$F$42="TRUE",'5-man'!$F$42="Yes"),25,50)),10,0)+IF('5-man'!BU$62=$Q$258,25,0))</f>
        <v/>
      </c>
      <c r="BV252">
        <f>MIN(100,BU253+IF(AND(BU253&lt;100,BU254+1&gt;=IF(OR('5-man'!$F$42=TRUE,'5-man'!$F$42="TRUE",'5-man'!$F$42="Yes"),25,50)),10,0)+IF('5-man'!BV$62=$Q$258,25,0))</f>
        <v/>
      </c>
      <c r="BW252">
        <f>MIN(100,BV253+IF(AND(BV253&lt;100,BV254+1&gt;=IF(OR('5-man'!$F$42=TRUE,'5-man'!$F$42="TRUE",'5-man'!$F$42="Yes"),25,50)),10,0)+IF('5-man'!BW$62=$Q$258,25,0))</f>
        <v/>
      </c>
      <c r="BX252">
        <f>MIN(100,BW253+IF(AND(BW253&lt;100,BW254+1&gt;=IF(OR('5-man'!$F$42=TRUE,'5-man'!$F$42="TRUE",'5-man'!$F$42="Yes"),25,50)),10,0)+IF('5-man'!BX$62=$Q$258,25,0))</f>
        <v/>
      </c>
      <c r="BY252">
        <f>MIN(100,BX253+IF(AND(BX253&lt;100,BX254+1&gt;=IF(OR('5-man'!$F$42=TRUE,'5-man'!$F$42="TRUE",'5-man'!$F$42="Yes"),25,50)),10,0)+IF('5-man'!BY$62=$Q$258,25,0))</f>
        <v/>
      </c>
      <c r="BZ252">
        <f>MIN(100,BY253+IF(AND(BY253&lt;100,BY254+1&gt;=IF(OR('5-man'!$F$42=TRUE,'5-man'!$F$42="TRUE",'5-man'!$F$42="Yes"),25,50)),10,0)+IF('5-man'!BZ$62=$Q$258,25,0))</f>
        <v/>
      </c>
      <c r="CA252">
        <f>MIN(100,BZ253+IF(AND(BZ253&lt;100,BZ254+1&gt;=IF(OR('5-man'!$F$42=TRUE,'5-man'!$F$42="TRUE",'5-man'!$F$42="Yes"),25,50)),10,0)+IF('5-man'!CA$62=$Q$258,25,0))</f>
        <v/>
      </c>
      <c r="CB252">
        <f>MIN(100,CA253+IF(AND(CA253&lt;100,CA254+1&gt;=IF(OR('5-man'!$F$42=TRUE,'5-man'!$F$42="TRUE",'5-man'!$F$42="Yes"),25,50)),10,0)+IF('5-man'!CB$62=$Q$258,25,0))</f>
        <v/>
      </c>
      <c r="CC252">
        <f>MIN(100,CB253+IF(AND(CB253&lt;100,CB254+1&gt;=IF(OR('5-man'!$F$42=TRUE,'5-man'!$F$42="TRUE",'5-man'!$F$42="Yes"),25,50)),10,0)+IF('5-man'!CC$62=$Q$258,25,0))</f>
        <v/>
      </c>
      <c r="CD252">
        <f>MIN(100,CC253+IF(AND(CC253&lt;100,CC254+1&gt;=IF(OR('5-man'!$F$42=TRUE,'5-man'!$F$42="TRUE",'5-man'!$F$42="Yes"),25,50)),10,0)+IF('5-man'!CD$62=$Q$258,25,0))</f>
        <v/>
      </c>
    </row>
    <row r="253">
      <c r="A253" t="inlineStr">
        <is>
          <t>P1 spec</t>
        </is>
      </c>
      <c r="B253">
        <f>IF('5-man'!$C$42="",100,'5-man'!$C$42)</f>
        <v/>
      </c>
      <c r="C253">
        <f>IF('5-man'!C$63="R",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5-man'!D$63="R",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5-man'!E$63="R",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5-man'!F$63="R",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5-man'!G$63="R",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5-man'!H$63="R",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5-man'!I$63="R",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5-man'!J$63="R",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5-man'!K$63="R",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5-man'!L$63="R",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5-man'!M$63="R",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5-man'!N$63="R",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5-man'!O$63="R",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5-man'!P$63="R",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5-man'!Q$63="R",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5-man'!R$63="R",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5-man'!S$63="R",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5-man'!T$63="R",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5-man'!U$63="R",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5-man'!V$63="R",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5-man'!W$63="R",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5-man'!X$63="R",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5-man'!Y$63="R",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5-man'!Z$63="R",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5-man'!AA$63="R",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5-man'!AB$63="R",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5-man'!AC$63="R",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5-man'!AD$63="R",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5-man'!AE$63="R",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5-man'!AF$63="R",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5-man'!AG$63="R",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5-man'!AH$63="R",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5-man'!AI$63="R",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5-man'!AJ$63="R",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5-man'!AK$63="R",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5-man'!AL$63="R",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5-man'!AM$63="R",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5-man'!AN$63="R",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5-man'!AO$63="R",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5-man'!AP$63="R",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5-man'!AQ$63="R",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5-man'!AR$63="R",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5-man'!AS$63="R",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5-man'!AT$63="R",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5-man'!AU$63="R",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5-man'!AV$63="R",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5-man'!AW$63="R",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5-man'!AX$63="R",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5-man'!AY$63="R",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5-man'!AZ$63="R",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5-man'!BA$63="R",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5-man'!BB$63="R",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5-man'!BC$63="R",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5-man'!BD$63="R",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5-man'!BE$63="R",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5-man'!BF$63="R",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5-man'!BG$63="R",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5-man'!BH$63="R",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5-man'!BI$63="R",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5-man'!BJ$63="R",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5-man'!BK$63="R",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5-man'!BL$63="R",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5-man'!BM$63="R",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5-man'!BN$63="R",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5-man'!BO$63="R",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5-man'!BP$63="R",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5-man'!BQ$63="R",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5-man'!BR$63="R",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5-man'!BS$63="R",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5-man'!BT$63="R",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5-man'!BU$63="R",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5-man'!BV$63="R",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5-man'!BW$63="R",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5-man'!BX$63="R",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5-man'!BY$63="R",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5-man'!BZ$63="R",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5-man'!CA$63="R",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5-man'!CB$63="R",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5-man'!CC$63="R",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5-man'!CD$63="R",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IF('5-man'!C$63="R",0,IF(B253&gt;=100,0,IF(B254+1&gt;=IF(OR('5-man'!$F$42=TRUE,'5-man'!$F$42="TRUE",'5-man'!$F$42="Yes"),25,50),0,B254+1)))</f>
        <v/>
      </c>
      <c r="D254">
        <f>IF('5-man'!D$63="R",0,IF(C253&gt;=100,0,IF(C254+1&gt;=IF(OR('5-man'!$F$42=TRUE,'5-man'!$F$42="TRUE",'5-man'!$F$42="Yes"),25,50),0,C254+1)))</f>
        <v/>
      </c>
      <c r="E254">
        <f>IF('5-man'!E$63="R",0,IF(D253&gt;=100,0,IF(D254+1&gt;=IF(OR('5-man'!$F$42=TRUE,'5-man'!$F$42="TRUE",'5-man'!$F$42="Yes"),25,50),0,D254+1)))</f>
        <v/>
      </c>
      <c r="F254">
        <f>IF('5-man'!F$63="R",0,IF(E253&gt;=100,0,IF(E254+1&gt;=IF(OR('5-man'!$F$42=TRUE,'5-man'!$F$42="TRUE",'5-man'!$F$42="Yes"),25,50),0,E254+1)))</f>
        <v/>
      </c>
      <c r="G254">
        <f>IF('5-man'!G$63="R",0,IF(F253&gt;=100,0,IF(F254+1&gt;=IF(OR('5-man'!$F$42=TRUE,'5-man'!$F$42="TRUE",'5-man'!$F$42="Yes"),25,50),0,F254+1)))</f>
        <v/>
      </c>
      <c r="H254">
        <f>IF('5-man'!H$63="R",0,IF(G253&gt;=100,0,IF(G254+1&gt;=IF(OR('5-man'!$F$42=TRUE,'5-man'!$F$42="TRUE",'5-man'!$F$42="Yes"),25,50),0,G254+1)))</f>
        <v/>
      </c>
      <c r="I254">
        <f>IF('5-man'!I$63="R",0,IF(H253&gt;=100,0,IF(H254+1&gt;=IF(OR('5-man'!$F$42=TRUE,'5-man'!$F$42="TRUE",'5-man'!$F$42="Yes"),25,50),0,H254+1)))</f>
        <v/>
      </c>
      <c r="J254">
        <f>IF('5-man'!J$63="R",0,IF(I253&gt;=100,0,IF(I254+1&gt;=IF(OR('5-man'!$F$42=TRUE,'5-man'!$F$42="TRUE",'5-man'!$F$42="Yes"),25,50),0,I254+1)))</f>
        <v/>
      </c>
      <c r="K254">
        <f>IF('5-man'!K$63="R",0,IF(J253&gt;=100,0,IF(J254+1&gt;=IF(OR('5-man'!$F$42=TRUE,'5-man'!$F$42="TRUE",'5-man'!$F$42="Yes"),25,50),0,J254+1)))</f>
        <v/>
      </c>
      <c r="L254">
        <f>IF('5-man'!L$63="R",0,IF(K253&gt;=100,0,IF(K254+1&gt;=IF(OR('5-man'!$F$42=TRUE,'5-man'!$F$42="TRUE",'5-man'!$F$42="Yes"),25,50),0,K254+1)))</f>
        <v/>
      </c>
      <c r="M254">
        <f>IF('5-man'!M$63="R",0,IF(L253&gt;=100,0,IF(L254+1&gt;=IF(OR('5-man'!$F$42=TRUE,'5-man'!$F$42="TRUE",'5-man'!$F$42="Yes"),25,50),0,L254+1)))</f>
        <v/>
      </c>
      <c r="N254">
        <f>IF('5-man'!N$63="R",0,IF(M253&gt;=100,0,IF(M254+1&gt;=IF(OR('5-man'!$F$42=TRUE,'5-man'!$F$42="TRUE",'5-man'!$F$42="Yes"),25,50),0,M254+1)))</f>
        <v/>
      </c>
      <c r="O254">
        <f>IF('5-man'!O$63="R",0,IF(N253&gt;=100,0,IF(N254+1&gt;=IF(OR('5-man'!$F$42=TRUE,'5-man'!$F$42="TRUE",'5-man'!$F$42="Yes"),25,50),0,N254+1)))</f>
        <v/>
      </c>
      <c r="P254">
        <f>IF('5-man'!P$63="R",0,IF(O253&gt;=100,0,IF(O254+1&gt;=IF(OR('5-man'!$F$42=TRUE,'5-man'!$F$42="TRUE",'5-man'!$F$42="Yes"),25,50),0,O254+1)))</f>
        <v/>
      </c>
      <c r="Q254">
        <f>IF('5-man'!Q$63="R",0,IF(P253&gt;=100,0,IF(P254+1&gt;=IF(OR('5-man'!$F$42=TRUE,'5-man'!$F$42="TRUE",'5-man'!$F$42="Yes"),25,50),0,P254+1)))</f>
        <v/>
      </c>
      <c r="R254">
        <f>IF('5-man'!R$63="R",0,IF(Q253&gt;=100,0,IF(Q254+1&gt;=IF(OR('5-man'!$F$42=TRUE,'5-man'!$F$42="TRUE",'5-man'!$F$42="Yes"),25,50),0,Q254+1)))</f>
        <v/>
      </c>
      <c r="S254">
        <f>IF('5-man'!S$63="R",0,IF(R253&gt;=100,0,IF(R254+1&gt;=IF(OR('5-man'!$F$42=TRUE,'5-man'!$F$42="TRUE",'5-man'!$F$42="Yes"),25,50),0,R254+1)))</f>
        <v/>
      </c>
      <c r="T254">
        <f>IF('5-man'!T$63="R",0,IF(S253&gt;=100,0,IF(S254+1&gt;=IF(OR('5-man'!$F$42=TRUE,'5-man'!$F$42="TRUE",'5-man'!$F$42="Yes"),25,50),0,S254+1)))</f>
        <v/>
      </c>
      <c r="U254">
        <f>IF('5-man'!U$63="R",0,IF(T253&gt;=100,0,IF(T254+1&gt;=IF(OR('5-man'!$F$42=TRUE,'5-man'!$F$42="TRUE",'5-man'!$F$42="Yes"),25,50),0,T254+1)))</f>
        <v/>
      </c>
      <c r="V254">
        <f>IF('5-man'!V$63="R",0,IF(U253&gt;=100,0,IF(U254+1&gt;=IF(OR('5-man'!$F$42=TRUE,'5-man'!$F$42="TRUE",'5-man'!$F$42="Yes"),25,50),0,U254+1)))</f>
        <v/>
      </c>
      <c r="W254">
        <f>IF('5-man'!W$63="R",0,IF(V253&gt;=100,0,IF(V254+1&gt;=IF(OR('5-man'!$F$42=TRUE,'5-man'!$F$42="TRUE",'5-man'!$F$42="Yes"),25,50),0,V254+1)))</f>
        <v/>
      </c>
      <c r="X254">
        <f>IF('5-man'!X$63="R",0,IF(W253&gt;=100,0,IF(W254+1&gt;=IF(OR('5-man'!$F$42=TRUE,'5-man'!$F$42="TRUE",'5-man'!$F$42="Yes"),25,50),0,W254+1)))</f>
        <v/>
      </c>
      <c r="Y254">
        <f>IF('5-man'!Y$63="R",0,IF(X253&gt;=100,0,IF(X254+1&gt;=IF(OR('5-man'!$F$42=TRUE,'5-man'!$F$42="TRUE",'5-man'!$F$42="Yes"),25,50),0,X254+1)))</f>
        <v/>
      </c>
      <c r="Z254">
        <f>IF('5-man'!Z$63="R",0,IF(Y253&gt;=100,0,IF(Y254+1&gt;=IF(OR('5-man'!$F$42=TRUE,'5-man'!$F$42="TRUE",'5-man'!$F$42="Yes"),25,50),0,Y254+1)))</f>
        <v/>
      </c>
      <c r="AA254">
        <f>IF('5-man'!AA$63="R",0,IF(Z253&gt;=100,0,IF(Z254+1&gt;=IF(OR('5-man'!$F$42=TRUE,'5-man'!$F$42="TRUE",'5-man'!$F$42="Yes"),25,50),0,Z254+1)))</f>
        <v/>
      </c>
      <c r="AB254">
        <f>IF('5-man'!AB$63="R",0,IF(AA253&gt;=100,0,IF(AA254+1&gt;=IF(OR('5-man'!$F$42=TRUE,'5-man'!$F$42="TRUE",'5-man'!$F$42="Yes"),25,50),0,AA254+1)))</f>
        <v/>
      </c>
      <c r="AC254">
        <f>IF('5-man'!AC$63="R",0,IF(AB253&gt;=100,0,IF(AB254+1&gt;=IF(OR('5-man'!$F$42=TRUE,'5-man'!$F$42="TRUE",'5-man'!$F$42="Yes"),25,50),0,AB254+1)))</f>
        <v/>
      </c>
      <c r="AD254">
        <f>IF('5-man'!AD$63="R",0,IF(AC253&gt;=100,0,IF(AC254+1&gt;=IF(OR('5-man'!$F$42=TRUE,'5-man'!$F$42="TRUE",'5-man'!$F$42="Yes"),25,50),0,AC254+1)))</f>
        <v/>
      </c>
      <c r="AE254">
        <f>IF('5-man'!AE$63="R",0,IF(AD253&gt;=100,0,IF(AD254+1&gt;=IF(OR('5-man'!$F$42=TRUE,'5-man'!$F$42="TRUE",'5-man'!$F$42="Yes"),25,50),0,AD254+1)))</f>
        <v/>
      </c>
      <c r="AF254">
        <f>IF('5-man'!AF$63="R",0,IF(AE253&gt;=100,0,IF(AE254+1&gt;=IF(OR('5-man'!$F$42=TRUE,'5-man'!$F$42="TRUE",'5-man'!$F$42="Yes"),25,50),0,AE254+1)))</f>
        <v/>
      </c>
      <c r="AG254">
        <f>IF('5-man'!AG$63="R",0,IF(AF253&gt;=100,0,IF(AF254+1&gt;=IF(OR('5-man'!$F$42=TRUE,'5-man'!$F$42="TRUE",'5-man'!$F$42="Yes"),25,50),0,AF254+1)))</f>
        <v/>
      </c>
      <c r="AH254">
        <f>IF('5-man'!AH$63="R",0,IF(AG253&gt;=100,0,IF(AG254+1&gt;=IF(OR('5-man'!$F$42=TRUE,'5-man'!$F$42="TRUE",'5-man'!$F$42="Yes"),25,50),0,AG254+1)))</f>
        <v/>
      </c>
      <c r="AI254">
        <f>IF('5-man'!AI$63="R",0,IF(AH253&gt;=100,0,IF(AH254+1&gt;=IF(OR('5-man'!$F$42=TRUE,'5-man'!$F$42="TRUE",'5-man'!$F$42="Yes"),25,50),0,AH254+1)))</f>
        <v/>
      </c>
      <c r="AJ254">
        <f>IF('5-man'!AJ$63="R",0,IF(AI253&gt;=100,0,IF(AI254+1&gt;=IF(OR('5-man'!$F$42=TRUE,'5-man'!$F$42="TRUE",'5-man'!$F$42="Yes"),25,50),0,AI254+1)))</f>
        <v/>
      </c>
      <c r="AK254">
        <f>IF('5-man'!AK$63="R",0,IF(AJ253&gt;=100,0,IF(AJ254+1&gt;=IF(OR('5-man'!$F$42=TRUE,'5-man'!$F$42="TRUE",'5-man'!$F$42="Yes"),25,50),0,AJ254+1)))</f>
        <v/>
      </c>
      <c r="AL254">
        <f>IF('5-man'!AL$63="R",0,IF(AK253&gt;=100,0,IF(AK254+1&gt;=IF(OR('5-man'!$F$42=TRUE,'5-man'!$F$42="TRUE",'5-man'!$F$42="Yes"),25,50),0,AK254+1)))</f>
        <v/>
      </c>
      <c r="AM254">
        <f>IF('5-man'!AM$63="R",0,IF(AL253&gt;=100,0,IF(AL254+1&gt;=IF(OR('5-man'!$F$42=TRUE,'5-man'!$F$42="TRUE",'5-man'!$F$42="Yes"),25,50),0,AL254+1)))</f>
        <v/>
      </c>
      <c r="AN254">
        <f>IF('5-man'!AN$63="R",0,IF(AM253&gt;=100,0,IF(AM254+1&gt;=IF(OR('5-man'!$F$42=TRUE,'5-man'!$F$42="TRUE",'5-man'!$F$42="Yes"),25,50),0,AM254+1)))</f>
        <v/>
      </c>
      <c r="AO254">
        <f>IF('5-man'!AO$63="R",0,IF(AN253&gt;=100,0,IF(AN254+1&gt;=IF(OR('5-man'!$F$42=TRUE,'5-man'!$F$42="TRUE",'5-man'!$F$42="Yes"),25,50),0,AN254+1)))</f>
        <v/>
      </c>
      <c r="AP254">
        <f>IF('5-man'!AP$63="R",0,IF(AO253&gt;=100,0,IF(AO254+1&gt;=IF(OR('5-man'!$F$42=TRUE,'5-man'!$F$42="TRUE",'5-man'!$F$42="Yes"),25,50),0,AO254+1)))</f>
        <v/>
      </c>
      <c r="AQ254">
        <f>IF('5-man'!AQ$63="R",0,IF(AP253&gt;=100,0,IF(AP254+1&gt;=IF(OR('5-man'!$F$42=TRUE,'5-man'!$F$42="TRUE",'5-man'!$F$42="Yes"),25,50),0,AP254+1)))</f>
        <v/>
      </c>
      <c r="AR254">
        <f>IF('5-man'!AR$63="R",0,IF(AQ253&gt;=100,0,IF(AQ254+1&gt;=IF(OR('5-man'!$F$42=TRUE,'5-man'!$F$42="TRUE",'5-man'!$F$42="Yes"),25,50),0,AQ254+1)))</f>
        <v/>
      </c>
      <c r="AS254">
        <f>IF('5-man'!AS$63="R",0,IF(AR253&gt;=100,0,IF(AR254+1&gt;=IF(OR('5-man'!$F$42=TRUE,'5-man'!$F$42="TRUE",'5-man'!$F$42="Yes"),25,50),0,AR254+1)))</f>
        <v/>
      </c>
      <c r="AT254">
        <f>IF('5-man'!AT$63="R",0,IF(AS253&gt;=100,0,IF(AS254+1&gt;=IF(OR('5-man'!$F$42=TRUE,'5-man'!$F$42="TRUE",'5-man'!$F$42="Yes"),25,50),0,AS254+1)))</f>
        <v/>
      </c>
      <c r="AU254">
        <f>IF('5-man'!AU$63="R",0,IF(AT253&gt;=100,0,IF(AT254+1&gt;=IF(OR('5-man'!$F$42=TRUE,'5-man'!$F$42="TRUE",'5-man'!$F$42="Yes"),25,50),0,AT254+1)))</f>
        <v/>
      </c>
      <c r="AV254">
        <f>IF('5-man'!AV$63="R",0,IF(AU253&gt;=100,0,IF(AU254+1&gt;=IF(OR('5-man'!$F$42=TRUE,'5-man'!$F$42="TRUE",'5-man'!$F$42="Yes"),25,50),0,AU254+1)))</f>
        <v/>
      </c>
      <c r="AW254">
        <f>IF('5-man'!AW$63="R",0,IF(AV253&gt;=100,0,IF(AV254+1&gt;=IF(OR('5-man'!$F$42=TRUE,'5-man'!$F$42="TRUE",'5-man'!$F$42="Yes"),25,50),0,AV254+1)))</f>
        <v/>
      </c>
      <c r="AX254">
        <f>IF('5-man'!AX$63="R",0,IF(AW253&gt;=100,0,IF(AW254+1&gt;=IF(OR('5-man'!$F$42=TRUE,'5-man'!$F$42="TRUE",'5-man'!$F$42="Yes"),25,50),0,AW254+1)))</f>
        <v/>
      </c>
      <c r="AY254">
        <f>IF('5-man'!AY$63="R",0,IF(AX253&gt;=100,0,IF(AX254+1&gt;=IF(OR('5-man'!$F$42=TRUE,'5-man'!$F$42="TRUE",'5-man'!$F$42="Yes"),25,50),0,AX254+1)))</f>
        <v/>
      </c>
      <c r="AZ254">
        <f>IF('5-man'!AZ$63="R",0,IF(AY253&gt;=100,0,IF(AY254+1&gt;=IF(OR('5-man'!$F$42=TRUE,'5-man'!$F$42="TRUE",'5-man'!$F$42="Yes"),25,50),0,AY254+1)))</f>
        <v/>
      </c>
      <c r="BA254">
        <f>IF('5-man'!BA$63="R",0,IF(AZ253&gt;=100,0,IF(AZ254+1&gt;=IF(OR('5-man'!$F$42=TRUE,'5-man'!$F$42="TRUE",'5-man'!$F$42="Yes"),25,50),0,AZ254+1)))</f>
        <v/>
      </c>
      <c r="BB254">
        <f>IF('5-man'!BB$63="R",0,IF(BA253&gt;=100,0,IF(BA254+1&gt;=IF(OR('5-man'!$F$42=TRUE,'5-man'!$F$42="TRUE",'5-man'!$F$42="Yes"),25,50),0,BA254+1)))</f>
        <v/>
      </c>
      <c r="BC254">
        <f>IF('5-man'!BC$63="R",0,IF(BB253&gt;=100,0,IF(BB254+1&gt;=IF(OR('5-man'!$F$42=TRUE,'5-man'!$F$42="TRUE",'5-man'!$F$42="Yes"),25,50),0,BB254+1)))</f>
        <v/>
      </c>
      <c r="BD254">
        <f>IF('5-man'!BD$63="R",0,IF(BC253&gt;=100,0,IF(BC254+1&gt;=IF(OR('5-man'!$F$42=TRUE,'5-man'!$F$42="TRUE",'5-man'!$F$42="Yes"),25,50),0,BC254+1)))</f>
        <v/>
      </c>
      <c r="BE254">
        <f>IF('5-man'!BE$63="R",0,IF(BD253&gt;=100,0,IF(BD254+1&gt;=IF(OR('5-man'!$F$42=TRUE,'5-man'!$F$42="TRUE",'5-man'!$F$42="Yes"),25,50),0,BD254+1)))</f>
        <v/>
      </c>
      <c r="BF254">
        <f>IF('5-man'!BF$63="R",0,IF(BE253&gt;=100,0,IF(BE254+1&gt;=IF(OR('5-man'!$F$42=TRUE,'5-man'!$F$42="TRUE",'5-man'!$F$42="Yes"),25,50),0,BE254+1)))</f>
        <v/>
      </c>
      <c r="BG254">
        <f>IF('5-man'!BG$63="R",0,IF(BF253&gt;=100,0,IF(BF254+1&gt;=IF(OR('5-man'!$F$42=TRUE,'5-man'!$F$42="TRUE",'5-man'!$F$42="Yes"),25,50),0,BF254+1)))</f>
        <v/>
      </c>
      <c r="BH254">
        <f>IF('5-man'!BH$63="R",0,IF(BG253&gt;=100,0,IF(BG254+1&gt;=IF(OR('5-man'!$F$42=TRUE,'5-man'!$F$42="TRUE",'5-man'!$F$42="Yes"),25,50),0,BG254+1)))</f>
        <v/>
      </c>
      <c r="BI254">
        <f>IF('5-man'!BI$63="R",0,IF(BH253&gt;=100,0,IF(BH254+1&gt;=IF(OR('5-man'!$F$42=TRUE,'5-man'!$F$42="TRUE",'5-man'!$F$42="Yes"),25,50),0,BH254+1)))</f>
        <v/>
      </c>
      <c r="BJ254">
        <f>IF('5-man'!BJ$63="R",0,IF(BI253&gt;=100,0,IF(BI254+1&gt;=IF(OR('5-man'!$F$42=TRUE,'5-man'!$F$42="TRUE",'5-man'!$F$42="Yes"),25,50),0,BI254+1)))</f>
        <v/>
      </c>
      <c r="BK254">
        <f>IF('5-man'!BK$63="R",0,IF(BJ253&gt;=100,0,IF(BJ254+1&gt;=IF(OR('5-man'!$F$42=TRUE,'5-man'!$F$42="TRUE",'5-man'!$F$42="Yes"),25,50),0,BJ254+1)))</f>
        <v/>
      </c>
      <c r="BL254">
        <f>IF('5-man'!BL$63="R",0,IF(BK253&gt;=100,0,IF(BK254+1&gt;=IF(OR('5-man'!$F$42=TRUE,'5-man'!$F$42="TRUE",'5-man'!$F$42="Yes"),25,50),0,BK254+1)))</f>
        <v/>
      </c>
      <c r="BM254">
        <f>IF('5-man'!BM$63="R",0,IF(BL253&gt;=100,0,IF(BL254+1&gt;=IF(OR('5-man'!$F$42=TRUE,'5-man'!$F$42="TRUE",'5-man'!$F$42="Yes"),25,50),0,BL254+1)))</f>
        <v/>
      </c>
      <c r="BN254">
        <f>IF('5-man'!BN$63="R",0,IF(BM253&gt;=100,0,IF(BM254+1&gt;=IF(OR('5-man'!$F$42=TRUE,'5-man'!$F$42="TRUE",'5-man'!$F$42="Yes"),25,50),0,BM254+1)))</f>
        <v/>
      </c>
      <c r="BO254">
        <f>IF('5-man'!BO$63="R",0,IF(BN253&gt;=100,0,IF(BN254+1&gt;=IF(OR('5-man'!$F$42=TRUE,'5-man'!$F$42="TRUE",'5-man'!$F$42="Yes"),25,50),0,BN254+1)))</f>
        <v/>
      </c>
      <c r="BP254">
        <f>IF('5-man'!BP$63="R",0,IF(BO253&gt;=100,0,IF(BO254+1&gt;=IF(OR('5-man'!$F$42=TRUE,'5-man'!$F$42="TRUE",'5-man'!$F$42="Yes"),25,50),0,BO254+1)))</f>
        <v/>
      </c>
      <c r="BQ254">
        <f>IF('5-man'!BQ$63="R",0,IF(BP253&gt;=100,0,IF(BP254+1&gt;=IF(OR('5-man'!$F$42=TRUE,'5-man'!$F$42="TRUE",'5-man'!$F$42="Yes"),25,50),0,BP254+1)))</f>
        <v/>
      </c>
      <c r="BR254">
        <f>IF('5-man'!BR$63="R",0,IF(BQ253&gt;=100,0,IF(BQ254+1&gt;=IF(OR('5-man'!$F$42=TRUE,'5-man'!$F$42="TRUE",'5-man'!$F$42="Yes"),25,50),0,BQ254+1)))</f>
        <v/>
      </c>
      <c r="BS254">
        <f>IF('5-man'!BS$63="R",0,IF(BR253&gt;=100,0,IF(BR254+1&gt;=IF(OR('5-man'!$F$42=TRUE,'5-man'!$F$42="TRUE",'5-man'!$F$42="Yes"),25,50),0,BR254+1)))</f>
        <v/>
      </c>
      <c r="BT254">
        <f>IF('5-man'!BT$63="R",0,IF(BS253&gt;=100,0,IF(BS254+1&gt;=IF(OR('5-man'!$F$42=TRUE,'5-man'!$F$42="TRUE",'5-man'!$F$42="Yes"),25,50),0,BS254+1)))</f>
        <v/>
      </c>
      <c r="BU254">
        <f>IF('5-man'!BU$63="R",0,IF(BT253&gt;=100,0,IF(BT254+1&gt;=IF(OR('5-man'!$F$42=TRUE,'5-man'!$F$42="TRUE",'5-man'!$F$42="Yes"),25,50),0,BT254+1)))</f>
        <v/>
      </c>
      <c r="BV254">
        <f>IF('5-man'!BV$63="R",0,IF(BU253&gt;=100,0,IF(BU254+1&gt;=IF(OR('5-man'!$F$42=TRUE,'5-man'!$F$42="TRUE",'5-man'!$F$42="Yes"),25,50),0,BU254+1)))</f>
        <v/>
      </c>
      <c r="BW254">
        <f>IF('5-man'!BW$63="R",0,IF(BV253&gt;=100,0,IF(BV254+1&gt;=IF(OR('5-man'!$F$42=TRUE,'5-man'!$F$42="TRUE",'5-man'!$F$42="Yes"),25,50),0,BV254+1)))</f>
        <v/>
      </c>
      <c r="BX254">
        <f>IF('5-man'!BX$63="R",0,IF(BW253&gt;=100,0,IF(BW254+1&gt;=IF(OR('5-man'!$F$42=TRUE,'5-man'!$F$42="TRUE",'5-man'!$F$42="Yes"),25,50),0,BW254+1)))</f>
        <v/>
      </c>
      <c r="BY254">
        <f>IF('5-man'!BY$63="R",0,IF(BX253&gt;=100,0,IF(BX254+1&gt;=IF(OR('5-man'!$F$42=TRUE,'5-man'!$F$42="TRUE",'5-man'!$F$42="Yes"),25,50),0,BX254+1)))</f>
        <v/>
      </c>
      <c r="BZ254">
        <f>IF('5-man'!BZ$63="R",0,IF(BY253&gt;=100,0,IF(BY254+1&gt;=IF(OR('5-man'!$F$42=TRUE,'5-man'!$F$42="TRUE",'5-man'!$F$42="Yes"),25,50),0,BY254+1)))</f>
        <v/>
      </c>
      <c r="CA254">
        <f>IF('5-man'!CA$63="R",0,IF(BZ253&gt;=100,0,IF(BZ254+1&gt;=IF(OR('5-man'!$F$42=TRUE,'5-man'!$F$42="TRUE",'5-man'!$F$42="Yes"),25,50),0,BZ254+1)))</f>
        <v/>
      </c>
      <c r="CB254">
        <f>IF('5-man'!CB$63="R",0,IF(CA253&gt;=100,0,IF(CA254+1&gt;=IF(OR('5-man'!$F$42=TRUE,'5-man'!$F$42="TRUE",'5-man'!$F$42="Yes"),25,50),0,CA254+1)))</f>
        <v/>
      </c>
      <c r="CC254">
        <f>IF('5-man'!CC$63="R",0,IF(CB253&gt;=100,0,IF(CB254+1&gt;=IF(OR('5-man'!$F$42=TRUE,'5-man'!$F$42="TRUE",'5-man'!$F$42="Yes"),25,50),0,CB254+1)))</f>
        <v/>
      </c>
      <c r="CD254">
        <f>IF('5-man'!CD$63="R",0,IF(CC253&gt;=100,0,IF(CC254+1&gt;=IF(OR('5-man'!$F$42=TRUE,'5-man'!$F$42="TRUE",'5-man'!$F$42="Yes"),25,50),0,CC254+1)))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row>
    <row r="259">
      <c r="A259" t="inlineStr">
        <is>
          <t>P1 act</t>
        </is>
      </c>
      <c r="C259">
        <f>IF(OR('5-man'!C$63="P",'5-man'!C$63="R",AND('5-man'!C$62&lt;=IF('5-man'!$BF$42="",999,'5-man'!$BF$42),OR('5-man'!C$63="D",LEFT('5-man'!C$63,3)="ST&gt;",OR(AND('5-man'!C$64="ST&gt;1",C260&gt;=100),AND('5-man'!C$65="ST&gt;1",C268&gt;=100),AND('5-man'!C$66="ST&gt;1",C276&gt;=100),AND('5-man'!C$67="ST&gt;1",C284&gt;=100))))),'5-man'!C$62,0)</f>
        <v/>
      </c>
      <c r="D259">
        <f>IF(OR('5-man'!D$63="P",'5-man'!D$63="R",AND('5-man'!D$62&lt;=IF('5-man'!$BF$42="",999,'5-man'!$BF$42),OR('5-man'!D$63="D",LEFT('5-man'!D$63,3)="ST&gt;",OR(AND('5-man'!D$64="ST&gt;1",D260&gt;=100),AND('5-man'!D$65="ST&gt;1",D268&gt;=100),AND('5-man'!D$66="ST&gt;1",D276&gt;=100),AND('5-man'!D$67="ST&gt;1",D284&gt;=100))))),'5-man'!D$62,0)</f>
        <v/>
      </c>
      <c r="E259">
        <f>IF(OR('5-man'!E$63="P",'5-man'!E$63="R",AND('5-man'!E$62&lt;=IF('5-man'!$BF$42="",999,'5-man'!$BF$42),OR('5-man'!E$63="D",LEFT('5-man'!E$63,3)="ST&gt;",OR(AND('5-man'!E$64="ST&gt;1",E260&gt;=100),AND('5-man'!E$65="ST&gt;1",E268&gt;=100),AND('5-man'!E$66="ST&gt;1",E276&gt;=100),AND('5-man'!E$67="ST&gt;1",E284&gt;=100))))),'5-man'!E$62,0)</f>
        <v/>
      </c>
      <c r="F259">
        <f>IF(OR('5-man'!F$63="P",'5-man'!F$63="R",AND('5-man'!F$62&lt;=IF('5-man'!$BF$42="",999,'5-man'!$BF$42),OR('5-man'!F$63="D",LEFT('5-man'!F$63,3)="ST&gt;",OR(AND('5-man'!F$64="ST&gt;1",F260&gt;=100),AND('5-man'!F$65="ST&gt;1",F268&gt;=100),AND('5-man'!F$66="ST&gt;1",F276&gt;=100),AND('5-man'!F$67="ST&gt;1",F284&gt;=100))))),'5-man'!F$62,0)</f>
        <v/>
      </c>
      <c r="G259">
        <f>IF(OR('5-man'!G$63="P",'5-man'!G$63="R",AND('5-man'!G$62&lt;=IF('5-man'!$BF$42="",999,'5-man'!$BF$42),OR('5-man'!G$63="D",LEFT('5-man'!G$63,3)="ST&gt;",OR(AND('5-man'!G$64="ST&gt;1",G260&gt;=100),AND('5-man'!G$65="ST&gt;1",G268&gt;=100),AND('5-man'!G$66="ST&gt;1",G276&gt;=100),AND('5-man'!G$67="ST&gt;1",G284&gt;=100))))),'5-man'!G$62,0)</f>
        <v/>
      </c>
      <c r="H259">
        <f>IF(OR('5-man'!H$63="P",'5-man'!H$63="R",AND('5-man'!H$62&lt;=IF('5-man'!$BF$42="",999,'5-man'!$BF$42),OR('5-man'!H$63="D",LEFT('5-man'!H$63,3)="ST&gt;",OR(AND('5-man'!H$64="ST&gt;1",H260&gt;=100),AND('5-man'!H$65="ST&gt;1",H268&gt;=100),AND('5-man'!H$66="ST&gt;1",H276&gt;=100),AND('5-man'!H$67="ST&gt;1",H284&gt;=100))))),'5-man'!H$62,0)</f>
        <v/>
      </c>
      <c r="I259">
        <f>IF(OR('5-man'!I$63="P",'5-man'!I$63="R",AND('5-man'!I$62&lt;=IF('5-man'!$BF$42="",999,'5-man'!$BF$42),OR('5-man'!I$63="D",LEFT('5-man'!I$63,3)="ST&gt;",OR(AND('5-man'!I$64="ST&gt;1",I260&gt;=100),AND('5-man'!I$65="ST&gt;1",I268&gt;=100),AND('5-man'!I$66="ST&gt;1",I276&gt;=100),AND('5-man'!I$67="ST&gt;1",I284&gt;=100))))),'5-man'!I$62,0)</f>
        <v/>
      </c>
      <c r="J259">
        <f>IF(OR('5-man'!J$63="P",'5-man'!J$63="R",AND('5-man'!J$62&lt;=IF('5-man'!$BF$42="",999,'5-man'!$BF$42),OR('5-man'!J$63="D",LEFT('5-man'!J$63,3)="ST&gt;",OR(AND('5-man'!J$64="ST&gt;1",J260&gt;=100),AND('5-man'!J$65="ST&gt;1",J268&gt;=100),AND('5-man'!J$66="ST&gt;1",J276&gt;=100),AND('5-man'!J$67="ST&gt;1",J284&gt;=100))))),'5-man'!J$62,0)</f>
        <v/>
      </c>
      <c r="K259">
        <f>IF(OR('5-man'!K$63="P",'5-man'!K$63="R",AND('5-man'!K$62&lt;=IF('5-man'!$BF$42="",999,'5-man'!$BF$42),OR('5-man'!K$63="D",LEFT('5-man'!K$63,3)="ST&gt;",OR(AND('5-man'!K$64="ST&gt;1",K260&gt;=100),AND('5-man'!K$65="ST&gt;1",K268&gt;=100),AND('5-man'!K$66="ST&gt;1",K276&gt;=100),AND('5-man'!K$67="ST&gt;1",K284&gt;=100))))),'5-man'!K$62,0)</f>
        <v/>
      </c>
      <c r="L259">
        <f>IF(OR('5-man'!L$63="P",'5-man'!L$63="R",AND('5-man'!L$62&lt;=IF('5-man'!$BF$42="",999,'5-man'!$BF$42),OR('5-man'!L$63="D",LEFT('5-man'!L$63,3)="ST&gt;",OR(AND('5-man'!L$64="ST&gt;1",L260&gt;=100),AND('5-man'!L$65="ST&gt;1",L268&gt;=100),AND('5-man'!L$66="ST&gt;1",L276&gt;=100),AND('5-man'!L$67="ST&gt;1",L284&gt;=100))))),'5-man'!L$62,0)</f>
        <v/>
      </c>
      <c r="M259">
        <f>IF(OR('5-man'!M$63="P",'5-man'!M$63="R",AND('5-man'!M$62&lt;=IF('5-man'!$BF$42="",999,'5-man'!$BF$42),OR('5-man'!M$63="D",LEFT('5-man'!M$63,3)="ST&gt;",OR(AND('5-man'!M$64="ST&gt;1",M260&gt;=100),AND('5-man'!M$65="ST&gt;1",M268&gt;=100),AND('5-man'!M$66="ST&gt;1",M276&gt;=100),AND('5-man'!M$67="ST&gt;1",M284&gt;=100))))),'5-man'!M$62,0)</f>
        <v/>
      </c>
      <c r="N259">
        <f>IF(OR('5-man'!N$63="P",'5-man'!N$63="R",AND('5-man'!N$62&lt;=IF('5-man'!$BF$42="",999,'5-man'!$BF$42),OR('5-man'!N$63="D",LEFT('5-man'!N$63,3)="ST&gt;",OR(AND('5-man'!N$64="ST&gt;1",N260&gt;=100),AND('5-man'!N$65="ST&gt;1",N268&gt;=100),AND('5-man'!N$66="ST&gt;1",N276&gt;=100),AND('5-man'!N$67="ST&gt;1",N284&gt;=100))))),'5-man'!N$62,0)</f>
        <v/>
      </c>
      <c r="O259">
        <f>IF(OR('5-man'!O$63="P",'5-man'!O$63="R",AND('5-man'!O$62&lt;=IF('5-man'!$BF$42="",999,'5-man'!$BF$42),OR('5-man'!O$63="D",LEFT('5-man'!O$63,3)="ST&gt;",OR(AND('5-man'!O$64="ST&gt;1",O260&gt;=100),AND('5-man'!O$65="ST&gt;1",O268&gt;=100),AND('5-man'!O$66="ST&gt;1",O276&gt;=100),AND('5-man'!O$67="ST&gt;1",O284&gt;=100))))),'5-man'!O$62,0)</f>
        <v/>
      </c>
      <c r="P259">
        <f>IF(OR('5-man'!P$63="P",'5-man'!P$63="R",AND('5-man'!P$62&lt;=IF('5-man'!$BF$42="",999,'5-man'!$BF$42),OR('5-man'!P$63="D",LEFT('5-man'!P$63,3)="ST&gt;",OR(AND('5-man'!P$64="ST&gt;1",P260&gt;=100),AND('5-man'!P$65="ST&gt;1",P268&gt;=100),AND('5-man'!P$66="ST&gt;1",P276&gt;=100),AND('5-man'!P$67="ST&gt;1",P284&gt;=100))))),'5-man'!P$62,0)</f>
        <v/>
      </c>
      <c r="Q259">
        <f>IF(OR('5-man'!Q$63="P",'5-man'!Q$63="R",AND('5-man'!Q$62&lt;=IF('5-man'!$BF$42="",999,'5-man'!$BF$42),OR('5-man'!Q$63="D",LEFT('5-man'!Q$63,3)="ST&gt;",OR(AND('5-man'!Q$64="ST&gt;1",Q260&gt;=100),AND('5-man'!Q$65="ST&gt;1",Q268&gt;=100),AND('5-man'!Q$66="ST&gt;1",Q276&gt;=100),AND('5-man'!Q$67="ST&gt;1",Q284&gt;=100))))),'5-man'!Q$62,0)</f>
        <v/>
      </c>
      <c r="R259">
        <f>IF(OR('5-man'!R$63="P",'5-man'!R$63="R",AND('5-man'!R$62&lt;=IF('5-man'!$BF$42="",999,'5-man'!$BF$42),OR('5-man'!R$63="D",LEFT('5-man'!R$63,3)="ST&gt;",OR(AND('5-man'!R$64="ST&gt;1",R260&gt;=100),AND('5-man'!R$65="ST&gt;1",R268&gt;=100),AND('5-man'!R$66="ST&gt;1",R276&gt;=100),AND('5-man'!R$67="ST&gt;1",R284&gt;=100))))),'5-man'!R$62,0)</f>
        <v/>
      </c>
      <c r="S259">
        <f>IF(OR('5-man'!S$63="P",'5-man'!S$63="R",AND('5-man'!S$62&lt;=IF('5-man'!$BF$42="",999,'5-man'!$BF$42),OR('5-man'!S$63="D",LEFT('5-man'!S$63,3)="ST&gt;",OR(AND('5-man'!S$64="ST&gt;1",S260&gt;=100),AND('5-man'!S$65="ST&gt;1",S268&gt;=100),AND('5-man'!S$66="ST&gt;1",S276&gt;=100),AND('5-man'!S$67="ST&gt;1",S284&gt;=100))))),'5-man'!S$62,0)</f>
        <v/>
      </c>
      <c r="T259">
        <f>IF(OR('5-man'!T$63="P",'5-man'!T$63="R",AND('5-man'!T$62&lt;=IF('5-man'!$BF$42="",999,'5-man'!$BF$42),OR('5-man'!T$63="D",LEFT('5-man'!T$63,3)="ST&gt;",OR(AND('5-man'!T$64="ST&gt;1",T260&gt;=100),AND('5-man'!T$65="ST&gt;1",T268&gt;=100),AND('5-man'!T$66="ST&gt;1",T276&gt;=100),AND('5-man'!T$67="ST&gt;1",T284&gt;=100))))),'5-man'!T$62,0)</f>
        <v/>
      </c>
      <c r="U259">
        <f>IF(OR('5-man'!U$63="P",'5-man'!U$63="R",AND('5-man'!U$62&lt;=IF('5-man'!$BF$42="",999,'5-man'!$BF$42),OR('5-man'!U$63="D",LEFT('5-man'!U$63,3)="ST&gt;",OR(AND('5-man'!U$64="ST&gt;1",U260&gt;=100),AND('5-man'!U$65="ST&gt;1",U268&gt;=100),AND('5-man'!U$66="ST&gt;1",U276&gt;=100),AND('5-man'!U$67="ST&gt;1",U284&gt;=100))))),'5-man'!U$62,0)</f>
        <v/>
      </c>
      <c r="V259">
        <f>IF(OR('5-man'!V$63="P",'5-man'!V$63="R",AND('5-man'!V$62&lt;=IF('5-man'!$BF$42="",999,'5-man'!$BF$42),OR('5-man'!V$63="D",LEFT('5-man'!V$63,3)="ST&gt;",OR(AND('5-man'!V$64="ST&gt;1",V260&gt;=100),AND('5-man'!V$65="ST&gt;1",V268&gt;=100),AND('5-man'!V$66="ST&gt;1",V276&gt;=100),AND('5-man'!V$67="ST&gt;1",V284&gt;=100))))),'5-man'!V$62,0)</f>
        <v/>
      </c>
      <c r="W259">
        <f>IF(OR('5-man'!W$63="P",'5-man'!W$63="R",AND('5-man'!W$62&lt;=IF('5-man'!$BF$42="",999,'5-man'!$BF$42),OR('5-man'!W$63="D",LEFT('5-man'!W$63,3)="ST&gt;",OR(AND('5-man'!W$64="ST&gt;1",W260&gt;=100),AND('5-man'!W$65="ST&gt;1",W268&gt;=100),AND('5-man'!W$66="ST&gt;1",W276&gt;=100),AND('5-man'!W$67="ST&gt;1",W284&gt;=100))))),'5-man'!W$62,0)</f>
        <v/>
      </c>
      <c r="X259">
        <f>IF(OR('5-man'!X$63="P",'5-man'!X$63="R",AND('5-man'!X$62&lt;=IF('5-man'!$BF$42="",999,'5-man'!$BF$42),OR('5-man'!X$63="D",LEFT('5-man'!X$63,3)="ST&gt;",OR(AND('5-man'!X$64="ST&gt;1",X260&gt;=100),AND('5-man'!X$65="ST&gt;1",X268&gt;=100),AND('5-man'!X$66="ST&gt;1",X276&gt;=100),AND('5-man'!X$67="ST&gt;1",X284&gt;=100))))),'5-man'!X$62,0)</f>
        <v/>
      </c>
      <c r="Y259">
        <f>IF(OR('5-man'!Y$63="P",'5-man'!Y$63="R",AND('5-man'!Y$62&lt;=IF('5-man'!$BF$42="",999,'5-man'!$BF$42),OR('5-man'!Y$63="D",LEFT('5-man'!Y$63,3)="ST&gt;",OR(AND('5-man'!Y$64="ST&gt;1",Y260&gt;=100),AND('5-man'!Y$65="ST&gt;1",Y268&gt;=100),AND('5-man'!Y$66="ST&gt;1",Y276&gt;=100),AND('5-man'!Y$67="ST&gt;1",Y284&gt;=100))))),'5-man'!Y$62,0)</f>
        <v/>
      </c>
      <c r="Z259">
        <f>IF(OR('5-man'!Z$63="P",'5-man'!Z$63="R",AND('5-man'!Z$62&lt;=IF('5-man'!$BF$42="",999,'5-man'!$BF$42),OR('5-man'!Z$63="D",LEFT('5-man'!Z$63,3)="ST&gt;",OR(AND('5-man'!Z$64="ST&gt;1",Z260&gt;=100),AND('5-man'!Z$65="ST&gt;1",Z268&gt;=100),AND('5-man'!Z$66="ST&gt;1",Z276&gt;=100),AND('5-man'!Z$67="ST&gt;1",Z284&gt;=100))))),'5-man'!Z$62,0)</f>
        <v/>
      </c>
      <c r="AA259">
        <f>IF(OR('5-man'!AA$63="P",'5-man'!AA$63="R",AND('5-man'!AA$62&lt;=IF('5-man'!$BF$42="",999,'5-man'!$BF$42),OR('5-man'!AA$63="D",LEFT('5-man'!AA$63,3)="ST&gt;",OR(AND('5-man'!AA$64="ST&gt;1",AA260&gt;=100),AND('5-man'!AA$65="ST&gt;1",AA268&gt;=100),AND('5-man'!AA$66="ST&gt;1",AA276&gt;=100),AND('5-man'!AA$67="ST&gt;1",AA284&gt;=100))))),'5-man'!AA$62,0)</f>
        <v/>
      </c>
      <c r="AB259">
        <f>IF(OR('5-man'!AB$63="P",'5-man'!AB$63="R",AND('5-man'!AB$62&lt;=IF('5-man'!$BF$42="",999,'5-man'!$BF$42),OR('5-man'!AB$63="D",LEFT('5-man'!AB$63,3)="ST&gt;",OR(AND('5-man'!AB$64="ST&gt;1",AB260&gt;=100),AND('5-man'!AB$65="ST&gt;1",AB268&gt;=100),AND('5-man'!AB$66="ST&gt;1",AB276&gt;=100),AND('5-man'!AB$67="ST&gt;1",AB284&gt;=100))))),'5-man'!AB$62,0)</f>
        <v/>
      </c>
      <c r="AC259">
        <f>IF(OR('5-man'!AC$63="P",'5-man'!AC$63="R",AND('5-man'!AC$62&lt;=IF('5-man'!$BF$42="",999,'5-man'!$BF$42),OR('5-man'!AC$63="D",LEFT('5-man'!AC$63,3)="ST&gt;",OR(AND('5-man'!AC$64="ST&gt;1",AC260&gt;=100),AND('5-man'!AC$65="ST&gt;1",AC268&gt;=100),AND('5-man'!AC$66="ST&gt;1",AC276&gt;=100),AND('5-man'!AC$67="ST&gt;1",AC284&gt;=100))))),'5-man'!AC$62,0)</f>
        <v/>
      </c>
      <c r="AD259">
        <f>IF(OR('5-man'!AD$63="P",'5-man'!AD$63="R",AND('5-man'!AD$62&lt;=IF('5-man'!$BF$42="",999,'5-man'!$BF$42),OR('5-man'!AD$63="D",LEFT('5-man'!AD$63,3)="ST&gt;",OR(AND('5-man'!AD$64="ST&gt;1",AD260&gt;=100),AND('5-man'!AD$65="ST&gt;1",AD268&gt;=100),AND('5-man'!AD$66="ST&gt;1",AD276&gt;=100),AND('5-man'!AD$67="ST&gt;1",AD284&gt;=100))))),'5-man'!AD$62,0)</f>
        <v/>
      </c>
      <c r="AE259">
        <f>IF(OR('5-man'!AE$63="P",'5-man'!AE$63="R",AND('5-man'!AE$62&lt;=IF('5-man'!$BF$42="",999,'5-man'!$BF$42),OR('5-man'!AE$63="D",LEFT('5-man'!AE$63,3)="ST&gt;",OR(AND('5-man'!AE$64="ST&gt;1",AE260&gt;=100),AND('5-man'!AE$65="ST&gt;1",AE268&gt;=100),AND('5-man'!AE$66="ST&gt;1",AE276&gt;=100),AND('5-man'!AE$67="ST&gt;1",AE284&gt;=100))))),'5-man'!AE$62,0)</f>
        <v/>
      </c>
      <c r="AF259">
        <f>IF(OR('5-man'!AF$63="P",'5-man'!AF$63="R",AND('5-man'!AF$62&lt;=IF('5-man'!$BF$42="",999,'5-man'!$BF$42),OR('5-man'!AF$63="D",LEFT('5-man'!AF$63,3)="ST&gt;",OR(AND('5-man'!AF$64="ST&gt;1",AF260&gt;=100),AND('5-man'!AF$65="ST&gt;1",AF268&gt;=100),AND('5-man'!AF$66="ST&gt;1",AF276&gt;=100),AND('5-man'!AF$67="ST&gt;1",AF284&gt;=100))))),'5-man'!AF$62,0)</f>
        <v/>
      </c>
      <c r="AG259">
        <f>IF(OR('5-man'!AG$63="P",'5-man'!AG$63="R",AND('5-man'!AG$62&lt;=IF('5-man'!$BF$42="",999,'5-man'!$BF$42),OR('5-man'!AG$63="D",LEFT('5-man'!AG$63,3)="ST&gt;",OR(AND('5-man'!AG$64="ST&gt;1",AG260&gt;=100),AND('5-man'!AG$65="ST&gt;1",AG268&gt;=100),AND('5-man'!AG$66="ST&gt;1",AG276&gt;=100),AND('5-man'!AG$67="ST&gt;1",AG284&gt;=100))))),'5-man'!AG$62,0)</f>
        <v/>
      </c>
      <c r="AH259">
        <f>IF(OR('5-man'!AH$63="P",'5-man'!AH$63="R",AND('5-man'!AH$62&lt;=IF('5-man'!$BF$42="",999,'5-man'!$BF$42),OR('5-man'!AH$63="D",LEFT('5-man'!AH$63,3)="ST&gt;",OR(AND('5-man'!AH$64="ST&gt;1",AH260&gt;=100),AND('5-man'!AH$65="ST&gt;1",AH268&gt;=100),AND('5-man'!AH$66="ST&gt;1",AH276&gt;=100),AND('5-man'!AH$67="ST&gt;1",AH284&gt;=100))))),'5-man'!AH$62,0)</f>
        <v/>
      </c>
      <c r="AI259">
        <f>IF(OR('5-man'!AI$63="P",'5-man'!AI$63="R",AND('5-man'!AI$62&lt;=IF('5-man'!$BF$42="",999,'5-man'!$BF$42),OR('5-man'!AI$63="D",LEFT('5-man'!AI$63,3)="ST&gt;",OR(AND('5-man'!AI$64="ST&gt;1",AI260&gt;=100),AND('5-man'!AI$65="ST&gt;1",AI268&gt;=100),AND('5-man'!AI$66="ST&gt;1",AI276&gt;=100),AND('5-man'!AI$67="ST&gt;1",AI284&gt;=100))))),'5-man'!AI$62,0)</f>
        <v/>
      </c>
      <c r="AJ259">
        <f>IF(OR('5-man'!AJ$63="P",'5-man'!AJ$63="R",AND('5-man'!AJ$62&lt;=IF('5-man'!$BF$42="",999,'5-man'!$BF$42),OR('5-man'!AJ$63="D",LEFT('5-man'!AJ$63,3)="ST&gt;",OR(AND('5-man'!AJ$64="ST&gt;1",AJ260&gt;=100),AND('5-man'!AJ$65="ST&gt;1",AJ268&gt;=100),AND('5-man'!AJ$66="ST&gt;1",AJ276&gt;=100),AND('5-man'!AJ$67="ST&gt;1",AJ284&gt;=100))))),'5-man'!AJ$62,0)</f>
        <v/>
      </c>
      <c r="AK259">
        <f>IF(OR('5-man'!AK$63="P",'5-man'!AK$63="R",AND('5-man'!AK$62&lt;=IF('5-man'!$BF$42="",999,'5-man'!$BF$42),OR('5-man'!AK$63="D",LEFT('5-man'!AK$63,3)="ST&gt;",OR(AND('5-man'!AK$64="ST&gt;1",AK260&gt;=100),AND('5-man'!AK$65="ST&gt;1",AK268&gt;=100),AND('5-man'!AK$66="ST&gt;1",AK276&gt;=100),AND('5-man'!AK$67="ST&gt;1",AK284&gt;=100))))),'5-man'!AK$62,0)</f>
        <v/>
      </c>
      <c r="AL259">
        <f>IF(OR('5-man'!AL$63="P",'5-man'!AL$63="R",AND('5-man'!AL$62&lt;=IF('5-man'!$BF$42="",999,'5-man'!$BF$42),OR('5-man'!AL$63="D",LEFT('5-man'!AL$63,3)="ST&gt;",OR(AND('5-man'!AL$64="ST&gt;1",AL260&gt;=100),AND('5-man'!AL$65="ST&gt;1",AL268&gt;=100),AND('5-man'!AL$66="ST&gt;1",AL276&gt;=100),AND('5-man'!AL$67="ST&gt;1",AL284&gt;=100))))),'5-man'!AL$62,0)</f>
        <v/>
      </c>
      <c r="AM259">
        <f>IF(OR('5-man'!AM$63="P",'5-man'!AM$63="R",AND('5-man'!AM$62&lt;=IF('5-man'!$BF$42="",999,'5-man'!$BF$42),OR('5-man'!AM$63="D",LEFT('5-man'!AM$63,3)="ST&gt;",OR(AND('5-man'!AM$64="ST&gt;1",AM260&gt;=100),AND('5-man'!AM$65="ST&gt;1",AM268&gt;=100),AND('5-man'!AM$66="ST&gt;1",AM276&gt;=100),AND('5-man'!AM$67="ST&gt;1",AM284&gt;=100))))),'5-man'!AM$62,0)</f>
        <v/>
      </c>
      <c r="AN259">
        <f>IF(OR('5-man'!AN$63="P",'5-man'!AN$63="R",AND('5-man'!AN$62&lt;=IF('5-man'!$BF$42="",999,'5-man'!$BF$42),OR('5-man'!AN$63="D",LEFT('5-man'!AN$63,3)="ST&gt;",OR(AND('5-man'!AN$64="ST&gt;1",AN260&gt;=100),AND('5-man'!AN$65="ST&gt;1",AN268&gt;=100),AND('5-man'!AN$66="ST&gt;1",AN276&gt;=100),AND('5-man'!AN$67="ST&gt;1",AN284&gt;=100))))),'5-man'!AN$62,0)</f>
        <v/>
      </c>
      <c r="AO259">
        <f>IF(OR('5-man'!AO$63="P",'5-man'!AO$63="R",AND('5-man'!AO$62&lt;=IF('5-man'!$BF$42="",999,'5-man'!$BF$42),OR('5-man'!AO$63="D",LEFT('5-man'!AO$63,3)="ST&gt;",OR(AND('5-man'!AO$64="ST&gt;1",AO260&gt;=100),AND('5-man'!AO$65="ST&gt;1",AO268&gt;=100),AND('5-man'!AO$66="ST&gt;1",AO276&gt;=100),AND('5-man'!AO$67="ST&gt;1",AO284&gt;=100))))),'5-man'!AO$62,0)</f>
        <v/>
      </c>
      <c r="AP259">
        <f>IF(OR('5-man'!AP$63="P",'5-man'!AP$63="R",AND('5-man'!AP$62&lt;=IF('5-man'!$BF$42="",999,'5-man'!$BF$42),OR('5-man'!AP$63="D",LEFT('5-man'!AP$63,3)="ST&gt;",OR(AND('5-man'!AP$64="ST&gt;1",AP260&gt;=100),AND('5-man'!AP$65="ST&gt;1",AP268&gt;=100),AND('5-man'!AP$66="ST&gt;1",AP276&gt;=100),AND('5-man'!AP$67="ST&gt;1",AP284&gt;=100))))),'5-man'!AP$62,0)</f>
        <v/>
      </c>
      <c r="AQ259">
        <f>IF(OR('5-man'!AQ$63="P",'5-man'!AQ$63="R",AND('5-man'!AQ$62&lt;=IF('5-man'!$BF$42="",999,'5-man'!$BF$42),OR('5-man'!AQ$63="D",LEFT('5-man'!AQ$63,3)="ST&gt;",OR(AND('5-man'!AQ$64="ST&gt;1",AQ260&gt;=100),AND('5-man'!AQ$65="ST&gt;1",AQ268&gt;=100),AND('5-man'!AQ$66="ST&gt;1",AQ276&gt;=100),AND('5-man'!AQ$67="ST&gt;1",AQ284&gt;=100))))),'5-man'!AQ$62,0)</f>
        <v/>
      </c>
      <c r="AR259">
        <f>IF(OR('5-man'!AR$63="P",'5-man'!AR$63="R",AND('5-man'!AR$62&lt;=IF('5-man'!$BF$42="",999,'5-man'!$BF$42),OR('5-man'!AR$63="D",LEFT('5-man'!AR$63,3)="ST&gt;",OR(AND('5-man'!AR$64="ST&gt;1",AR260&gt;=100),AND('5-man'!AR$65="ST&gt;1",AR268&gt;=100),AND('5-man'!AR$66="ST&gt;1",AR276&gt;=100),AND('5-man'!AR$67="ST&gt;1",AR284&gt;=100))))),'5-man'!AR$62,0)</f>
        <v/>
      </c>
      <c r="AS259">
        <f>IF(OR('5-man'!AS$63="P",'5-man'!AS$63="R",AND('5-man'!AS$62&lt;=IF('5-man'!$BF$42="",999,'5-man'!$BF$42),OR('5-man'!AS$63="D",LEFT('5-man'!AS$63,3)="ST&gt;",OR(AND('5-man'!AS$64="ST&gt;1",AS260&gt;=100),AND('5-man'!AS$65="ST&gt;1",AS268&gt;=100),AND('5-man'!AS$66="ST&gt;1",AS276&gt;=100),AND('5-man'!AS$67="ST&gt;1",AS284&gt;=100))))),'5-man'!AS$62,0)</f>
        <v/>
      </c>
      <c r="AT259">
        <f>IF(OR('5-man'!AT$63="P",'5-man'!AT$63="R",AND('5-man'!AT$62&lt;=IF('5-man'!$BF$42="",999,'5-man'!$BF$42),OR('5-man'!AT$63="D",LEFT('5-man'!AT$63,3)="ST&gt;",OR(AND('5-man'!AT$64="ST&gt;1",AT260&gt;=100),AND('5-man'!AT$65="ST&gt;1",AT268&gt;=100),AND('5-man'!AT$66="ST&gt;1",AT276&gt;=100),AND('5-man'!AT$67="ST&gt;1",AT284&gt;=100))))),'5-man'!AT$62,0)</f>
        <v/>
      </c>
      <c r="AU259">
        <f>IF(OR('5-man'!AU$63="P",'5-man'!AU$63="R",AND('5-man'!AU$62&lt;=IF('5-man'!$BF$42="",999,'5-man'!$BF$42),OR('5-man'!AU$63="D",LEFT('5-man'!AU$63,3)="ST&gt;",OR(AND('5-man'!AU$64="ST&gt;1",AU260&gt;=100),AND('5-man'!AU$65="ST&gt;1",AU268&gt;=100),AND('5-man'!AU$66="ST&gt;1",AU276&gt;=100),AND('5-man'!AU$67="ST&gt;1",AU284&gt;=100))))),'5-man'!AU$62,0)</f>
        <v/>
      </c>
      <c r="AV259">
        <f>IF(OR('5-man'!AV$63="P",'5-man'!AV$63="R",AND('5-man'!AV$62&lt;=IF('5-man'!$BF$42="",999,'5-man'!$BF$42),OR('5-man'!AV$63="D",LEFT('5-man'!AV$63,3)="ST&gt;",OR(AND('5-man'!AV$64="ST&gt;1",AV260&gt;=100),AND('5-man'!AV$65="ST&gt;1",AV268&gt;=100),AND('5-man'!AV$66="ST&gt;1",AV276&gt;=100),AND('5-man'!AV$67="ST&gt;1",AV284&gt;=100))))),'5-man'!AV$62,0)</f>
        <v/>
      </c>
      <c r="AW259">
        <f>IF(OR('5-man'!AW$63="P",'5-man'!AW$63="R",AND('5-man'!AW$62&lt;=IF('5-man'!$BF$42="",999,'5-man'!$BF$42),OR('5-man'!AW$63="D",LEFT('5-man'!AW$63,3)="ST&gt;",OR(AND('5-man'!AW$64="ST&gt;1",AW260&gt;=100),AND('5-man'!AW$65="ST&gt;1",AW268&gt;=100),AND('5-man'!AW$66="ST&gt;1",AW276&gt;=100),AND('5-man'!AW$67="ST&gt;1",AW284&gt;=100))))),'5-man'!AW$62,0)</f>
        <v/>
      </c>
      <c r="AX259">
        <f>IF(OR('5-man'!AX$63="P",'5-man'!AX$63="R",AND('5-man'!AX$62&lt;=IF('5-man'!$BF$42="",999,'5-man'!$BF$42),OR('5-man'!AX$63="D",LEFT('5-man'!AX$63,3)="ST&gt;",OR(AND('5-man'!AX$64="ST&gt;1",AX260&gt;=100),AND('5-man'!AX$65="ST&gt;1",AX268&gt;=100),AND('5-man'!AX$66="ST&gt;1",AX276&gt;=100),AND('5-man'!AX$67="ST&gt;1",AX284&gt;=100))))),'5-man'!AX$62,0)</f>
        <v/>
      </c>
      <c r="AY259">
        <f>IF(OR('5-man'!AY$63="P",'5-man'!AY$63="R",AND('5-man'!AY$62&lt;=IF('5-man'!$BF$42="",999,'5-man'!$BF$42),OR('5-man'!AY$63="D",LEFT('5-man'!AY$63,3)="ST&gt;",OR(AND('5-man'!AY$64="ST&gt;1",AY260&gt;=100),AND('5-man'!AY$65="ST&gt;1",AY268&gt;=100),AND('5-man'!AY$66="ST&gt;1",AY276&gt;=100),AND('5-man'!AY$67="ST&gt;1",AY284&gt;=100))))),'5-man'!AY$62,0)</f>
        <v/>
      </c>
      <c r="AZ259">
        <f>IF(OR('5-man'!AZ$63="P",'5-man'!AZ$63="R",AND('5-man'!AZ$62&lt;=IF('5-man'!$BF$42="",999,'5-man'!$BF$42),OR('5-man'!AZ$63="D",LEFT('5-man'!AZ$63,3)="ST&gt;",OR(AND('5-man'!AZ$64="ST&gt;1",AZ260&gt;=100),AND('5-man'!AZ$65="ST&gt;1",AZ268&gt;=100),AND('5-man'!AZ$66="ST&gt;1",AZ276&gt;=100),AND('5-man'!AZ$67="ST&gt;1",AZ284&gt;=100))))),'5-man'!AZ$62,0)</f>
        <v/>
      </c>
      <c r="BA259">
        <f>IF(OR('5-man'!BA$63="P",'5-man'!BA$63="R",AND('5-man'!BA$62&lt;=IF('5-man'!$BF$42="",999,'5-man'!$BF$42),OR('5-man'!BA$63="D",LEFT('5-man'!BA$63,3)="ST&gt;",OR(AND('5-man'!BA$64="ST&gt;1",BA260&gt;=100),AND('5-man'!BA$65="ST&gt;1",BA268&gt;=100),AND('5-man'!BA$66="ST&gt;1",BA276&gt;=100),AND('5-man'!BA$67="ST&gt;1",BA284&gt;=100))))),'5-man'!BA$62,0)</f>
        <v/>
      </c>
      <c r="BB259">
        <f>IF(OR('5-man'!BB$63="P",'5-man'!BB$63="R",AND('5-man'!BB$62&lt;=IF('5-man'!$BF$42="",999,'5-man'!$BF$42),OR('5-man'!BB$63="D",LEFT('5-man'!BB$63,3)="ST&gt;",OR(AND('5-man'!BB$64="ST&gt;1",BB260&gt;=100),AND('5-man'!BB$65="ST&gt;1",BB268&gt;=100),AND('5-man'!BB$66="ST&gt;1",BB276&gt;=100),AND('5-man'!BB$67="ST&gt;1",BB284&gt;=100))))),'5-man'!BB$62,0)</f>
        <v/>
      </c>
      <c r="BC259">
        <f>IF(OR('5-man'!BC$63="P",'5-man'!BC$63="R",AND('5-man'!BC$62&lt;=IF('5-man'!$BF$42="",999,'5-man'!$BF$42),OR('5-man'!BC$63="D",LEFT('5-man'!BC$63,3)="ST&gt;",OR(AND('5-man'!BC$64="ST&gt;1",BC260&gt;=100),AND('5-man'!BC$65="ST&gt;1",BC268&gt;=100),AND('5-man'!BC$66="ST&gt;1",BC276&gt;=100),AND('5-man'!BC$67="ST&gt;1",BC284&gt;=100))))),'5-man'!BC$62,0)</f>
        <v/>
      </c>
      <c r="BD259">
        <f>IF(OR('5-man'!BD$63="P",'5-man'!BD$63="R",AND('5-man'!BD$62&lt;=IF('5-man'!$BF$42="",999,'5-man'!$BF$42),OR('5-man'!BD$63="D",LEFT('5-man'!BD$63,3)="ST&gt;",OR(AND('5-man'!BD$64="ST&gt;1",BD260&gt;=100),AND('5-man'!BD$65="ST&gt;1",BD268&gt;=100),AND('5-man'!BD$66="ST&gt;1",BD276&gt;=100),AND('5-man'!BD$67="ST&gt;1",BD284&gt;=100))))),'5-man'!BD$62,0)</f>
        <v/>
      </c>
      <c r="BE259">
        <f>IF(OR('5-man'!BE$63="P",'5-man'!BE$63="R",AND('5-man'!BE$62&lt;=IF('5-man'!$BF$42="",999,'5-man'!$BF$42),OR('5-man'!BE$63="D",LEFT('5-man'!BE$63,3)="ST&gt;",OR(AND('5-man'!BE$64="ST&gt;1",BE260&gt;=100),AND('5-man'!BE$65="ST&gt;1",BE268&gt;=100),AND('5-man'!BE$66="ST&gt;1",BE276&gt;=100),AND('5-man'!BE$67="ST&gt;1",BE284&gt;=100))))),'5-man'!BE$62,0)</f>
        <v/>
      </c>
      <c r="BF259">
        <f>IF(OR('5-man'!BF$63="P",'5-man'!BF$63="R",AND('5-man'!BF$62&lt;=IF('5-man'!$BF$42="",999,'5-man'!$BF$42),OR('5-man'!BF$63="D",LEFT('5-man'!BF$63,3)="ST&gt;",OR(AND('5-man'!BF$64="ST&gt;1",BF260&gt;=100),AND('5-man'!BF$65="ST&gt;1",BF268&gt;=100),AND('5-man'!BF$66="ST&gt;1",BF276&gt;=100),AND('5-man'!BF$67="ST&gt;1",BF284&gt;=100))))),'5-man'!BF$62,0)</f>
        <v/>
      </c>
      <c r="BG259">
        <f>IF(OR('5-man'!BG$63="P",'5-man'!BG$63="R",AND('5-man'!BG$62&lt;=IF('5-man'!$BF$42="",999,'5-man'!$BF$42),OR('5-man'!BG$63="D",LEFT('5-man'!BG$63,3)="ST&gt;",OR(AND('5-man'!BG$64="ST&gt;1",BG260&gt;=100),AND('5-man'!BG$65="ST&gt;1",BG268&gt;=100),AND('5-man'!BG$66="ST&gt;1",BG276&gt;=100),AND('5-man'!BG$67="ST&gt;1",BG284&gt;=100))))),'5-man'!BG$62,0)</f>
        <v/>
      </c>
      <c r="BH259">
        <f>IF(OR('5-man'!BH$63="P",'5-man'!BH$63="R",AND('5-man'!BH$62&lt;=IF('5-man'!$BF$42="",999,'5-man'!$BF$42),OR('5-man'!BH$63="D",LEFT('5-man'!BH$63,3)="ST&gt;",OR(AND('5-man'!BH$64="ST&gt;1",BH260&gt;=100),AND('5-man'!BH$65="ST&gt;1",BH268&gt;=100),AND('5-man'!BH$66="ST&gt;1",BH276&gt;=100),AND('5-man'!BH$67="ST&gt;1",BH284&gt;=100))))),'5-man'!BH$62,0)</f>
        <v/>
      </c>
      <c r="BI259">
        <f>IF(OR('5-man'!BI$63="P",'5-man'!BI$63="R",AND('5-man'!BI$62&lt;=IF('5-man'!$BF$42="",999,'5-man'!$BF$42),OR('5-man'!BI$63="D",LEFT('5-man'!BI$63,3)="ST&gt;",OR(AND('5-man'!BI$64="ST&gt;1",BI260&gt;=100),AND('5-man'!BI$65="ST&gt;1",BI268&gt;=100),AND('5-man'!BI$66="ST&gt;1",BI276&gt;=100),AND('5-man'!BI$67="ST&gt;1",BI284&gt;=100))))),'5-man'!BI$62,0)</f>
        <v/>
      </c>
      <c r="BJ259">
        <f>IF(OR('5-man'!BJ$63="P",'5-man'!BJ$63="R",AND('5-man'!BJ$62&lt;=IF('5-man'!$BF$42="",999,'5-man'!$BF$42),OR('5-man'!BJ$63="D",LEFT('5-man'!BJ$63,3)="ST&gt;",OR(AND('5-man'!BJ$64="ST&gt;1",BJ260&gt;=100),AND('5-man'!BJ$65="ST&gt;1",BJ268&gt;=100),AND('5-man'!BJ$66="ST&gt;1",BJ276&gt;=100),AND('5-man'!BJ$67="ST&gt;1",BJ284&gt;=100))))),'5-man'!BJ$62,0)</f>
        <v/>
      </c>
      <c r="BK259">
        <f>IF(OR('5-man'!BK$63="P",'5-man'!BK$63="R",AND('5-man'!BK$62&lt;=IF('5-man'!$BF$42="",999,'5-man'!$BF$42),OR('5-man'!BK$63="D",LEFT('5-man'!BK$63,3)="ST&gt;",OR(AND('5-man'!BK$64="ST&gt;1",BK260&gt;=100),AND('5-man'!BK$65="ST&gt;1",BK268&gt;=100),AND('5-man'!BK$66="ST&gt;1",BK276&gt;=100),AND('5-man'!BK$67="ST&gt;1",BK284&gt;=100))))),'5-man'!BK$62,0)</f>
        <v/>
      </c>
      <c r="BL259">
        <f>IF(OR('5-man'!BL$63="P",'5-man'!BL$63="R",AND('5-man'!BL$62&lt;=IF('5-man'!$BF$42="",999,'5-man'!$BF$42),OR('5-man'!BL$63="D",LEFT('5-man'!BL$63,3)="ST&gt;",OR(AND('5-man'!BL$64="ST&gt;1",BL260&gt;=100),AND('5-man'!BL$65="ST&gt;1",BL268&gt;=100),AND('5-man'!BL$66="ST&gt;1",BL276&gt;=100),AND('5-man'!BL$67="ST&gt;1",BL284&gt;=100))))),'5-man'!BL$62,0)</f>
        <v/>
      </c>
      <c r="BM259">
        <f>IF(OR('5-man'!BM$63="P",'5-man'!BM$63="R",AND('5-man'!BM$62&lt;=IF('5-man'!$BF$42="",999,'5-man'!$BF$42),OR('5-man'!BM$63="D",LEFT('5-man'!BM$63,3)="ST&gt;",OR(AND('5-man'!BM$64="ST&gt;1",BM260&gt;=100),AND('5-man'!BM$65="ST&gt;1",BM268&gt;=100),AND('5-man'!BM$66="ST&gt;1",BM276&gt;=100),AND('5-man'!BM$67="ST&gt;1",BM284&gt;=100))))),'5-man'!BM$62,0)</f>
        <v/>
      </c>
      <c r="BN259">
        <f>IF(OR('5-man'!BN$63="P",'5-man'!BN$63="R",AND('5-man'!BN$62&lt;=IF('5-man'!$BF$42="",999,'5-man'!$BF$42),OR('5-man'!BN$63="D",LEFT('5-man'!BN$63,3)="ST&gt;",OR(AND('5-man'!BN$64="ST&gt;1",BN260&gt;=100),AND('5-man'!BN$65="ST&gt;1",BN268&gt;=100),AND('5-man'!BN$66="ST&gt;1",BN276&gt;=100),AND('5-man'!BN$67="ST&gt;1",BN284&gt;=100))))),'5-man'!BN$62,0)</f>
        <v/>
      </c>
      <c r="BO259">
        <f>IF(OR('5-man'!BO$63="P",'5-man'!BO$63="R",AND('5-man'!BO$62&lt;=IF('5-man'!$BF$42="",999,'5-man'!$BF$42),OR('5-man'!BO$63="D",LEFT('5-man'!BO$63,3)="ST&gt;",OR(AND('5-man'!BO$64="ST&gt;1",BO260&gt;=100),AND('5-man'!BO$65="ST&gt;1",BO268&gt;=100),AND('5-man'!BO$66="ST&gt;1",BO276&gt;=100),AND('5-man'!BO$67="ST&gt;1",BO284&gt;=100))))),'5-man'!BO$62,0)</f>
        <v/>
      </c>
      <c r="BP259">
        <f>IF(OR('5-man'!BP$63="P",'5-man'!BP$63="R",AND('5-man'!BP$62&lt;=IF('5-man'!$BF$42="",999,'5-man'!$BF$42),OR('5-man'!BP$63="D",LEFT('5-man'!BP$63,3)="ST&gt;",OR(AND('5-man'!BP$64="ST&gt;1",BP260&gt;=100),AND('5-man'!BP$65="ST&gt;1",BP268&gt;=100),AND('5-man'!BP$66="ST&gt;1",BP276&gt;=100),AND('5-man'!BP$67="ST&gt;1",BP284&gt;=100))))),'5-man'!BP$62,0)</f>
        <v/>
      </c>
      <c r="BQ259">
        <f>IF(OR('5-man'!BQ$63="P",'5-man'!BQ$63="R",AND('5-man'!BQ$62&lt;=IF('5-man'!$BF$42="",999,'5-man'!$BF$42),OR('5-man'!BQ$63="D",LEFT('5-man'!BQ$63,3)="ST&gt;",OR(AND('5-man'!BQ$64="ST&gt;1",BQ260&gt;=100),AND('5-man'!BQ$65="ST&gt;1",BQ268&gt;=100),AND('5-man'!BQ$66="ST&gt;1",BQ276&gt;=100),AND('5-man'!BQ$67="ST&gt;1",BQ284&gt;=100))))),'5-man'!BQ$62,0)</f>
        <v/>
      </c>
      <c r="BR259">
        <f>IF(OR('5-man'!BR$63="P",'5-man'!BR$63="R",AND('5-man'!BR$62&lt;=IF('5-man'!$BF$42="",999,'5-man'!$BF$42),OR('5-man'!BR$63="D",LEFT('5-man'!BR$63,3)="ST&gt;",OR(AND('5-man'!BR$64="ST&gt;1",BR260&gt;=100),AND('5-man'!BR$65="ST&gt;1",BR268&gt;=100),AND('5-man'!BR$66="ST&gt;1",BR276&gt;=100),AND('5-man'!BR$67="ST&gt;1",BR284&gt;=100))))),'5-man'!BR$62,0)</f>
        <v/>
      </c>
      <c r="BS259">
        <f>IF(OR('5-man'!BS$63="P",'5-man'!BS$63="R",AND('5-man'!BS$62&lt;=IF('5-man'!$BF$42="",999,'5-man'!$BF$42),OR('5-man'!BS$63="D",LEFT('5-man'!BS$63,3)="ST&gt;",OR(AND('5-man'!BS$64="ST&gt;1",BS260&gt;=100),AND('5-man'!BS$65="ST&gt;1",BS268&gt;=100),AND('5-man'!BS$66="ST&gt;1",BS276&gt;=100),AND('5-man'!BS$67="ST&gt;1",BS284&gt;=100))))),'5-man'!BS$62,0)</f>
        <v/>
      </c>
      <c r="BT259">
        <f>IF(OR('5-man'!BT$63="P",'5-man'!BT$63="R",AND('5-man'!BT$62&lt;=IF('5-man'!$BF$42="",999,'5-man'!$BF$42),OR('5-man'!BT$63="D",LEFT('5-man'!BT$63,3)="ST&gt;",OR(AND('5-man'!BT$64="ST&gt;1",BT260&gt;=100),AND('5-man'!BT$65="ST&gt;1",BT268&gt;=100),AND('5-man'!BT$66="ST&gt;1",BT276&gt;=100),AND('5-man'!BT$67="ST&gt;1",BT284&gt;=100))))),'5-man'!BT$62,0)</f>
        <v/>
      </c>
      <c r="BU259">
        <f>IF(OR('5-man'!BU$63="P",'5-man'!BU$63="R",AND('5-man'!BU$62&lt;=IF('5-man'!$BF$42="",999,'5-man'!$BF$42),OR('5-man'!BU$63="D",LEFT('5-man'!BU$63,3)="ST&gt;",OR(AND('5-man'!BU$64="ST&gt;1",BU260&gt;=100),AND('5-man'!BU$65="ST&gt;1",BU268&gt;=100),AND('5-man'!BU$66="ST&gt;1",BU276&gt;=100),AND('5-man'!BU$67="ST&gt;1",BU284&gt;=100))))),'5-man'!BU$62,0)</f>
        <v/>
      </c>
      <c r="BV259">
        <f>IF(OR('5-man'!BV$63="P",'5-man'!BV$63="R",AND('5-man'!BV$62&lt;=IF('5-man'!$BF$42="",999,'5-man'!$BF$42),OR('5-man'!BV$63="D",LEFT('5-man'!BV$63,3)="ST&gt;",OR(AND('5-man'!BV$64="ST&gt;1",BV260&gt;=100),AND('5-man'!BV$65="ST&gt;1",BV268&gt;=100),AND('5-man'!BV$66="ST&gt;1",BV276&gt;=100),AND('5-man'!BV$67="ST&gt;1",BV284&gt;=100))))),'5-man'!BV$62,0)</f>
        <v/>
      </c>
      <c r="BW259">
        <f>IF(OR('5-man'!BW$63="P",'5-man'!BW$63="R",AND('5-man'!BW$62&lt;=IF('5-man'!$BF$42="",999,'5-man'!$BF$42),OR('5-man'!BW$63="D",LEFT('5-man'!BW$63,3)="ST&gt;",OR(AND('5-man'!BW$64="ST&gt;1",BW260&gt;=100),AND('5-man'!BW$65="ST&gt;1",BW268&gt;=100),AND('5-man'!BW$66="ST&gt;1",BW276&gt;=100),AND('5-man'!BW$67="ST&gt;1",BW284&gt;=100))))),'5-man'!BW$62,0)</f>
        <v/>
      </c>
      <c r="BX259">
        <f>IF(OR('5-man'!BX$63="P",'5-man'!BX$63="R",AND('5-man'!BX$62&lt;=IF('5-man'!$BF$42="",999,'5-man'!$BF$42),OR('5-man'!BX$63="D",LEFT('5-man'!BX$63,3)="ST&gt;",OR(AND('5-man'!BX$64="ST&gt;1",BX260&gt;=100),AND('5-man'!BX$65="ST&gt;1",BX268&gt;=100),AND('5-man'!BX$66="ST&gt;1",BX276&gt;=100),AND('5-man'!BX$67="ST&gt;1",BX284&gt;=100))))),'5-man'!BX$62,0)</f>
        <v/>
      </c>
      <c r="BY259">
        <f>IF(OR('5-man'!BY$63="P",'5-man'!BY$63="R",AND('5-man'!BY$62&lt;=IF('5-man'!$BF$42="",999,'5-man'!$BF$42),OR('5-man'!BY$63="D",LEFT('5-man'!BY$63,3)="ST&gt;",OR(AND('5-man'!BY$64="ST&gt;1",BY260&gt;=100),AND('5-man'!BY$65="ST&gt;1",BY268&gt;=100),AND('5-man'!BY$66="ST&gt;1",BY276&gt;=100),AND('5-man'!BY$67="ST&gt;1",BY284&gt;=100))))),'5-man'!BY$62,0)</f>
        <v/>
      </c>
      <c r="BZ259">
        <f>IF(OR('5-man'!BZ$63="P",'5-man'!BZ$63="R",AND('5-man'!BZ$62&lt;=IF('5-man'!$BF$42="",999,'5-man'!$BF$42),OR('5-man'!BZ$63="D",LEFT('5-man'!BZ$63,3)="ST&gt;",OR(AND('5-man'!BZ$64="ST&gt;1",BZ260&gt;=100),AND('5-man'!BZ$65="ST&gt;1",BZ268&gt;=100),AND('5-man'!BZ$66="ST&gt;1",BZ276&gt;=100),AND('5-man'!BZ$67="ST&gt;1",BZ284&gt;=100))))),'5-man'!BZ$62,0)</f>
        <v/>
      </c>
      <c r="CA259">
        <f>IF(OR('5-man'!CA$63="P",'5-man'!CA$63="R",AND('5-man'!CA$62&lt;=IF('5-man'!$BF$42="",999,'5-man'!$BF$42),OR('5-man'!CA$63="D",LEFT('5-man'!CA$63,3)="ST&gt;",OR(AND('5-man'!CA$64="ST&gt;1",CA260&gt;=100),AND('5-man'!CA$65="ST&gt;1",CA268&gt;=100),AND('5-man'!CA$66="ST&gt;1",CA276&gt;=100),AND('5-man'!CA$67="ST&gt;1",CA284&gt;=100))))),'5-man'!CA$62,0)</f>
        <v/>
      </c>
      <c r="CB259">
        <f>IF(OR('5-man'!CB$63="P",'5-man'!CB$63="R",AND('5-man'!CB$62&lt;=IF('5-man'!$BF$42="",999,'5-man'!$BF$42),OR('5-man'!CB$63="D",LEFT('5-man'!CB$63,3)="ST&gt;",OR(AND('5-man'!CB$64="ST&gt;1",CB260&gt;=100),AND('5-man'!CB$65="ST&gt;1",CB268&gt;=100),AND('5-man'!CB$66="ST&gt;1",CB276&gt;=100),AND('5-man'!CB$67="ST&gt;1",CB284&gt;=100))))),'5-man'!CB$62,0)</f>
        <v/>
      </c>
      <c r="CC259">
        <f>IF(OR('5-man'!CC$63="P",'5-man'!CC$63="R",AND('5-man'!CC$62&lt;=IF('5-man'!$BF$42="",999,'5-man'!$BF$42),OR('5-man'!CC$63="D",LEFT('5-man'!CC$63,3)="ST&gt;",OR(AND('5-man'!CC$64="ST&gt;1",CC260&gt;=100),AND('5-man'!CC$65="ST&gt;1",CC268&gt;=100),AND('5-man'!CC$66="ST&gt;1",CC276&gt;=100),AND('5-man'!CC$67="ST&gt;1",CC284&gt;=100))))),'5-man'!CC$62,0)</f>
        <v/>
      </c>
      <c r="CD259">
        <f>IF(OR('5-man'!CD$63="P",'5-man'!CD$63="R",AND('5-man'!CD$62&lt;=IF('5-man'!$BF$42="",999,'5-man'!$BF$42),OR('5-man'!CD$63="D",LEFT('5-man'!CD$63,3)="ST&gt;",OR(AND('5-man'!CD$64="ST&gt;1",CD260&gt;=100),AND('5-man'!CD$65="ST&gt;1",CD268&gt;=100),AND('5-man'!CD$66="ST&gt;1",CD276&gt;=100),AND('5-man'!CD$67="ST&gt;1",CD284&gt;=100))))),'5-man'!CD$62,0)</f>
        <v/>
      </c>
    </row>
    <row r="260">
      <c r="A260" t="inlineStr">
        <is>
          <t>P2 s1</t>
        </is>
      </c>
      <c r="C260">
        <f>MIN(100,B261+IF(AND(B261&lt;100,B262+1&gt;=IF(OR('5-man'!$F$43=TRUE,'5-man'!$F$43="TRUE",'5-man'!$F$43="Yes"),25,50)),10,0)+IF('5-man'!C$62=$Q$266,25,0))</f>
        <v/>
      </c>
      <c r="D260">
        <f>MIN(100,C261+IF(AND(C261&lt;100,C262+1&gt;=IF(OR('5-man'!$F$43=TRUE,'5-man'!$F$43="TRUE",'5-man'!$F$43="Yes"),25,50)),10,0)+IF('5-man'!D$62=$Q$266,25,0))</f>
        <v/>
      </c>
      <c r="E260">
        <f>MIN(100,D261+IF(AND(D261&lt;100,D262+1&gt;=IF(OR('5-man'!$F$43=TRUE,'5-man'!$F$43="TRUE",'5-man'!$F$43="Yes"),25,50)),10,0)+IF('5-man'!E$62=$Q$266,25,0))</f>
        <v/>
      </c>
      <c r="F260">
        <f>MIN(100,E261+IF(AND(E261&lt;100,E262+1&gt;=IF(OR('5-man'!$F$43=TRUE,'5-man'!$F$43="TRUE",'5-man'!$F$43="Yes"),25,50)),10,0)+IF('5-man'!F$62=$Q$266,25,0))</f>
        <v/>
      </c>
      <c r="G260">
        <f>MIN(100,F261+IF(AND(F261&lt;100,F262+1&gt;=IF(OR('5-man'!$F$43=TRUE,'5-man'!$F$43="TRUE",'5-man'!$F$43="Yes"),25,50)),10,0)+IF('5-man'!G$62=$Q$266,25,0))</f>
        <v/>
      </c>
      <c r="H260">
        <f>MIN(100,G261+IF(AND(G261&lt;100,G262+1&gt;=IF(OR('5-man'!$F$43=TRUE,'5-man'!$F$43="TRUE",'5-man'!$F$43="Yes"),25,50)),10,0)+IF('5-man'!H$62=$Q$266,25,0))</f>
        <v/>
      </c>
      <c r="I260">
        <f>MIN(100,H261+IF(AND(H261&lt;100,H262+1&gt;=IF(OR('5-man'!$F$43=TRUE,'5-man'!$F$43="TRUE",'5-man'!$F$43="Yes"),25,50)),10,0)+IF('5-man'!I$62=$Q$266,25,0))</f>
        <v/>
      </c>
      <c r="J260">
        <f>MIN(100,I261+IF(AND(I261&lt;100,I262+1&gt;=IF(OR('5-man'!$F$43=TRUE,'5-man'!$F$43="TRUE",'5-man'!$F$43="Yes"),25,50)),10,0)+IF('5-man'!J$62=$Q$266,25,0))</f>
        <v/>
      </c>
      <c r="K260">
        <f>MIN(100,J261+IF(AND(J261&lt;100,J262+1&gt;=IF(OR('5-man'!$F$43=TRUE,'5-man'!$F$43="TRUE",'5-man'!$F$43="Yes"),25,50)),10,0)+IF('5-man'!K$62=$Q$266,25,0))</f>
        <v/>
      </c>
      <c r="L260">
        <f>MIN(100,K261+IF(AND(K261&lt;100,K262+1&gt;=IF(OR('5-man'!$F$43=TRUE,'5-man'!$F$43="TRUE",'5-man'!$F$43="Yes"),25,50)),10,0)+IF('5-man'!L$62=$Q$266,25,0))</f>
        <v/>
      </c>
      <c r="M260">
        <f>MIN(100,L261+IF(AND(L261&lt;100,L262+1&gt;=IF(OR('5-man'!$F$43=TRUE,'5-man'!$F$43="TRUE",'5-man'!$F$43="Yes"),25,50)),10,0)+IF('5-man'!M$62=$Q$266,25,0))</f>
        <v/>
      </c>
      <c r="N260">
        <f>MIN(100,M261+IF(AND(M261&lt;100,M262+1&gt;=IF(OR('5-man'!$F$43=TRUE,'5-man'!$F$43="TRUE",'5-man'!$F$43="Yes"),25,50)),10,0)+IF('5-man'!N$62=$Q$266,25,0))</f>
        <v/>
      </c>
      <c r="O260">
        <f>MIN(100,N261+IF(AND(N261&lt;100,N262+1&gt;=IF(OR('5-man'!$F$43=TRUE,'5-man'!$F$43="TRUE",'5-man'!$F$43="Yes"),25,50)),10,0)+IF('5-man'!O$62=$Q$266,25,0))</f>
        <v/>
      </c>
      <c r="P260">
        <f>MIN(100,O261+IF(AND(O261&lt;100,O262+1&gt;=IF(OR('5-man'!$F$43=TRUE,'5-man'!$F$43="TRUE",'5-man'!$F$43="Yes"),25,50)),10,0)+IF('5-man'!P$62=$Q$266,25,0))</f>
        <v/>
      </c>
      <c r="Q260">
        <f>MIN(100,P261+IF(AND(P261&lt;100,P262+1&gt;=IF(OR('5-man'!$F$43=TRUE,'5-man'!$F$43="TRUE",'5-man'!$F$43="Yes"),25,50)),10,0)+IF('5-man'!Q$62=$Q$266,25,0))</f>
        <v/>
      </c>
      <c r="R260">
        <f>MIN(100,Q261+IF(AND(Q261&lt;100,Q262+1&gt;=IF(OR('5-man'!$F$43=TRUE,'5-man'!$F$43="TRUE",'5-man'!$F$43="Yes"),25,50)),10,0)+IF('5-man'!R$62=$Q$266,25,0))</f>
        <v/>
      </c>
      <c r="S260">
        <f>MIN(100,R261+IF(AND(R261&lt;100,R262+1&gt;=IF(OR('5-man'!$F$43=TRUE,'5-man'!$F$43="TRUE",'5-man'!$F$43="Yes"),25,50)),10,0)+IF('5-man'!S$62=$Q$266,25,0))</f>
        <v/>
      </c>
      <c r="T260">
        <f>MIN(100,S261+IF(AND(S261&lt;100,S262+1&gt;=IF(OR('5-man'!$F$43=TRUE,'5-man'!$F$43="TRUE",'5-man'!$F$43="Yes"),25,50)),10,0)+IF('5-man'!T$62=$Q$266,25,0))</f>
        <v/>
      </c>
      <c r="U260">
        <f>MIN(100,T261+IF(AND(T261&lt;100,T262+1&gt;=IF(OR('5-man'!$F$43=TRUE,'5-man'!$F$43="TRUE",'5-man'!$F$43="Yes"),25,50)),10,0)+IF('5-man'!U$62=$Q$266,25,0))</f>
        <v/>
      </c>
      <c r="V260">
        <f>MIN(100,U261+IF(AND(U261&lt;100,U262+1&gt;=IF(OR('5-man'!$F$43=TRUE,'5-man'!$F$43="TRUE",'5-man'!$F$43="Yes"),25,50)),10,0)+IF('5-man'!V$62=$Q$266,25,0))</f>
        <v/>
      </c>
      <c r="W260">
        <f>MIN(100,V261+IF(AND(V261&lt;100,V262+1&gt;=IF(OR('5-man'!$F$43=TRUE,'5-man'!$F$43="TRUE",'5-man'!$F$43="Yes"),25,50)),10,0)+IF('5-man'!W$62=$Q$266,25,0))</f>
        <v/>
      </c>
      <c r="X260">
        <f>MIN(100,W261+IF(AND(W261&lt;100,W262+1&gt;=IF(OR('5-man'!$F$43=TRUE,'5-man'!$F$43="TRUE",'5-man'!$F$43="Yes"),25,50)),10,0)+IF('5-man'!X$62=$Q$266,25,0))</f>
        <v/>
      </c>
      <c r="Y260">
        <f>MIN(100,X261+IF(AND(X261&lt;100,X262+1&gt;=IF(OR('5-man'!$F$43=TRUE,'5-man'!$F$43="TRUE",'5-man'!$F$43="Yes"),25,50)),10,0)+IF('5-man'!Y$62=$Q$266,25,0))</f>
        <v/>
      </c>
      <c r="Z260">
        <f>MIN(100,Y261+IF(AND(Y261&lt;100,Y262+1&gt;=IF(OR('5-man'!$F$43=TRUE,'5-man'!$F$43="TRUE",'5-man'!$F$43="Yes"),25,50)),10,0)+IF('5-man'!Z$62=$Q$266,25,0))</f>
        <v/>
      </c>
      <c r="AA260">
        <f>MIN(100,Z261+IF(AND(Z261&lt;100,Z262+1&gt;=IF(OR('5-man'!$F$43=TRUE,'5-man'!$F$43="TRUE",'5-man'!$F$43="Yes"),25,50)),10,0)+IF('5-man'!AA$62=$Q$266,25,0))</f>
        <v/>
      </c>
      <c r="AB260">
        <f>MIN(100,AA261+IF(AND(AA261&lt;100,AA262+1&gt;=IF(OR('5-man'!$F$43=TRUE,'5-man'!$F$43="TRUE",'5-man'!$F$43="Yes"),25,50)),10,0)+IF('5-man'!AB$62=$Q$266,25,0))</f>
        <v/>
      </c>
      <c r="AC260">
        <f>MIN(100,AB261+IF(AND(AB261&lt;100,AB262+1&gt;=IF(OR('5-man'!$F$43=TRUE,'5-man'!$F$43="TRUE",'5-man'!$F$43="Yes"),25,50)),10,0)+IF('5-man'!AC$62=$Q$266,25,0))</f>
        <v/>
      </c>
      <c r="AD260">
        <f>MIN(100,AC261+IF(AND(AC261&lt;100,AC262+1&gt;=IF(OR('5-man'!$F$43=TRUE,'5-man'!$F$43="TRUE",'5-man'!$F$43="Yes"),25,50)),10,0)+IF('5-man'!AD$62=$Q$266,25,0))</f>
        <v/>
      </c>
      <c r="AE260">
        <f>MIN(100,AD261+IF(AND(AD261&lt;100,AD262+1&gt;=IF(OR('5-man'!$F$43=TRUE,'5-man'!$F$43="TRUE",'5-man'!$F$43="Yes"),25,50)),10,0)+IF('5-man'!AE$62=$Q$266,25,0))</f>
        <v/>
      </c>
      <c r="AF260">
        <f>MIN(100,AE261+IF(AND(AE261&lt;100,AE262+1&gt;=IF(OR('5-man'!$F$43=TRUE,'5-man'!$F$43="TRUE",'5-man'!$F$43="Yes"),25,50)),10,0)+IF('5-man'!AF$62=$Q$266,25,0))</f>
        <v/>
      </c>
      <c r="AG260">
        <f>MIN(100,AF261+IF(AND(AF261&lt;100,AF262+1&gt;=IF(OR('5-man'!$F$43=TRUE,'5-man'!$F$43="TRUE",'5-man'!$F$43="Yes"),25,50)),10,0)+IF('5-man'!AG$62=$Q$266,25,0))</f>
        <v/>
      </c>
      <c r="AH260">
        <f>MIN(100,AG261+IF(AND(AG261&lt;100,AG262+1&gt;=IF(OR('5-man'!$F$43=TRUE,'5-man'!$F$43="TRUE",'5-man'!$F$43="Yes"),25,50)),10,0)+IF('5-man'!AH$62=$Q$266,25,0))</f>
        <v/>
      </c>
      <c r="AI260">
        <f>MIN(100,AH261+IF(AND(AH261&lt;100,AH262+1&gt;=IF(OR('5-man'!$F$43=TRUE,'5-man'!$F$43="TRUE",'5-man'!$F$43="Yes"),25,50)),10,0)+IF('5-man'!AI$62=$Q$266,25,0))</f>
        <v/>
      </c>
      <c r="AJ260">
        <f>MIN(100,AI261+IF(AND(AI261&lt;100,AI262+1&gt;=IF(OR('5-man'!$F$43=TRUE,'5-man'!$F$43="TRUE",'5-man'!$F$43="Yes"),25,50)),10,0)+IF('5-man'!AJ$62=$Q$266,25,0))</f>
        <v/>
      </c>
      <c r="AK260">
        <f>MIN(100,AJ261+IF(AND(AJ261&lt;100,AJ262+1&gt;=IF(OR('5-man'!$F$43=TRUE,'5-man'!$F$43="TRUE",'5-man'!$F$43="Yes"),25,50)),10,0)+IF('5-man'!AK$62=$Q$266,25,0))</f>
        <v/>
      </c>
      <c r="AL260">
        <f>MIN(100,AK261+IF(AND(AK261&lt;100,AK262+1&gt;=IF(OR('5-man'!$F$43=TRUE,'5-man'!$F$43="TRUE",'5-man'!$F$43="Yes"),25,50)),10,0)+IF('5-man'!AL$62=$Q$266,25,0))</f>
        <v/>
      </c>
      <c r="AM260">
        <f>MIN(100,AL261+IF(AND(AL261&lt;100,AL262+1&gt;=IF(OR('5-man'!$F$43=TRUE,'5-man'!$F$43="TRUE",'5-man'!$F$43="Yes"),25,50)),10,0)+IF('5-man'!AM$62=$Q$266,25,0))</f>
        <v/>
      </c>
      <c r="AN260">
        <f>MIN(100,AM261+IF(AND(AM261&lt;100,AM262+1&gt;=IF(OR('5-man'!$F$43=TRUE,'5-man'!$F$43="TRUE",'5-man'!$F$43="Yes"),25,50)),10,0)+IF('5-man'!AN$62=$Q$266,25,0))</f>
        <v/>
      </c>
      <c r="AO260">
        <f>MIN(100,AN261+IF(AND(AN261&lt;100,AN262+1&gt;=IF(OR('5-man'!$F$43=TRUE,'5-man'!$F$43="TRUE",'5-man'!$F$43="Yes"),25,50)),10,0)+IF('5-man'!AO$62=$Q$266,25,0))</f>
        <v/>
      </c>
      <c r="AP260">
        <f>MIN(100,AO261+IF(AND(AO261&lt;100,AO262+1&gt;=IF(OR('5-man'!$F$43=TRUE,'5-man'!$F$43="TRUE",'5-man'!$F$43="Yes"),25,50)),10,0)+IF('5-man'!AP$62=$Q$266,25,0))</f>
        <v/>
      </c>
      <c r="AQ260">
        <f>MIN(100,AP261+IF(AND(AP261&lt;100,AP262+1&gt;=IF(OR('5-man'!$F$43=TRUE,'5-man'!$F$43="TRUE",'5-man'!$F$43="Yes"),25,50)),10,0)+IF('5-man'!AQ$62=$Q$266,25,0))</f>
        <v/>
      </c>
      <c r="AR260">
        <f>MIN(100,AQ261+IF(AND(AQ261&lt;100,AQ262+1&gt;=IF(OR('5-man'!$F$43=TRUE,'5-man'!$F$43="TRUE",'5-man'!$F$43="Yes"),25,50)),10,0)+IF('5-man'!AR$62=$Q$266,25,0))</f>
        <v/>
      </c>
      <c r="AS260">
        <f>MIN(100,AR261+IF(AND(AR261&lt;100,AR262+1&gt;=IF(OR('5-man'!$F$43=TRUE,'5-man'!$F$43="TRUE",'5-man'!$F$43="Yes"),25,50)),10,0)+IF('5-man'!AS$62=$Q$266,25,0))</f>
        <v/>
      </c>
      <c r="AT260">
        <f>MIN(100,AS261+IF(AND(AS261&lt;100,AS262+1&gt;=IF(OR('5-man'!$F$43=TRUE,'5-man'!$F$43="TRUE",'5-man'!$F$43="Yes"),25,50)),10,0)+IF('5-man'!AT$62=$Q$266,25,0))</f>
        <v/>
      </c>
      <c r="AU260">
        <f>MIN(100,AT261+IF(AND(AT261&lt;100,AT262+1&gt;=IF(OR('5-man'!$F$43=TRUE,'5-man'!$F$43="TRUE",'5-man'!$F$43="Yes"),25,50)),10,0)+IF('5-man'!AU$62=$Q$266,25,0))</f>
        <v/>
      </c>
      <c r="AV260">
        <f>MIN(100,AU261+IF(AND(AU261&lt;100,AU262+1&gt;=IF(OR('5-man'!$F$43=TRUE,'5-man'!$F$43="TRUE",'5-man'!$F$43="Yes"),25,50)),10,0)+IF('5-man'!AV$62=$Q$266,25,0))</f>
        <v/>
      </c>
      <c r="AW260">
        <f>MIN(100,AV261+IF(AND(AV261&lt;100,AV262+1&gt;=IF(OR('5-man'!$F$43=TRUE,'5-man'!$F$43="TRUE",'5-man'!$F$43="Yes"),25,50)),10,0)+IF('5-man'!AW$62=$Q$266,25,0))</f>
        <v/>
      </c>
      <c r="AX260">
        <f>MIN(100,AW261+IF(AND(AW261&lt;100,AW262+1&gt;=IF(OR('5-man'!$F$43=TRUE,'5-man'!$F$43="TRUE",'5-man'!$F$43="Yes"),25,50)),10,0)+IF('5-man'!AX$62=$Q$266,25,0))</f>
        <v/>
      </c>
      <c r="AY260">
        <f>MIN(100,AX261+IF(AND(AX261&lt;100,AX262+1&gt;=IF(OR('5-man'!$F$43=TRUE,'5-man'!$F$43="TRUE",'5-man'!$F$43="Yes"),25,50)),10,0)+IF('5-man'!AY$62=$Q$266,25,0))</f>
        <v/>
      </c>
      <c r="AZ260">
        <f>MIN(100,AY261+IF(AND(AY261&lt;100,AY262+1&gt;=IF(OR('5-man'!$F$43=TRUE,'5-man'!$F$43="TRUE",'5-man'!$F$43="Yes"),25,50)),10,0)+IF('5-man'!AZ$62=$Q$266,25,0))</f>
        <v/>
      </c>
      <c r="BA260">
        <f>MIN(100,AZ261+IF(AND(AZ261&lt;100,AZ262+1&gt;=IF(OR('5-man'!$F$43=TRUE,'5-man'!$F$43="TRUE",'5-man'!$F$43="Yes"),25,50)),10,0)+IF('5-man'!BA$62=$Q$266,25,0))</f>
        <v/>
      </c>
      <c r="BB260">
        <f>MIN(100,BA261+IF(AND(BA261&lt;100,BA262+1&gt;=IF(OR('5-man'!$F$43=TRUE,'5-man'!$F$43="TRUE",'5-man'!$F$43="Yes"),25,50)),10,0)+IF('5-man'!BB$62=$Q$266,25,0))</f>
        <v/>
      </c>
      <c r="BC260">
        <f>MIN(100,BB261+IF(AND(BB261&lt;100,BB262+1&gt;=IF(OR('5-man'!$F$43=TRUE,'5-man'!$F$43="TRUE",'5-man'!$F$43="Yes"),25,50)),10,0)+IF('5-man'!BC$62=$Q$266,25,0))</f>
        <v/>
      </c>
      <c r="BD260">
        <f>MIN(100,BC261+IF(AND(BC261&lt;100,BC262+1&gt;=IF(OR('5-man'!$F$43=TRUE,'5-man'!$F$43="TRUE",'5-man'!$F$43="Yes"),25,50)),10,0)+IF('5-man'!BD$62=$Q$266,25,0))</f>
        <v/>
      </c>
      <c r="BE260">
        <f>MIN(100,BD261+IF(AND(BD261&lt;100,BD262+1&gt;=IF(OR('5-man'!$F$43=TRUE,'5-man'!$F$43="TRUE",'5-man'!$F$43="Yes"),25,50)),10,0)+IF('5-man'!BE$62=$Q$266,25,0))</f>
        <v/>
      </c>
      <c r="BF260">
        <f>MIN(100,BE261+IF(AND(BE261&lt;100,BE262+1&gt;=IF(OR('5-man'!$F$43=TRUE,'5-man'!$F$43="TRUE",'5-man'!$F$43="Yes"),25,50)),10,0)+IF('5-man'!BF$62=$Q$266,25,0))</f>
        <v/>
      </c>
      <c r="BG260">
        <f>MIN(100,BF261+IF(AND(BF261&lt;100,BF262+1&gt;=IF(OR('5-man'!$F$43=TRUE,'5-man'!$F$43="TRUE",'5-man'!$F$43="Yes"),25,50)),10,0)+IF('5-man'!BG$62=$Q$266,25,0))</f>
        <v/>
      </c>
      <c r="BH260">
        <f>MIN(100,BG261+IF(AND(BG261&lt;100,BG262+1&gt;=IF(OR('5-man'!$F$43=TRUE,'5-man'!$F$43="TRUE",'5-man'!$F$43="Yes"),25,50)),10,0)+IF('5-man'!BH$62=$Q$266,25,0))</f>
        <v/>
      </c>
      <c r="BI260">
        <f>MIN(100,BH261+IF(AND(BH261&lt;100,BH262+1&gt;=IF(OR('5-man'!$F$43=TRUE,'5-man'!$F$43="TRUE",'5-man'!$F$43="Yes"),25,50)),10,0)+IF('5-man'!BI$62=$Q$266,25,0))</f>
        <v/>
      </c>
      <c r="BJ260">
        <f>MIN(100,BI261+IF(AND(BI261&lt;100,BI262+1&gt;=IF(OR('5-man'!$F$43=TRUE,'5-man'!$F$43="TRUE",'5-man'!$F$43="Yes"),25,50)),10,0)+IF('5-man'!BJ$62=$Q$266,25,0))</f>
        <v/>
      </c>
      <c r="BK260">
        <f>MIN(100,BJ261+IF(AND(BJ261&lt;100,BJ262+1&gt;=IF(OR('5-man'!$F$43=TRUE,'5-man'!$F$43="TRUE",'5-man'!$F$43="Yes"),25,50)),10,0)+IF('5-man'!BK$62=$Q$266,25,0))</f>
        <v/>
      </c>
      <c r="BL260">
        <f>MIN(100,BK261+IF(AND(BK261&lt;100,BK262+1&gt;=IF(OR('5-man'!$F$43=TRUE,'5-man'!$F$43="TRUE",'5-man'!$F$43="Yes"),25,50)),10,0)+IF('5-man'!BL$62=$Q$266,25,0))</f>
        <v/>
      </c>
      <c r="BM260">
        <f>MIN(100,BL261+IF(AND(BL261&lt;100,BL262+1&gt;=IF(OR('5-man'!$F$43=TRUE,'5-man'!$F$43="TRUE",'5-man'!$F$43="Yes"),25,50)),10,0)+IF('5-man'!BM$62=$Q$266,25,0))</f>
        <v/>
      </c>
      <c r="BN260">
        <f>MIN(100,BM261+IF(AND(BM261&lt;100,BM262+1&gt;=IF(OR('5-man'!$F$43=TRUE,'5-man'!$F$43="TRUE",'5-man'!$F$43="Yes"),25,50)),10,0)+IF('5-man'!BN$62=$Q$266,25,0))</f>
        <v/>
      </c>
      <c r="BO260">
        <f>MIN(100,BN261+IF(AND(BN261&lt;100,BN262+1&gt;=IF(OR('5-man'!$F$43=TRUE,'5-man'!$F$43="TRUE",'5-man'!$F$43="Yes"),25,50)),10,0)+IF('5-man'!BO$62=$Q$266,25,0))</f>
        <v/>
      </c>
      <c r="BP260">
        <f>MIN(100,BO261+IF(AND(BO261&lt;100,BO262+1&gt;=IF(OR('5-man'!$F$43=TRUE,'5-man'!$F$43="TRUE",'5-man'!$F$43="Yes"),25,50)),10,0)+IF('5-man'!BP$62=$Q$266,25,0))</f>
        <v/>
      </c>
      <c r="BQ260">
        <f>MIN(100,BP261+IF(AND(BP261&lt;100,BP262+1&gt;=IF(OR('5-man'!$F$43=TRUE,'5-man'!$F$43="TRUE",'5-man'!$F$43="Yes"),25,50)),10,0)+IF('5-man'!BQ$62=$Q$266,25,0))</f>
        <v/>
      </c>
      <c r="BR260">
        <f>MIN(100,BQ261+IF(AND(BQ261&lt;100,BQ262+1&gt;=IF(OR('5-man'!$F$43=TRUE,'5-man'!$F$43="TRUE",'5-man'!$F$43="Yes"),25,50)),10,0)+IF('5-man'!BR$62=$Q$266,25,0))</f>
        <v/>
      </c>
      <c r="BS260">
        <f>MIN(100,BR261+IF(AND(BR261&lt;100,BR262+1&gt;=IF(OR('5-man'!$F$43=TRUE,'5-man'!$F$43="TRUE",'5-man'!$F$43="Yes"),25,50)),10,0)+IF('5-man'!BS$62=$Q$266,25,0))</f>
        <v/>
      </c>
      <c r="BT260">
        <f>MIN(100,BS261+IF(AND(BS261&lt;100,BS262+1&gt;=IF(OR('5-man'!$F$43=TRUE,'5-man'!$F$43="TRUE",'5-man'!$F$43="Yes"),25,50)),10,0)+IF('5-man'!BT$62=$Q$266,25,0))</f>
        <v/>
      </c>
      <c r="BU260">
        <f>MIN(100,BT261+IF(AND(BT261&lt;100,BT262+1&gt;=IF(OR('5-man'!$F$43=TRUE,'5-man'!$F$43="TRUE",'5-man'!$F$43="Yes"),25,50)),10,0)+IF('5-man'!BU$62=$Q$266,25,0))</f>
        <v/>
      </c>
      <c r="BV260">
        <f>MIN(100,BU261+IF(AND(BU261&lt;100,BU262+1&gt;=IF(OR('5-man'!$F$43=TRUE,'5-man'!$F$43="TRUE",'5-man'!$F$43="Yes"),25,50)),10,0)+IF('5-man'!BV$62=$Q$266,25,0))</f>
        <v/>
      </c>
      <c r="BW260">
        <f>MIN(100,BV261+IF(AND(BV261&lt;100,BV262+1&gt;=IF(OR('5-man'!$F$43=TRUE,'5-man'!$F$43="TRUE",'5-man'!$F$43="Yes"),25,50)),10,0)+IF('5-man'!BW$62=$Q$266,25,0))</f>
        <v/>
      </c>
      <c r="BX260">
        <f>MIN(100,BW261+IF(AND(BW261&lt;100,BW262+1&gt;=IF(OR('5-man'!$F$43=TRUE,'5-man'!$F$43="TRUE",'5-man'!$F$43="Yes"),25,50)),10,0)+IF('5-man'!BX$62=$Q$266,25,0))</f>
        <v/>
      </c>
      <c r="BY260">
        <f>MIN(100,BX261+IF(AND(BX261&lt;100,BX262+1&gt;=IF(OR('5-man'!$F$43=TRUE,'5-man'!$F$43="TRUE",'5-man'!$F$43="Yes"),25,50)),10,0)+IF('5-man'!BY$62=$Q$266,25,0))</f>
        <v/>
      </c>
      <c r="BZ260">
        <f>MIN(100,BY261+IF(AND(BY261&lt;100,BY262+1&gt;=IF(OR('5-man'!$F$43=TRUE,'5-man'!$F$43="TRUE",'5-man'!$F$43="Yes"),25,50)),10,0)+IF('5-man'!BZ$62=$Q$266,25,0))</f>
        <v/>
      </c>
      <c r="CA260">
        <f>MIN(100,BZ261+IF(AND(BZ261&lt;100,BZ262+1&gt;=IF(OR('5-man'!$F$43=TRUE,'5-man'!$F$43="TRUE",'5-man'!$F$43="Yes"),25,50)),10,0)+IF('5-man'!CA$62=$Q$266,25,0))</f>
        <v/>
      </c>
      <c r="CB260">
        <f>MIN(100,CA261+IF(AND(CA261&lt;100,CA262+1&gt;=IF(OR('5-man'!$F$43=TRUE,'5-man'!$F$43="TRUE",'5-man'!$F$43="Yes"),25,50)),10,0)+IF('5-man'!CB$62=$Q$266,25,0))</f>
        <v/>
      </c>
      <c r="CC260">
        <f>MIN(100,CB261+IF(AND(CB261&lt;100,CB262+1&gt;=IF(OR('5-man'!$F$43=TRUE,'5-man'!$F$43="TRUE",'5-man'!$F$43="Yes"),25,50)),10,0)+IF('5-man'!CC$62=$Q$266,25,0))</f>
        <v/>
      </c>
      <c r="CD260">
        <f>MIN(100,CC261+IF(AND(CC261&lt;100,CC262+1&gt;=IF(OR('5-man'!$F$43=TRUE,'5-man'!$F$43="TRUE",'5-man'!$F$43="Yes"),25,50)),10,0)+IF('5-man'!CD$62=$Q$266,25,0))</f>
        <v/>
      </c>
    </row>
    <row r="261">
      <c r="A261" t="inlineStr">
        <is>
          <t>P2 spec</t>
        </is>
      </c>
      <c r="B261">
        <f>IF('5-man'!$C$43="",100,'5-man'!$C$43)</f>
        <v/>
      </c>
      <c r="C261">
        <f>IF('5-man'!C$64="R",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5-man'!D$64="R",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5-man'!E$64="R",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5-man'!F$64="R",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5-man'!G$64="R",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5-man'!H$64="R",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5-man'!I$64="R",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5-man'!J$64="R",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5-man'!K$64="R",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5-man'!L$64="R",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5-man'!M$64="R",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5-man'!N$64="R",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5-man'!O$64="R",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5-man'!P$64="R",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5-man'!Q$64="R",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5-man'!R$64="R",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5-man'!S$64="R",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5-man'!T$64="R",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5-man'!U$64="R",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5-man'!V$64="R",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5-man'!W$64="R",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5-man'!X$64="R",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5-man'!Y$64="R",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5-man'!Z$64="R",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5-man'!AA$64="R",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5-man'!AB$64="R",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5-man'!AC$64="R",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5-man'!AD$64="R",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5-man'!AE$64="R",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5-man'!AF$64="R",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5-man'!AG$64="R",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5-man'!AH$64="R",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5-man'!AI$64="R",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5-man'!AJ$64="R",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5-man'!AK$64="R",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5-man'!AL$64="R",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5-man'!AM$64="R",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5-man'!AN$64="R",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5-man'!AO$64="R",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5-man'!AP$64="R",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5-man'!AQ$64="R",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5-man'!AR$64="R",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5-man'!AS$64="R",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5-man'!AT$64="R",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5-man'!AU$64="R",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5-man'!AV$64="R",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5-man'!AW$64="R",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5-man'!AX$64="R",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5-man'!AY$64="R",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5-man'!AZ$64="R",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5-man'!BA$64="R",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5-man'!BB$64="R",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5-man'!BC$64="R",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5-man'!BD$64="R",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5-man'!BE$64="R",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5-man'!BF$64="R",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5-man'!BG$64="R",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5-man'!BH$64="R",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5-man'!BI$64="R",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5-man'!BJ$64="R",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5-man'!BK$64="R",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5-man'!BL$64="R",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5-man'!BM$64="R",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5-man'!BN$64="R",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5-man'!BO$64="R",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5-man'!BP$64="R",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5-man'!BQ$64="R",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5-man'!BR$64="R",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5-man'!BS$64="R",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5-man'!BT$64="R",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5-man'!BU$64="R",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5-man'!BV$64="R",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5-man'!BW$64="R",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5-man'!BX$64="R",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5-man'!BY$64="R",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5-man'!BZ$64="R",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5-man'!CA$64="R",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5-man'!CB$64="R",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5-man'!CC$64="R",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5-man'!CD$64="R",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IF('5-man'!C$64="R",0,IF(B261&gt;=100,0,IF(B262+1&gt;=IF(OR('5-man'!$F$43=TRUE,'5-man'!$F$43="TRUE",'5-man'!$F$43="Yes"),25,50),0,B262+1)))</f>
        <v/>
      </c>
      <c r="D262">
        <f>IF('5-man'!D$64="R",0,IF(C261&gt;=100,0,IF(C262+1&gt;=IF(OR('5-man'!$F$43=TRUE,'5-man'!$F$43="TRUE",'5-man'!$F$43="Yes"),25,50),0,C262+1)))</f>
        <v/>
      </c>
      <c r="E262">
        <f>IF('5-man'!E$64="R",0,IF(D261&gt;=100,0,IF(D262+1&gt;=IF(OR('5-man'!$F$43=TRUE,'5-man'!$F$43="TRUE",'5-man'!$F$43="Yes"),25,50),0,D262+1)))</f>
        <v/>
      </c>
      <c r="F262">
        <f>IF('5-man'!F$64="R",0,IF(E261&gt;=100,0,IF(E262+1&gt;=IF(OR('5-man'!$F$43=TRUE,'5-man'!$F$43="TRUE",'5-man'!$F$43="Yes"),25,50),0,E262+1)))</f>
        <v/>
      </c>
      <c r="G262">
        <f>IF('5-man'!G$64="R",0,IF(F261&gt;=100,0,IF(F262+1&gt;=IF(OR('5-man'!$F$43=TRUE,'5-man'!$F$43="TRUE",'5-man'!$F$43="Yes"),25,50),0,F262+1)))</f>
        <v/>
      </c>
      <c r="H262">
        <f>IF('5-man'!H$64="R",0,IF(G261&gt;=100,0,IF(G262+1&gt;=IF(OR('5-man'!$F$43=TRUE,'5-man'!$F$43="TRUE",'5-man'!$F$43="Yes"),25,50),0,G262+1)))</f>
        <v/>
      </c>
      <c r="I262">
        <f>IF('5-man'!I$64="R",0,IF(H261&gt;=100,0,IF(H262+1&gt;=IF(OR('5-man'!$F$43=TRUE,'5-man'!$F$43="TRUE",'5-man'!$F$43="Yes"),25,50),0,H262+1)))</f>
        <v/>
      </c>
      <c r="J262">
        <f>IF('5-man'!J$64="R",0,IF(I261&gt;=100,0,IF(I262+1&gt;=IF(OR('5-man'!$F$43=TRUE,'5-man'!$F$43="TRUE",'5-man'!$F$43="Yes"),25,50),0,I262+1)))</f>
        <v/>
      </c>
      <c r="K262">
        <f>IF('5-man'!K$64="R",0,IF(J261&gt;=100,0,IF(J262+1&gt;=IF(OR('5-man'!$F$43=TRUE,'5-man'!$F$43="TRUE",'5-man'!$F$43="Yes"),25,50),0,J262+1)))</f>
        <v/>
      </c>
      <c r="L262">
        <f>IF('5-man'!L$64="R",0,IF(K261&gt;=100,0,IF(K262+1&gt;=IF(OR('5-man'!$F$43=TRUE,'5-man'!$F$43="TRUE",'5-man'!$F$43="Yes"),25,50),0,K262+1)))</f>
        <v/>
      </c>
      <c r="M262">
        <f>IF('5-man'!M$64="R",0,IF(L261&gt;=100,0,IF(L262+1&gt;=IF(OR('5-man'!$F$43=TRUE,'5-man'!$F$43="TRUE",'5-man'!$F$43="Yes"),25,50),0,L262+1)))</f>
        <v/>
      </c>
      <c r="N262">
        <f>IF('5-man'!N$64="R",0,IF(M261&gt;=100,0,IF(M262+1&gt;=IF(OR('5-man'!$F$43=TRUE,'5-man'!$F$43="TRUE",'5-man'!$F$43="Yes"),25,50),0,M262+1)))</f>
        <v/>
      </c>
      <c r="O262">
        <f>IF('5-man'!O$64="R",0,IF(N261&gt;=100,0,IF(N262+1&gt;=IF(OR('5-man'!$F$43=TRUE,'5-man'!$F$43="TRUE",'5-man'!$F$43="Yes"),25,50),0,N262+1)))</f>
        <v/>
      </c>
      <c r="P262">
        <f>IF('5-man'!P$64="R",0,IF(O261&gt;=100,0,IF(O262+1&gt;=IF(OR('5-man'!$F$43=TRUE,'5-man'!$F$43="TRUE",'5-man'!$F$43="Yes"),25,50),0,O262+1)))</f>
        <v/>
      </c>
      <c r="Q262">
        <f>IF('5-man'!Q$64="R",0,IF(P261&gt;=100,0,IF(P262+1&gt;=IF(OR('5-man'!$F$43=TRUE,'5-man'!$F$43="TRUE",'5-man'!$F$43="Yes"),25,50),0,P262+1)))</f>
        <v/>
      </c>
      <c r="R262">
        <f>IF('5-man'!R$64="R",0,IF(Q261&gt;=100,0,IF(Q262+1&gt;=IF(OR('5-man'!$F$43=TRUE,'5-man'!$F$43="TRUE",'5-man'!$F$43="Yes"),25,50),0,Q262+1)))</f>
        <v/>
      </c>
      <c r="S262">
        <f>IF('5-man'!S$64="R",0,IF(R261&gt;=100,0,IF(R262+1&gt;=IF(OR('5-man'!$F$43=TRUE,'5-man'!$F$43="TRUE",'5-man'!$F$43="Yes"),25,50),0,R262+1)))</f>
        <v/>
      </c>
      <c r="T262">
        <f>IF('5-man'!T$64="R",0,IF(S261&gt;=100,0,IF(S262+1&gt;=IF(OR('5-man'!$F$43=TRUE,'5-man'!$F$43="TRUE",'5-man'!$F$43="Yes"),25,50),0,S262+1)))</f>
        <v/>
      </c>
      <c r="U262">
        <f>IF('5-man'!U$64="R",0,IF(T261&gt;=100,0,IF(T262+1&gt;=IF(OR('5-man'!$F$43=TRUE,'5-man'!$F$43="TRUE",'5-man'!$F$43="Yes"),25,50),0,T262+1)))</f>
        <v/>
      </c>
      <c r="V262">
        <f>IF('5-man'!V$64="R",0,IF(U261&gt;=100,0,IF(U262+1&gt;=IF(OR('5-man'!$F$43=TRUE,'5-man'!$F$43="TRUE",'5-man'!$F$43="Yes"),25,50),0,U262+1)))</f>
        <v/>
      </c>
      <c r="W262">
        <f>IF('5-man'!W$64="R",0,IF(V261&gt;=100,0,IF(V262+1&gt;=IF(OR('5-man'!$F$43=TRUE,'5-man'!$F$43="TRUE",'5-man'!$F$43="Yes"),25,50),0,V262+1)))</f>
        <v/>
      </c>
      <c r="X262">
        <f>IF('5-man'!X$64="R",0,IF(W261&gt;=100,0,IF(W262+1&gt;=IF(OR('5-man'!$F$43=TRUE,'5-man'!$F$43="TRUE",'5-man'!$F$43="Yes"),25,50),0,W262+1)))</f>
        <v/>
      </c>
      <c r="Y262">
        <f>IF('5-man'!Y$64="R",0,IF(X261&gt;=100,0,IF(X262+1&gt;=IF(OR('5-man'!$F$43=TRUE,'5-man'!$F$43="TRUE",'5-man'!$F$43="Yes"),25,50),0,X262+1)))</f>
        <v/>
      </c>
      <c r="Z262">
        <f>IF('5-man'!Z$64="R",0,IF(Y261&gt;=100,0,IF(Y262+1&gt;=IF(OR('5-man'!$F$43=TRUE,'5-man'!$F$43="TRUE",'5-man'!$F$43="Yes"),25,50),0,Y262+1)))</f>
        <v/>
      </c>
      <c r="AA262">
        <f>IF('5-man'!AA$64="R",0,IF(Z261&gt;=100,0,IF(Z262+1&gt;=IF(OR('5-man'!$F$43=TRUE,'5-man'!$F$43="TRUE",'5-man'!$F$43="Yes"),25,50),0,Z262+1)))</f>
        <v/>
      </c>
      <c r="AB262">
        <f>IF('5-man'!AB$64="R",0,IF(AA261&gt;=100,0,IF(AA262+1&gt;=IF(OR('5-man'!$F$43=TRUE,'5-man'!$F$43="TRUE",'5-man'!$F$43="Yes"),25,50),0,AA262+1)))</f>
        <v/>
      </c>
      <c r="AC262">
        <f>IF('5-man'!AC$64="R",0,IF(AB261&gt;=100,0,IF(AB262+1&gt;=IF(OR('5-man'!$F$43=TRUE,'5-man'!$F$43="TRUE",'5-man'!$F$43="Yes"),25,50),0,AB262+1)))</f>
        <v/>
      </c>
      <c r="AD262">
        <f>IF('5-man'!AD$64="R",0,IF(AC261&gt;=100,0,IF(AC262+1&gt;=IF(OR('5-man'!$F$43=TRUE,'5-man'!$F$43="TRUE",'5-man'!$F$43="Yes"),25,50),0,AC262+1)))</f>
        <v/>
      </c>
      <c r="AE262">
        <f>IF('5-man'!AE$64="R",0,IF(AD261&gt;=100,0,IF(AD262+1&gt;=IF(OR('5-man'!$F$43=TRUE,'5-man'!$F$43="TRUE",'5-man'!$F$43="Yes"),25,50),0,AD262+1)))</f>
        <v/>
      </c>
      <c r="AF262">
        <f>IF('5-man'!AF$64="R",0,IF(AE261&gt;=100,0,IF(AE262+1&gt;=IF(OR('5-man'!$F$43=TRUE,'5-man'!$F$43="TRUE",'5-man'!$F$43="Yes"),25,50),0,AE262+1)))</f>
        <v/>
      </c>
      <c r="AG262">
        <f>IF('5-man'!AG$64="R",0,IF(AF261&gt;=100,0,IF(AF262+1&gt;=IF(OR('5-man'!$F$43=TRUE,'5-man'!$F$43="TRUE",'5-man'!$F$43="Yes"),25,50),0,AF262+1)))</f>
        <v/>
      </c>
      <c r="AH262">
        <f>IF('5-man'!AH$64="R",0,IF(AG261&gt;=100,0,IF(AG262+1&gt;=IF(OR('5-man'!$F$43=TRUE,'5-man'!$F$43="TRUE",'5-man'!$F$43="Yes"),25,50),0,AG262+1)))</f>
        <v/>
      </c>
      <c r="AI262">
        <f>IF('5-man'!AI$64="R",0,IF(AH261&gt;=100,0,IF(AH262+1&gt;=IF(OR('5-man'!$F$43=TRUE,'5-man'!$F$43="TRUE",'5-man'!$F$43="Yes"),25,50),0,AH262+1)))</f>
        <v/>
      </c>
      <c r="AJ262">
        <f>IF('5-man'!AJ$64="R",0,IF(AI261&gt;=100,0,IF(AI262+1&gt;=IF(OR('5-man'!$F$43=TRUE,'5-man'!$F$43="TRUE",'5-man'!$F$43="Yes"),25,50),0,AI262+1)))</f>
        <v/>
      </c>
      <c r="AK262">
        <f>IF('5-man'!AK$64="R",0,IF(AJ261&gt;=100,0,IF(AJ262+1&gt;=IF(OR('5-man'!$F$43=TRUE,'5-man'!$F$43="TRUE",'5-man'!$F$43="Yes"),25,50),0,AJ262+1)))</f>
        <v/>
      </c>
      <c r="AL262">
        <f>IF('5-man'!AL$64="R",0,IF(AK261&gt;=100,0,IF(AK262+1&gt;=IF(OR('5-man'!$F$43=TRUE,'5-man'!$F$43="TRUE",'5-man'!$F$43="Yes"),25,50),0,AK262+1)))</f>
        <v/>
      </c>
      <c r="AM262">
        <f>IF('5-man'!AM$64="R",0,IF(AL261&gt;=100,0,IF(AL262+1&gt;=IF(OR('5-man'!$F$43=TRUE,'5-man'!$F$43="TRUE",'5-man'!$F$43="Yes"),25,50),0,AL262+1)))</f>
        <v/>
      </c>
      <c r="AN262">
        <f>IF('5-man'!AN$64="R",0,IF(AM261&gt;=100,0,IF(AM262+1&gt;=IF(OR('5-man'!$F$43=TRUE,'5-man'!$F$43="TRUE",'5-man'!$F$43="Yes"),25,50),0,AM262+1)))</f>
        <v/>
      </c>
      <c r="AO262">
        <f>IF('5-man'!AO$64="R",0,IF(AN261&gt;=100,0,IF(AN262+1&gt;=IF(OR('5-man'!$F$43=TRUE,'5-man'!$F$43="TRUE",'5-man'!$F$43="Yes"),25,50),0,AN262+1)))</f>
        <v/>
      </c>
      <c r="AP262">
        <f>IF('5-man'!AP$64="R",0,IF(AO261&gt;=100,0,IF(AO262+1&gt;=IF(OR('5-man'!$F$43=TRUE,'5-man'!$F$43="TRUE",'5-man'!$F$43="Yes"),25,50),0,AO262+1)))</f>
        <v/>
      </c>
      <c r="AQ262">
        <f>IF('5-man'!AQ$64="R",0,IF(AP261&gt;=100,0,IF(AP262+1&gt;=IF(OR('5-man'!$F$43=TRUE,'5-man'!$F$43="TRUE",'5-man'!$F$43="Yes"),25,50),0,AP262+1)))</f>
        <v/>
      </c>
      <c r="AR262">
        <f>IF('5-man'!AR$64="R",0,IF(AQ261&gt;=100,0,IF(AQ262+1&gt;=IF(OR('5-man'!$F$43=TRUE,'5-man'!$F$43="TRUE",'5-man'!$F$43="Yes"),25,50),0,AQ262+1)))</f>
        <v/>
      </c>
      <c r="AS262">
        <f>IF('5-man'!AS$64="R",0,IF(AR261&gt;=100,0,IF(AR262+1&gt;=IF(OR('5-man'!$F$43=TRUE,'5-man'!$F$43="TRUE",'5-man'!$F$43="Yes"),25,50),0,AR262+1)))</f>
        <v/>
      </c>
      <c r="AT262">
        <f>IF('5-man'!AT$64="R",0,IF(AS261&gt;=100,0,IF(AS262+1&gt;=IF(OR('5-man'!$F$43=TRUE,'5-man'!$F$43="TRUE",'5-man'!$F$43="Yes"),25,50),0,AS262+1)))</f>
        <v/>
      </c>
      <c r="AU262">
        <f>IF('5-man'!AU$64="R",0,IF(AT261&gt;=100,0,IF(AT262+1&gt;=IF(OR('5-man'!$F$43=TRUE,'5-man'!$F$43="TRUE",'5-man'!$F$43="Yes"),25,50),0,AT262+1)))</f>
        <v/>
      </c>
      <c r="AV262">
        <f>IF('5-man'!AV$64="R",0,IF(AU261&gt;=100,0,IF(AU262+1&gt;=IF(OR('5-man'!$F$43=TRUE,'5-man'!$F$43="TRUE",'5-man'!$F$43="Yes"),25,50),0,AU262+1)))</f>
        <v/>
      </c>
      <c r="AW262">
        <f>IF('5-man'!AW$64="R",0,IF(AV261&gt;=100,0,IF(AV262+1&gt;=IF(OR('5-man'!$F$43=TRUE,'5-man'!$F$43="TRUE",'5-man'!$F$43="Yes"),25,50),0,AV262+1)))</f>
        <v/>
      </c>
      <c r="AX262">
        <f>IF('5-man'!AX$64="R",0,IF(AW261&gt;=100,0,IF(AW262+1&gt;=IF(OR('5-man'!$F$43=TRUE,'5-man'!$F$43="TRUE",'5-man'!$F$43="Yes"),25,50),0,AW262+1)))</f>
        <v/>
      </c>
      <c r="AY262">
        <f>IF('5-man'!AY$64="R",0,IF(AX261&gt;=100,0,IF(AX262+1&gt;=IF(OR('5-man'!$F$43=TRUE,'5-man'!$F$43="TRUE",'5-man'!$F$43="Yes"),25,50),0,AX262+1)))</f>
        <v/>
      </c>
      <c r="AZ262">
        <f>IF('5-man'!AZ$64="R",0,IF(AY261&gt;=100,0,IF(AY262+1&gt;=IF(OR('5-man'!$F$43=TRUE,'5-man'!$F$43="TRUE",'5-man'!$F$43="Yes"),25,50),0,AY262+1)))</f>
        <v/>
      </c>
      <c r="BA262">
        <f>IF('5-man'!BA$64="R",0,IF(AZ261&gt;=100,0,IF(AZ262+1&gt;=IF(OR('5-man'!$F$43=TRUE,'5-man'!$F$43="TRUE",'5-man'!$F$43="Yes"),25,50),0,AZ262+1)))</f>
        <v/>
      </c>
      <c r="BB262">
        <f>IF('5-man'!BB$64="R",0,IF(BA261&gt;=100,0,IF(BA262+1&gt;=IF(OR('5-man'!$F$43=TRUE,'5-man'!$F$43="TRUE",'5-man'!$F$43="Yes"),25,50),0,BA262+1)))</f>
        <v/>
      </c>
      <c r="BC262">
        <f>IF('5-man'!BC$64="R",0,IF(BB261&gt;=100,0,IF(BB262+1&gt;=IF(OR('5-man'!$F$43=TRUE,'5-man'!$F$43="TRUE",'5-man'!$F$43="Yes"),25,50),0,BB262+1)))</f>
        <v/>
      </c>
      <c r="BD262">
        <f>IF('5-man'!BD$64="R",0,IF(BC261&gt;=100,0,IF(BC262+1&gt;=IF(OR('5-man'!$F$43=TRUE,'5-man'!$F$43="TRUE",'5-man'!$F$43="Yes"),25,50),0,BC262+1)))</f>
        <v/>
      </c>
      <c r="BE262">
        <f>IF('5-man'!BE$64="R",0,IF(BD261&gt;=100,0,IF(BD262+1&gt;=IF(OR('5-man'!$F$43=TRUE,'5-man'!$F$43="TRUE",'5-man'!$F$43="Yes"),25,50),0,BD262+1)))</f>
        <v/>
      </c>
      <c r="BF262">
        <f>IF('5-man'!BF$64="R",0,IF(BE261&gt;=100,0,IF(BE262+1&gt;=IF(OR('5-man'!$F$43=TRUE,'5-man'!$F$43="TRUE",'5-man'!$F$43="Yes"),25,50),0,BE262+1)))</f>
        <v/>
      </c>
      <c r="BG262">
        <f>IF('5-man'!BG$64="R",0,IF(BF261&gt;=100,0,IF(BF262+1&gt;=IF(OR('5-man'!$F$43=TRUE,'5-man'!$F$43="TRUE",'5-man'!$F$43="Yes"),25,50),0,BF262+1)))</f>
        <v/>
      </c>
      <c r="BH262">
        <f>IF('5-man'!BH$64="R",0,IF(BG261&gt;=100,0,IF(BG262+1&gt;=IF(OR('5-man'!$F$43=TRUE,'5-man'!$F$43="TRUE",'5-man'!$F$43="Yes"),25,50),0,BG262+1)))</f>
        <v/>
      </c>
      <c r="BI262">
        <f>IF('5-man'!BI$64="R",0,IF(BH261&gt;=100,0,IF(BH262+1&gt;=IF(OR('5-man'!$F$43=TRUE,'5-man'!$F$43="TRUE",'5-man'!$F$43="Yes"),25,50),0,BH262+1)))</f>
        <v/>
      </c>
      <c r="BJ262">
        <f>IF('5-man'!BJ$64="R",0,IF(BI261&gt;=100,0,IF(BI262+1&gt;=IF(OR('5-man'!$F$43=TRUE,'5-man'!$F$43="TRUE",'5-man'!$F$43="Yes"),25,50),0,BI262+1)))</f>
        <v/>
      </c>
      <c r="BK262">
        <f>IF('5-man'!BK$64="R",0,IF(BJ261&gt;=100,0,IF(BJ262+1&gt;=IF(OR('5-man'!$F$43=TRUE,'5-man'!$F$43="TRUE",'5-man'!$F$43="Yes"),25,50),0,BJ262+1)))</f>
        <v/>
      </c>
      <c r="BL262">
        <f>IF('5-man'!BL$64="R",0,IF(BK261&gt;=100,0,IF(BK262+1&gt;=IF(OR('5-man'!$F$43=TRUE,'5-man'!$F$43="TRUE",'5-man'!$F$43="Yes"),25,50),0,BK262+1)))</f>
        <v/>
      </c>
      <c r="BM262">
        <f>IF('5-man'!BM$64="R",0,IF(BL261&gt;=100,0,IF(BL262+1&gt;=IF(OR('5-man'!$F$43=TRUE,'5-man'!$F$43="TRUE",'5-man'!$F$43="Yes"),25,50),0,BL262+1)))</f>
        <v/>
      </c>
      <c r="BN262">
        <f>IF('5-man'!BN$64="R",0,IF(BM261&gt;=100,0,IF(BM262+1&gt;=IF(OR('5-man'!$F$43=TRUE,'5-man'!$F$43="TRUE",'5-man'!$F$43="Yes"),25,50),0,BM262+1)))</f>
        <v/>
      </c>
      <c r="BO262">
        <f>IF('5-man'!BO$64="R",0,IF(BN261&gt;=100,0,IF(BN262+1&gt;=IF(OR('5-man'!$F$43=TRUE,'5-man'!$F$43="TRUE",'5-man'!$F$43="Yes"),25,50),0,BN262+1)))</f>
        <v/>
      </c>
      <c r="BP262">
        <f>IF('5-man'!BP$64="R",0,IF(BO261&gt;=100,0,IF(BO262+1&gt;=IF(OR('5-man'!$F$43=TRUE,'5-man'!$F$43="TRUE",'5-man'!$F$43="Yes"),25,50),0,BO262+1)))</f>
        <v/>
      </c>
      <c r="BQ262">
        <f>IF('5-man'!BQ$64="R",0,IF(BP261&gt;=100,0,IF(BP262+1&gt;=IF(OR('5-man'!$F$43=TRUE,'5-man'!$F$43="TRUE",'5-man'!$F$43="Yes"),25,50),0,BP262+1)))</f>
        <v/>
      </c>
      <c r="BR262">
        <f>IF('5-man'!BR$64="R",0,IF(BQ261&gt;=100,0,IF(BQ262+1&gt;=IF(OR('5-man'!$F$43=TRUE,'5-man'!$F$43="TRUE",'5-man'!$F$43="Yes"),25,50),0,BQ262+1)))</f>
        <v/>
      </c>
      <c r="BS262">
        <f>IF('5-man'!BS$64="R",0,IF(BR261&gt;=100,0,IF(BR262+1&gt;=IF(OR('5-man'!$F$43=TRUE,'5-man'!$F$43="TRUE",'5-man'!$F$43="Yes"),25,50),0,BR262+1)))</f>
        <v/>
      </c>
      <c r="BT262">
        <f>IF('5-man'!BT$64="R",0,IF(BS261&gt;=100,0,IF(BS262+1&gt;=IF(OR('5-man'!$F$43=TRUE,'5-man'!$F$43="TRUE",'5-man'!$F$43="Yes"),25,50),0,BS262+1)))</f>
        <v/>
      </c>
      <c r="BU262">
        <f>IF('5-man'!BU$64="R",0,IF(BT261&gt;=100,0,IF(BT262+1&gt;=IF(OR('5-man'!$F$43=TRUE,'5-man'!$F$43="TRUE",'5-man'!$F$43="Yes"),25,50),0,BT262+1)))</f>
        <v/>
      </c>
      <c r="BV262">
        <f>IF('5-man'!BV$64="R",0,IF(BU261&gt;=100,0,IF(BU262+1&gt;=IF(OR('5-man'!$F$43=TRUE,'5-man'!$F$43="TRUE",'5-man'!$F$43="Yes"),25,50),0,BU262+1)))</f>
        <v/>
      </c>
      <c r="BW262">
        <f>IF('5-man'!BW$64="R",0,IF(BV261&gt;=100,0,IF(BV262+1&gt;=IF(OR('5-man'!$F$43=TRUE,'5-man'!$F$43="TRUE",'5-man'!$F$43="Yes"),25,50),0,BV262+1)))</f>
        <v/>
      </c>
      <c r="BX262">
        <f>IF('5-man'!BX$64="R",0,IF(BW261&gt;=100,0,IF(BW262+1&gt;=IF(OR('5-man'!$F$43=TRUE,'5-man'!$F$43="TRUE",'5-man'!$F$43="Yes"),25,50),0,BW262+1)))</f>
        <v/>
      </c>
      <c r="BY262">
        <f>IF('5-man'!BY$64="R",0,IF(BX261&gt;=100,0,IF(BX262+1&gt;=IF(OR('5-man'!$F$43=TRUE,'5-man'!$F$43="TRUE",'5-man'!$F$43="Yes"),25,50),0,BX262+1)))</f>
        <v/>
      </c>
      <c r="BZ262">
        <f>IF('5-man'!BZ$64="R",0,IF(BY261&gt;=100,0,IF(BY262+1&gt;=IF(OR('5-man'!$F$43=TRUE,'5-man'!$F$43="TRUE",'5-man'!$F$43="Yes"),25,50),0,BY262+1)))</f>
        <v/>
      </c>
      <c r="CA262">
        <f>IF('5-man'!CA$64="R",0,IF(BZ261&gt;=100,0,IF(BZ262+1&gt;=IF(OR('5-man'!$F$43=TRUE,'5-man'!$F$43="TRUE",'5-man'!$F$43="Yes"),25,50),0,BZ262+1)))</f>
        <v/>
      </c>
      <c r="CB262">
        <f>IF('5-man'!CB$64="R",0,IF(CA261&gt;=100,0,IF(CA262+1&gt;=IF(OR('5-man'!$F$43=TRUE,'5-man'!$F$43="TRUE",'5-man'!$F$43="Yes"),25,50),0,CA262+1)))</f>
        <v/>
      </c>
      <c r="CC262">
        <f>IF('5-man'!CC$64="R",0,IF(CB261&gt;=100,0,IF(CB262+1&gt;=IF(OR('5-man'!$F$43=TRUE,'5-man'!$F$43="TRUE",'5-man'!$F$43="Yes"),25,50),0,CB262+1)))</f>
        <v/>
      </c>
      <c r="CD262">
        <f>IF('5-man'!CD$64="R",0,IF(CC261&gt;=100,0,IF(CC262+1&gt;=IF(OR('5-man'!$F$43=TRUE,'5-man'!$F$43="TRUE",'5-man'!$F$43="Yes"),25,50),0,CC262+1)))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row>
    <row r="267">
      <c r="A267" t="inlineStr">
        <is>
          <t>P2 act</t>
        </is>
      </c>
      <c r="C267">
        <f>IF(OR('5-man'!C$64="P",'5-man'!C$64="R",AND('5-man'!C$62&lt;=IF('5-man'!$BF$42="",999,'5-man'!$BF$42),OR('5-man'!C$64="D",LEFT('5-man'!C$64,3)="ST&gt;",OR(AND('5-man'!C$63="ST&gt;2",C252&gt;=100),AND('5-man'!C$65="ST&gt;2",C268&gt;=100),AND('5-man'!C$66="ST&gt;2",C276&gt;=100),AND('5-man'!C$67="ST&gt;2",C284&gt;=100))))),'5-man'!C$62,0)</f>
        <v/>
      </c>
      <c r="D267">
        <f>IF(OR('5-man'!D$64="P",'5-man'!D$64="R",AND('5-man'!D$62&lt;=IF('5-man'!$BF$42="",999,'5-man'!$BF$42),OR('5-man'!D$64="D",LEFT('5-man'!D$64,3)="ST&gt;",OR(AND('5-man'!D$63="ST&gt;2",D252&gt;=100),AND('5-man'!D$65="ST&gt;2",D268&gt;=100),AND('5-man'!D$66="ST&gt;2",D276&gt;=100),AND('5-man'!D$67="ST&gt;2",D284&gt;=100))))),'5-man'!D$62,0)</f>
        <v/>
      </c>
      <c r="E267">
        <f>IF(OR('5-man'!E$64="P",'5-man'!E$64="R",AND('5-man'!E$62&lt;=IF('5-man'!$BF$42="",999,'5-man'!$BF$42),OR('5-man'!E$64="D",LEFT('5-man'!E$64,3)="ST&gt;",OR(AND('5-man'!E$63="ST&gt;2",E252&gt;=100),AND('5-man'!E$65="ST&gt;2",E268&gt;=100),AND('5-man'!E$66="ST&gt;2",E276&gt;=100),AND('5-man'!E$67="ST&gt;2",E284&gt;=100))))),'5-man'!E$62,0)</f>
        <v/>
      </c>
      <c r="F267">
        <f>IF(OR('5-man'!F$64="P",'5-man'!F$64="R",AND('5-man'!F$62&lt;=IF('5-man'!$BF$42="",999,'5-man'!$BF$42),OR('5-man'!F$64="D",LEFT('5-man'!F$64,3)="ST&gt;",OR(AND('5-man'!F$63="ST&gt;2",F252&gt;=100),AND('5-man'!F$65="ST&gt;2",F268&gt;=100),AND('5-man'!F$66="ST&gt;2",F276&gt;=100),AND('5-man'!F$67="ST&gt;2",F284&gt;=100))))),'5-man'!F$62,0)</f>
        <v/>
      </c>
      <c r="G267">
        <f>IF(OR('5-man'!G$64="P",'5-man'!G$64="R",AND('5-man'!G$62&lt;=IF('5-man'!$BF$42="",999,'5-man'!$BF$42),OR('5-man'!G$64="D",LEFT('5-man'!G$64,3)="ST&gt;",OR(AND('5-man'!G$63="ST&gt;2",G252&gt;=100),AND('5-man'!G$65="ST&gt;2",G268&gt;=100),AND('5-man'!G$66="ST&gt;2",G276&gt;=100),AND('5-man'!G$67="ST&gt;2",G284&gt;=100))))),'5-man'!G$62,0)</f>
        <v/>
      </c>
      <c r="H267">
        <f>IF(OR('5-man'!H$64="P",'5-man'!H$64="R",AND('5-man'!H$62&lt;=IF('5-man'!$BF$42="",999,'5-man'!$BF$42),OR('5-man'!H$64="D",LEFT('5-man'!H$64,3)="ST&gt;",OR(AND('5-man'!H$63="ST&gt;2",H252&gt;=100),AND('5-man'!H$65="ST&gt;2",H268&gt;=100),AND('5-man'!H$66="ST&gt;2",H276&gt;=100),AND('5-man'!H$67="ST&gt;2",H284&gt;=100))))),'5-man'!H$62,0)</f>
        <v/>
      </c>
      <c r="I267">
        <f>IF(OR('5-man'!I$64="P",'5-man'!I$64="R",AND('5-man'!I$62&lt;=IF('5-man'!$BF$42="",999,'5-man'!$BF$42),OR('5-man'!I$64="D",LEFT('5-man'!I$64,3)="ST&gt;",OR(AND('5-man'!I$63="ST&gt;2",I252&gt;=100),AND('5-man'!I$65="ST&gt;2",I268&gt;=100),AND('5-man'!I$66="ST&gt;2",I276&gt;=100),AND('5-man'!I$67="ST&gt;2",I284&gt;=100))))),'5-man'!I$62,0)</f>
        <v/>
      </c>
      <c r="J267">
        <f>IF(OR('5-man'!J$64="P",'5-man'!J$64="R",AND('5-man'!J$62&lt;=IF('5-man'!$BF$42="",999,'5-man'!$BF$42),OR('5-man'!J$64="D",LEFT('5-man'!J$64,3)="ST&gt;",OR(AND('5-man'!J$63="ST&gt;2",J252&gt;=100),AND('5-man'!J$65="ST&gt;2",J268&gt;=100),AND('5-man'!J$66="ST&gt;2",J276&gt;=100),AND('5-man'!J$67="ST&gt;2",J284&gt;=100))))),'5-man'!J$62,0)</f>
        <v/>
      </c>
      <c r="K267">
        <f>IF(OR('5-man'!K$64="P",'5-man'!K$64="R",AND('5-man'!K$62&lt;=IF('5-man'!$BF$42="",999,'5-man'!$BF$42),OR('5-man'!K$64="D",LEFT('5-man'!K$64,3)="ST&gt;",OR(AND('5-man'!K$63="ST&gt;2",K252&gt;=100),AND('5-man'!K$65="ST&gt;2",K268&gt;=100),AND('5-man'!K$66="ST&gt;2",K276&gt;=100),AND('5-man'!K$67="ST&gt;2",K284&gt;=100))))),'5-man'!K$62,0)</f>
        <v/>
      </c>
      <c r="L267">
        <f>IF(OR('5-man'!L$64="P",'5-man'!L$64="R",AND('5-man'!L$62&lt;=IF('5-man'!$BF$42="",999,'5-man'!$BF$42),OR('5-man'!L$64="D",LEFT('5-man'!L$64,3)="ST&gt;",OR(AND('5-man'!L$63="ST&gt;2",L252&gt;=100),AND('5-man'!L$65="ST&gt;2",L268&gt;=100),AND('5-man'!L$66="ST&gt;2",L276&gt;=100),AND('5-man'!L$67="ST&gt;2",L284&gt;=100))))),'5-man'!L$62,0)</f>
        <v/>
      </c>
      <c r="M267">
        <f>IF(OR('5-man'!M$64="P",'5-man'!M$64="R",AND('5-man'!M$62&lt;=IF('5-man'!$BF$42="",999,'5-man'!$BF$42),OR('5-man'!M$64="D",LEFT('5-man'!M$64,3)="ST&gt;",OR(AND('5-man'!M$63="ST&gt;2",M252&gt;=100),AND('5-man'!M$65="ST&gt;2",M268&gt;=100),AND('5-man'!M$66="ST&gt;2",M276&gt;=100),AND('5-man'!M$67="ST&gt;2",M284&gt;=100))))),'5-man'!M$62,0)</f>
        <v/>
      </c>
      <c r="N267">
        <f>IF(OR('5-man'!N$64="P",'5-man'!N$64="R",AND('5-man'!N$62&lt;=IF('5-man'!$BF$42="",999,'5-man'!$BF$42),OR('5-man'!N$64="D",LEFT('5-man'!N$64,3)="ST&gt;",OR(AND('5-man'!N$63="ST&gt;2",N252&gt;=100),AND('5-man'!N$65="ST&gt;2",N268&gt;=100),AND('5-man'!N$66="ST&gt;2",N276&gt;=100),AND('5-man'!N$67="ST&gt;2",N284&gt;=100))))),'5-man'!N$62,0)</f>
        <v/>
      </c>
      <c r="O267">
        <f>IF(OR('5-man'!O$64="P",'5-man'!O$64="R",AND('5-man'!O$62&lt;=IF('5-man'!$BF$42="",999,'5-man'!$BF$42),OR('5-man'!O$64="D",LEFT('5-man'!O$64,3)="ST&gt;",OR(AND('5-man'!O$63="ST&gt;2",O252&gt;=100),AND('5-man'!O$65="ST&gt;2",O268&gt;=100),AND('5-man'!O$66="ST&gt;2",O276&gt;=100),AND('5-man'!O$67="ST&gt;2",O284&gt;=100))))),'5-man'!O$62,0)</f>
        <v/>
      </c>
      <c r="P267">
        <f>IF(OR('5-man'!P$64="P",'5-man'!P$64="R",AND('5-man'!P$62&lt;=IF('5-man'!$BF$42="",999,'5-man'!$BF$42),OR('5-man'!P$64="D",LEFT('5-man'!P$64,3)="ST&gt;",OR(AND('5-man'!P$63="ST&gt;2",P252&gt;=100),AND('5-man'!P$65="ST&gt;2",P268&gt;=100),AND('5-man'!P$66="ST&gt;2",P276&gt;=100),AND('5-man'!P$67="ST&gt;2",P284&gt;=100))))),'5-man'!P$62,0)</f>
        <v/>
      </c>
      <c r="Q267">
        <f>IF(OR('5-man'!Q$64="P",'5-man'!Q$64="R",AND('5-man'!Q$62&lt;=IF('5-man'!$BF$42="",999,'5-man'!$BF$42),OR('5-man'!Q$64="D",LEFT('5-man'!Q$64,3)="ST&gt;",OR(AND('5-man'!Q$63="ST&gt;2",Q252&gt;=100),AND('5-man'!Q$65="ST&gt;2",Q268&gt;=100),AND('5-man'!Q$66="ST&gt;2",Q276&gt;=100),AND('5-man'!Q$67="ST&gt;2",Q284&gt;=100))))),'5-man'!Q$62,0)</f>
        <v/>
      </c>
      <c r="R267">
        <f>IF(OR('5-man'!R$64="P",'5-man'!R$64="R",AND('5-man'!R$62&lt;=IF('5-man'!$BF$42="",999,'5-man'!$BF$42),OR('5-man'!R$64="D",LEFT('5-man'!R$64,3)="ST&gt;",OR(AND('5-man'!R$63="ST&gt;2",R252&gt;=100),AND('5-man'!R$65="ST&gt;2",R268&gt;=100),AND('5-man'!R$66="ST&gt;2",R276&gt;=100),AND('5-man'!R$67="ST&gt;2",R284&gt;=100))))),'5-man'!R$62,0)</f>
        <v/>
      </c>
      <c r="S267">
        <f>IF(OR('5-man'!S$64="P",'5-man'!S$64="R",AND('5-man'!S$62&lt;=IF('5-man'!$BF$42="",999,'5-man'!$BF$42),OR('5-man'!S$64="D",LEFT('5-man'!S$64,3)="ST&gt;",OR(AND('5-man'!S$63="ST&gt;2",S252&gt;=100),AND('5-man'!S$65="ST&gt;2",S268&gt;=100),AND('5-man'!S$66="ST&gt;2",S276&gt;=100),AND('5-man'!S$67="ST&gt;2",S284&gt;=100))))),'5-man'!S$62,0)</f>
        <v/>
      </c>
      <c r="T267">
        <f>IF(OR('5-man'!T$64="P",'5-man'!T$64="R",AND('5-man'!T$62&lt;=IF('5-man'!$BF$42="",999,'5-man'!$BF$42),OR('5-man'!T$64="D",LEFT('5-man'!T$64,3)="ST&gt;",OR(AND('5-man'!T$63="ST&gt;2",T252&gt;=100),AND('5-man'!T$65="ST&gt;2",T268&gt;=100),AND('5-man'!T$66="ST&gt;2",T276&gt;=100),AND('5-man'!T$67="ST&gt;2",T284&gt;=100))))),'5-man'!T$62,0)</f>
        <v/>
      </c>
      <c r="U267">
        <f>IF(OR('5-man'!U$64="P",'5-man'!U$64="R",AND('5-man'!U$62&lt;=IF('5-man'!$BF$42="",999,'5-man'!$BF$42),OR('5-man'!U$64="D",LEFT('5-man'!U$64,3)="ST&gt;",OR(AND('5-man'!U$63="ST&gt;2",U252&gt;=100),AND('5-man'!U$65="ST&gt;2",U268&gt;=100),AND('5-man'!U$66="ST&gt;2",U276&gt;=100),AND('5-man'!U$67="ST&gt;2",U284&gt;=100))))),'5-man'!U$62,0)</f>
        <v/>
      </c>
      <c r="V267">
        <f>IF(OR('5-man'!V$64="P",'5-man'!V$64="R",AND('5-man'!V$62&lt;=IF('5-man'!$BF$42="",999,'5-man'!$BF$42),OR('5-man'!V$64="D",LEFT('5-man'!V$64,3)="ST&gt;",OR(AND('5-man'!V$63="ST&gt;2",V252&gt;=100),AND('5-man'!V$65="ST&gt;2",V268&gt;=100),AND('5-man'!V$66="ST&gt;2",V276&gt;=100),AND('5-man'!V$67="ST&gt;2",V284&gt;=100))))),'5-man'!V$62,0)</f>
        <v/>
      </c>
      <c r="W267">
        <f>IF(OR('5-man'!W$64="P",'5-man'!W$64="R",AND('5-man'!W$62&lt;=IF('5-man'!$BF$42="",999,'5-man'!$BF$42),OR('5-man'!W$64="D",LEFT('5-man'!W$64,3)="ST&gt;",OR(AND('5-man'!W$63="ST&gt;2",W252&gt;=100),AND('5-man'!W$65="ST&gt;2",W268&gt;=100),AND('5-man'!W$66="ST&gt;2",W276&gt;=100),AND('5-man'!W$67="ST&gt;2",W284&gt;=100))))),'5-man'!W$62,0)</f>
        <v/>
      </c>
      <c r="X267">
        <f>IF(OR('5-man'!X$64="P",'5-man'!X$64="R",AND('5-man'!X$62&lt;=IF('5-man'!$BF$42="",999,'5-man'!$BF$42),OR('5-man'!X$64="D",LEFT('5-man'!X$64,3)="ST&gt;",OR(AND('5-man'!X$63="ST&gt;2",X252&gt;=100),AND('5-man'!X$65="ST&gt;2",X268&gt;=100),AND('5-man'!X$66="ST&gt;2",X276&gt;=100),AND('5-man'!X$67="ST&gt;2",X284&gt;=100))))),'5-man'!X$62,0)</f>
        <v/>
      </c>
      <c r="Y267">
        <f>IF(OR('5-man'!Y$64="P",'5-man'!Y$64="R",AND('5-man'!Y$62&lt;=IF('5-man'!$BF$42="",999,'5-man'!$BF$42),OR('5-man'!Y$64="D",LEFT('5-man'!Y$64,3)="ST&gt;",OR(AND('5-man'!Y$63="ST&gt;2",Y252&gt;=100),AND('5-man'!Y$65="ST&gt;2",Y268&gt;=100),AND('5-man'!Y$66="ST&gt;2",Y276&gt;=100),AND('5-man'!Y$67="ST&gt;2",Y284&gt;=100))))),'5-man'!Y$62,0)</f>
        <v/>
      </c>
      <c r="Z267">
        <f>IF(OR('5-man'!Z$64="P",'5-man'!Z$64="R",AND('5-man'!Z$62&lt;=IF('5-man'!$BF$42="",999,'5-man'!$BF$42),OR('5-man'!Z$64="D",LEFT('5-man'!Z$64,3)="ST&gt;",OR(AND('5-man'!Z$63="ST&gt;2",Z252&gt;=100),AND('5-man'!Z$65="ST&gt;2",Z268&gt;=100),AND('5-man'!Z$66="ST&gt;2",Z276&gt;=100),AND('5-man'!Z$67="ST&gt;2",Z284&gt;=100))))),'5-man'!Z$62,0)</f>
        <v/>
      </c>
      <c r="AA267">
        <f>IF(OR('5-man'!AA$64="P",'5-man'!AA$64="R",AND('5-man'!AA$62&lt;=IF('5-man'!$BF$42="",999,'5-man'!$BF$42),OR('5-man'!AA$64="D",LEFT('5-man'!AA$64,3)="ST&gt;",OR(AND('5-man'!AA$63="ST&gt;2",AA252&gt;=100),AND('5-man'!AA$65="ST&gt;2",AA268&gt;=100),AND('5-man'!AA$66="ST&gt;2",AA276&gt;=100),AND('5-man'!AA$67="ST&gt;2",AA284&gt;=100))))),'5-man'!AA$62,0)</f>
        <v/>
      </c>
      <c r="AB267">
        <f>IF(OR('5-man'!AB$64="P",'5-man'!AB$64="R",AND('5-man'!AB$62&lt;=IF('5-man'!$BF$42="",999,'5-man'!$BF$42),OR('5-man'!AB$64="D",LEFT('5-man'!AB$64,3)="ST&gt;",OR(AND('5-man'!AB$63="ST&gt;2",AB252&gt;=100),AND('5-man'!AB$65="ST&gt;2",AB268&gt;=100),AND('5-man'!AB$66="ST&gt;2",AB276&gt;=100),AND('5-man'!AB$67="ST&gt;2",AB284&gt;=100))))),'5-man'!AB$62,0)</f>
        <v/>
      </c>
      <c r="AC267">
        <f>IF(OR('5-man'!AC$64="P",'5-man'!AC$64="R",AND('5-man'!AC$62&lt;=IF('5-man'!$BF$42="",999,'5-man'!$BF$42),OR('5-man'!AC$64="D",LEFT('5-man'!AC$64,3)="ST&gt;",OR(AND('5-man'!AC$63="ST&gt;2",AC252&gt;=100),AND('5-man'!AC$65="ST&gt;2",AC268&gt;=100),AND('5-man'!AC$66="ST&gt;2",AC276&gt;=100),AND('5-man'!AC$67="ST&gt;2",AC284&gt;=100))))),'5-man'!AC$62,0)</f>
        <v/>
      </c>
      <c r="AD267">
        <f>IF(OR('5-man'!AD$64="P",'5-man'!AD$64="R",AND('5-man'!AD$62&lt;=IF('5-man'!$BF$42="",999,'5-man'!$BF$42),OR('5-man'!AD$64="D",LEFT('5-man'!AD$64,3)="ST&gt;",OR(AND('5-man'!AD$63="ST&gt;2",AD252&gt;=100),AND('5-man'!AD$65="ST&gt;2",AD268&gt;=100),AND('5-man'!AD$66="ST&gt;2",AD276&gt;=100),AND('5-man'!AD$67="ST&gt;2",AD284&gt;=100))))),'5-man'!AD$62,0)</f>
        <v/>
      </c>
      <c r="AE267">
        <f>IF(OR('5-man'!AE$64="P",'5-man'!AE$64="R",AND('5-man'!AE$62&lt;=IF('5-man'!$BF$42="",999,'5-man'!$BF$42),OR('5-man'!AE$64="D",LEFT('5-man'!AE$64,3)="ST&gt;",OR(AND('5-man'!AE$63="ST&gt;2",AE252&gt;=100),AND('5-man'!AE$65="ST&gt;2",AE268&gt;=100),AND('5-man'!AE$66="ST&gt;2",AE276&gt;=100),AND('5-man'!AE$67="ST&gt;2",AE284&gt;=100))))),'5-man'!AE$62,0)</f>
        <v/>
      </c>
      <c r="AF267">
        <f>IF(OR('5-man'!AF$64="P",'5-man'!AF$64="R",AND('5-man'!AF$62&lt;=IF('5-man'!$BF$42="",999,'5-man'!$BF$42),OR('5-man'!AF$64="D",LEFT('5-man'!AF$64,3)="ST&gt;",OR(AND('5-man'!AF$63="ST&gt;2",AF252&gt;=100),AND('5-man'!AF$65="ST&gt;2",AF268&gt;=100),AND('5-man'!AF$66="ST&gt;2",AF276&gt;=100),AND('5-man'!AF$67="ST&gt;2",AF284&gt;=100))))),'5-man'!AF$62,0)</f>
        <v/>
      </c>
      <c r="AG267">
        <f>IF(OR('5-man'!AG$64="P",'5-man'!AG$64="R",AND('5-man'!AG$62&lt;=IF('5-man'!$BF$42="",999,'5-man'!$BF$42),OR('5-man'!AG$64="D",LEFT('5-man'!AG$64,3)="ST&gt;",OR(AND('5-man'!AG$63="ST&gt;2",AG252&gt;=100),AND('5-man'!AG$65="ST&gt;2",AG268&gt;=100),AND('5-man'!AG$66="ST&gt;2",AG276&gt;=100),AND('5-man'!AG$67="ST&gt;2",AG284&gt;=100))))),'5-man'!AG$62,0)</f>
        <v/>
      </c>
      <c r="AH267">
        <f>IF(OR('5-man'!AH$64="P",'5-man'!AH$64="R",AND('5-man'!AH$62&lt;=IF('5-man'!$BF$42="",999,'5-man'!$BF$42),OR('5-man'!AH$64="D",LEFT('5-man'!AH$64,3)="ST&gt;",OR(AND('5-man'!AH$63="ST&gt;2",AH252&gt;=100),AND('5-man'!AH$65="ST&gt;2",AH268&gt;=100),AND('5-man'!AH$66="ST&gt;2",AH276&gt;=100),AND('5-man'!AH$67="ST&gt;2",AH284&gt;=100))))),'5-man'!AH$62,0)</f>
        <v/>
      </c>
      <c r="AI267">
        <f>IF(OR('5-man'!AI$64="P",'5-man'!AI$64="R",AND('5-man'!AI$62&lt;=IF('5-man'!$BF$42="",999,'5-man'!$BF$42),OR('5-man'!AI$64="D",LEFT('5-man'!AI$64,3)="ST&gt;",OR(AND('5-man'!AI$63="ST&gt;2",AI252&gt;=100),AND('5-man'!AI$65="ST&gt;2",AI268&gt;=100),AND('5-man'!AI$66="ST&gt;2",AI276&gt;=100),AND('5-man'!AI$67="ST&gt;2",AI284&gt;=100))))),'5-man'!AI$62,0)</f>
        <v/>
      </c>
      <c r="AJ267">
        <f>IF(OR('5-man'!AJ$64="P",'5-man'!AJ$64="R",AND('5-man'!AJ$62&lt;=IF('5-man'!$BF$42="",999,'5-man'!$BF$42),OR('5-man'!AJ$64="D",LEFT('5-man'!AJ$64,3)="ST&gt;",OR(AND('5-man'!AJ$63="ST&gt;2",AJ252&gt;=100),AND('5-man'!AJ$65="ST&gt;2",AJ268&gt;=100),AND('5-man'!AJ$66="ST&gt;2",AJ276&gt;=100),AND('5-man'!AJ$67="ST&gt;2",AJ284&gt;=100))))),'5-man'!AJ$62,0)</f>
        <v/>
      </c>
      <c r="AK267">
        <f>IF(OR('5-man'!AK$64="P",'5-man'!AK$64="R",AND('5-man'!AK$62&lt;=IF('5-man'!$BF$42="",999,'5-man'!$BF$42),OR('5-man'!AK$64="D",LEFT('5-man'!AK$64,3)="ST&gt;",OR(AND('5-man'!AK$63="ST&gt;2",AK252&gt;=100),AND('5-man'!AK$65="ST&gt;2",AK268&gt;=100),AND('5-man'!AK$66="ST&gt;2",AK276&gt;=100),AND('5-man'!AK$67="ST&gt;2",AK284&gt;=100))))),'5-man'!AK$62,0)</f>
        <v/>
      </c>
      <c r="AL267">
        <f>IF(OR('5-man'!AL$64="P",'5-man'!AL$64="R",AND('5-man'!AL$62&lt;=IF('5-man'!$BF$42="",999,'5-man'!$BF$42),OR('5-man'!AL$64="D",LEFT('5-man'!AL$64,3)="ST&gt;",OR(AND('5-man'!AL$63="ST&gt;2",AL252&gt;=100),AND('5-man'!AL$65="ST&gt;2",AL268&gt;=100),AND('5-man'!AL$66="ST&gt;2",AL276&gt;=100),AND('5-man'!AL$67="ST&gt;2",AL284&gt;=100))))),'5-man'!AL$62,0)</f>
        <v/>
      </c>
      <c r="AM267">
        <f>IF(OR('5-man'!AM$64="P",'5-man'!AM$64="R",AND('5-man'!AM$62&lt;=IF('5-man'!$BF$42="",999,'5-man'!$BF$42),OR('5-man'!AM$64="D",LEFT('5-man'!AM$64,3)="ST&gt;",OR(AND('5-man'!AM$63="ST&gt;2",AM252&gt;=100),AND('5-man'!AM$65="ST&gt;2",AM268&gt;=100),AND('5-man'!AM$66="ST&gt;2",AM276&gt;=100),AND('5-man'!AM$67="ST&gt;2",AM284&gt;=100))))),'5-man'!AM$62,0)</f>
        <v/>
      </c>
      <c r="AN267">
        <f>IF(OR('5-man'!AN$64="P",'5-man'!AN$64="R",AND('5-man'!AN$62&lt;=IF('5-man'!$BF$42="",999,'5-man'!$BF$42),OR('5-man'!AN$64="D",LEFT('5-man'!AN$64,3)="ST&gt;",OR(AND('5-man'!AN$63="ST&gt;2",AN252&gt;=100),AND('5-man'!AN$65="ST&gt;2",AN268&gt;=100),AND('5-man'!AN$66="ST&gt;2",AN276&gt;=100),AND('5-man'!AN$67="ST&gt;2",AN284&gt;=100))))),'5-man'!AN$62,0)</f>
        <v/>
      </c>
      <c r="AO267">
        <f>IF(OR('5-man'!AO$64="P",'5-man'!AO$64="R",AND('5-man'!AO$62&lt;=IF('5-man'!$BF$42="",999,'5-man'!$BF$42),OR('5-man'!AO$64="D",LEFT('5-man'!AO$64,3)="ST&gt;",OR(AND('5-man'!AO$63="ST&gt;2",AO252&gt;=100),AND('5-man'!AO$65="ST&gt;2",AO268&gt;=100),AND('5-man'!AO$66="ST&gt;2",AO276&gt;=100),AND('5-man'!AO$67="ST&gt;2",AO284&gt;=100))))),'5-man'!AO$62,0)</f>
        <v/>
      </c>
      <c r="AP267">
        <f>IF(OR('5-man'!AP$64="P",'5-man'!AP$64="R",AND('5-man'!AP$62&lt;=IF('5-man'!$BF$42="",999,'5-man'!$BF$42),OR('5-man'!AP$64="D",LEFT('5-man'!AP$64,3)="ST&gt;",OR(AND('5-man'!AP$63="ST&gt;2",AP252&gt;=100),AND('5-man'!AP$65="ST&gt;2",AP268&gt;=100),AND('5-man'!AP$66="ST&gt;2",AP276&gt;=100),AND('5-man'!AP$67="ST&gt;2",AP284&gt;=100))))),'5-man'!AP$62,0)</f>
        <v/>
      </c>
      <c r="AQ267">
        <f>IF(OR('5-man'!AQ$64="P",'5-man'!AQ$64="R",AND('5-man'!AQ$62&lt;=IF('5-man'!$BF$42="",999,'5-man'!$BF$42),OR('5-man'!AQ$64="D",LEFT('5-man'!AQ$64,3)="ST&gt;",OR(AND('5-man'!AQ$63="ST&gt;2",AQ252&gt;=100),AND('5-man'!AQ$65="ST&gt;2",AQ268&gt;=100),AND('5-man'!AQ$66="ST&gt;2",AQ276&gt;=100),AND('5-man'!AQ$67="ST&gt;2",AQ284&gt;=100))))),'5-man'!AQ$62,0)</f>
        <v/>
      </c>
      <c r="AR267">
        <f>IF(OR('5-man'!AR$64="P",'5-man'!AR$64="R",AND('5-man'!AR$62&lt;=IF('5-man'!$BF$42="",999,'5-man'!$BF$42),OR('5-man'!AR$64="D",LEFT('5-man'!AR$64,3)="ST&gt;",OR(AND('5-man'!AR$63="ST&gt;2",AR252&gt;=100),AND('5-man'!AR$65="ST&gt;2",AR268&gt;=100),AND('5-man'!AR$66="ST&gt;2",AR276&gt;=100),AND('5-man'!AR$67="ST&gt;2",AR284&gt;=100))))),'5-man'!AR$62,0)</f>
        <v/>
      </c>
      <c r="AS267">
        <f>IF(OR('5-man'!AS$64="P",'5-man'!AS$64="R",AND('5-man'!AS$62&lt;=IF('5-man'!$BF$42="",999,'5-man'!$BF$42),OR('5-man'!AS$64="D",LEFT('5-man'!AS$64,3)="ST&gt;",OR(AND('5-man'!AS$63="ST&gt;2",AS252&gt;=100),AND('5-man'!AS$65="ST&gt;2",AS268&gt;=100),AND('5-man'!AS$66="ST&gt;2",AS276&gt;=100),AND('5-man'!AS$67="ST&gt;2",AS284&gt;=100))))),'5-man'!AS$62,0)</f>
        <v/>
      </c>
      <c r="AT267">
        <f>IF(OR('5-man'!AT$64="P",'5-man'!AT$64="R",AND('5-man'!AT$62&lt;=IF('5-man'!$BF$42="",999,'5-man'!$BF$42),OR('5-man'!AT$64="D",LEFT('5-man'!AT$64,3)="ST&gt;",OR(AND('5-man'!AT$63="ST&gt;2",AT252&gt;=100),AND('5-man'!AT$65="ST&gt;2",AT268&gt;=100),AND('5-man'!AT$66="ST&gt;2",AT276&gt;=100),AND('5-man'!AT$67="ST&gt;2",AT284&gt;=100))))),'5-man'!AT$62,0)</f>
        <v/>
      </c>
      <c r="AU267">
        <f>IF(OR('5-man'!AU$64="P",'5-man'!AU$64="R",AND('5-man'!AU$62&lt;=IF('5-man'!$BF$42="",999,'5-man'!$BF$42),OR('5-man'!AU$64="D",LEFT('5-man'!AU$64,3)="ST&gt;",OR(AND('5-man'!AU$63="ST&gt;2",AU252&gt;=100),AND('5-man'!AU$65="ST&gt;2",AU268&gt;=100),AND('5-man'!AU$66="ST&gt;2",AU276&gt;=100),AND('5-man'!AU$67="ST&gt;2",AU284&gt;=100))))),'5-man'!AU$62,0)</f>
        <v/>
      </c>
      <c r="AV267">
        <f>IF(OR('5-man'!AV$64="P",'5-man'!AV$64="R",AND('5-man'!AV$62&lt;=IF('5-man'!$BF$42="",999,'5-man'!$BF$42),OR('5-man'!AV$64="D",LEFT('5-man'!AV$64,3)="ST&gt;",OR(AND('5-man'!AV$63="ST&gt;2",AV252&gt;=100),AND('5-man'!AV$65="ST&gt;2",AV268&gt;=100),AND('5-man'!AV$66="ST&gt;2",AV276&gt;=100),AND('5-man'!AV$67="ST&gt;2",AV284&gt;=100))))),'5-man'!AV$62,0)</f>
        <v/>
      </c>
      <c r="AW267">
        <f>IF(OR('5-man'!AW$64="P",'5-man'!AW$64="R",AND('5-man'!AW$62&lt;=IF('5-man'!$BF$42="",999,'5-man'!$BF$42),OR('5-man'!AW$64="D",LEFT('5-man'!AW$64,3)="ST&gt;",OR(AND('5-man'!AW$63="ST&gt;2",AW252&gt;=100),AND('5-man'!AW$65="ST&gt;2",AW268&gt;=100),AND('5-man'!AW$66="ST&gt;2",AW276&gt;=100),AND('5-man'!AW$67="ST&gt;2",AW284&gt;=100))))),'5-man'!AW$62,0)</f>
        <v/>
      </c>
      <c r="AX267">
        <f>IF(OR('5-man'!AX$64="P",'5-man'!AX$64="R",AND('5-man'!AX$62&lt;=IF('5-man'!$BF$42="",999,'5-man'!$BF$42),OR('5-man'!AX$64="D",LEFT('5-man'!AX$64,3)="ST&gt;",OR(AND('5-man'!AX$63="ST&gt;2",AX252&gt;=100),AND('5-man'!AX$65="ST&gt;2",AX268&gt;=100),AND('5-man'!AX$66="ST&gt;2",AX276&gt;=100),AND('5-man'!AX$67="ST&gt;2",AX284&gt;=100))))),'5-man'!AX$62,0)</f>
        <v/>
      </c>
      <c r="AY267">
        <f>IF(OR('5-man'!AY$64="P",'5-man'!AY$64="R",AND('5-man'!AY$62&lt;=IF('5-man'!$BF$42="",999,'5-man'!$BF$42),OR('5-man'!AY$64="D",LEFT('5-man'!AY$64,3)="ST&gt;",OR(AND('5-man'!AY$63="ST&gt;2",AY252&gt;=100),AND('5-man'!AY$65="ST&gt;2",AY268&gt;=100),AND('5-man'!AY$66="ST&gt;2",AY276&gt;=100),AND('5-man'!AY$67="ST&gt;2",AY284&gt;=100))))),'5-man'!AY$62,0)</f>
        <v/>
      </c>
      <c r="AZ267">
        <f>IF(OR('5-man'!AZ$64="P",'5-man'!AZ$64="R",AND('5-man'!AZ$62&lt;=IF('5-man'!$BF$42="",999,'5-man'!$BF$42),OR('5-man'!AZ$64="D",LEFT('5-man'!AZ$64,3)="ST&gt;",OR(AND('5-man'!AZ$63="ST&gt;2",AZ252&gt;=100),AND('5-man'!AZ$65="ST&gt;2",AZ268&gt;=100),AND('5-man'!AZ$66="ST&gt;2",AZ276&gt;=100),AND('5-man'!AZ$67="ST&gt;2",AZ284&gt;=100))))),'5-man'!AZ$62,0)</f>
        <v/>
      </c>
      <c r="BA267">
        <f>IF(OR('5-man'!BA$64="P",'5-man'!BA$64="R",AND('5-man'!BA$62&lt;=IF('5-man'!$BF$42="",999,'5-man'!$BF$42),OR('5-man'!BA$64="D",LEFT('5-man'!BA$64,3)="ST&gt;",OR(AND('5-man'!BA$63="ST&gt;2",BA252&gt;=100),AND('5-man'!BA$65="ST&gt;2",BA268&gt;=100),AND('5-man'!BA$66="ST&gt;2",BA276&gt;=100),AND('5-man'!BA$67="ST&gt;2",BA284&gt;=100))))),'5-man'!BA$62,0)</f>
        <v/>
      </c>
      <c r="BB267">
        <f>IF(OR('5-man'!BB$64="P",'5-man'!BB$64="R",AND('5-man'!BB$62&lt;=IF('5-man'!$BF$42="",999,'5-man'!$BF$42),OR('5-man'!BB$64="D",LEFT('5-man'!BB$64,3)="ST&gt;",OR(AND('5-man'!BB$63="ST&gt;2",BB252&gt;=100),AND('5-man'!BB$65="ST&gt;2",BB268&gt;=100),AND('5-man'!BB$66="ST&gt;2",BB276&gt;=100),AND('5-man'!BB$67="ST&gt;2",BB284&gt;=100))))),'5-man'!BB$62,0)</f>
        <v/>
      </c>
      <c r="BC267">
        <f>IF(OR('5-man'!BC$64="P",'5-man'!BC$64="R",AND('5-man'!BC$62&lt;=IF('5-man'!$BF$42="",999,'5-man'!$BF$42),OR('5-man'!BC$64="D",LEFT('5-man'!BC$64,3)="ST&gt;",OR(AND('5-man'!BC$63="ST&gt;2",BC252&gt;=100),AND('5-man'!BC$65="ST&gt;2",BC268&gt;=100),AND('5-man'!BC$66="ST&gt;2",BC276&gt;=100),AND('5-man'!BC$67="ST&gt;2",BC284&gt;=100))))),'5-man'!BC$62,0)</f>
        <v/>
      </c>
      <c r="BD267">
        <f>IF(OR('5-man'!BD$64="P",'5-man'!BD$64="R",AND('5-man'!BD$62&lt;=IF('5-man'!$BF$42="",999,'5-man'!$BF$42),OR('5-man'!BD$64="D",LEFT('5-man'!BD$64,3)="ST&gt;",OR(AND('5-man'!BD$63="ST&gt;2",BD252&gt;=100),AND('5-man'!BD$65="ST&gt;2",BD268&gt;=100),AND('5-man'!BD$66="ST&gt;2",BD276&gt;=100),AND('5-man'!BD$67="ST&gt;2",BD284&gt;=100))))),'5-man'!BD$62,0)</f>
        <v/>
      </c>
      <c r="BE267">
        <f>IF(OR('5-man'!BE$64="P",'5-man'!BE$64="R",AND('5-man'!BE$62&lt;=IF('5-man'!$BF$42="",999,'5-man'!$BF$42),OR('5-man'!BE$64="D",LEFT('5-man'!BE$64,3)="ST&gt;",OR(AND('5-man'!BE$63="ST&gt;2",BE252&gt;=100),AND('5-man'!BE$65="ST&gt;2",BE268&gt;=100),AND('5-man'!BE$66="ST&gt;2",BE276&gt;=100),AND('5-man'!BE$67="ST&gt;2",BE284&gt;=100))))),'5-man'!BE$62,0)</f>
        <v/>
      </c>
      <c r="BF267">
        <f>IF(OR('5-man'!BF$64="P",'5-man'!BF$64="R",AND('5-man'!BF$62&lt;=IF('5-man'!$BF$42="",999,'5-man'!$BF$42),OR('5-man'!BF$64="D",LEFT('5-man'!BF$64,3)="ST&gt;",OR(AND('5-man'!BF$63="ST&gt;2",BF252&gt;=100),AND('5-man'!BF$65="ST&gt;2",BF268&gt;=100),AND('5-man'!BF$66="ST&gt;2",BF276&gt;=100),AND('5-man'!BF$67="ST&gt;2",BF284&gt;=100))))),'5-man'!BF$62,0)</f>
        <v/>
      </c>
      <c r="BG267">
        <f>IF(OR('5-man'!BG$64="P",'5-man'!BG$64="R",AND('5-man'!BG$62&lt;=IF('5-man'!$BF$42="",999,'5-man'!$BF$42),OR('5-man'!BG$64="D",LEFT('5-man'!BG$64,3)="ST&gt;",OR(AND('5-man'!BG$63="ST&gt;2",BG252&gt;=100),AND('5-man'!BG$65="ST&gt;2",BG268&gt;=100),AND('5-man'!BG$66="ST&gt;2",BG276&gt;=100),AND('5-man'!BG$67="ST&gt;2",BG284&gt;=100))))),'5-man'!BG$62,0)</f>
        <v/>
      </c>
      <c r="BH267">
        <f>IF(OR('5-man'!BH$64="P",'5-man'!BH$64="R",AND('5-man'!BH$62&lt;=IF('5-man'!$BF$42="",999,'5-man'!$BF$42),OR('5-man'!BH$64="D",LEFT('5-man'!BH$64,3)="ST&gt;",OR(AND('5-man'!BH$63="ST&gt;2",BH252&gt;=100),AND('5-man'!BH$65="ST&gt;2",BH268&gt;=100),AND('5-man'!BH$66="ST&gt;2",BH276&gt;=100),AND('5-man'!BH$67="ST&gt;2",BH284&gt;=100))))),'5-man'!BH$62,0)</f>
        <v/>
      </c>
      <c r="BI267">
        <f>IF(OR('5-man'!BI$64="P",'5-man'!BI$64="R",AND('5-man'!BI$62&lt;=IF('5-man'!$BF$42="",999,'5-man'!$BF$42),OR('5-man'!BI$64="D",LEFT('5-man'!BI$64,3)="ST&gt;",OR(AND('5-man'!BI$63="ST&gt;2",BI252&gt;=100),AND('5-man'!BI$65="ST&gt;2",BI268&gt;=100),AND('5-man'!BI$66="ST&gt;2",BI276&gt;=100),AND('5-man'!BI$67="ST&gt;2",BI284&gt;=100))))),'5-man'!BI$62,0)</f>
        <v/>
      </c>
      <c r="BJ267">
        <f>IF(OR('5-man'!BJ$64="P",'5-man'!BJ$64="R",AND('5-man'!BJ$62&lt;=IF('5-man'!$BF$42="",999,'5-man'!$BF$42),OR('5-man'!BJ$64="D",LEFT('5-man'!BJ$64,3)="ST&gt;",OR(AND('5-man'!BJ$63="ST&gt;2",BJ252&gt;=100),AND('5-man'!BJ$65="ST&gt;2",BJ268&gt;=100),AND('5-man'!BJ$66="ST&gt;2",BJ276&gt;=100),AND('5-man'!BJ$67="ST&gt;2",BJ284&gt;=100))))),'5-man'!BJ$62,0)</f>
        <v/>
      </c>
      <c r="BK267">
        <f>IF(OR('5-man'!BK$64="P",'5-man'!BK$64="R",AND('5-man'!BK$62&lt;=IF('5-man'!$BF$42="",999,'5-man'!$BF$42),OR('5-man'!BK$64="D",LEFT('5-man'!BK$64,3)="ST&gt;",OR(AND('5-man'!BK$63="ST&gt;2",BK252&gt;=100),AND('5-man'!BK$65="ST&gt;2",BK268&gt;=100),AND('5-man'!BK$66="ST&gt;2",BK276&gt;=100),AND('5-man'!BK$67="ST&gt;2",BK284&gt;=100))))),'5-man'!BK$62,0)</f>
        <v/>
      </c>
      <c r="BL267">
        <f>IF(OR('5-man'!BL$64="P",'5-man'!BL$64="R",AND('5-man'!BL$62&lt;=IF('5-man'!$BF$42="",999,'5-man'!$BF$42),OR('5-man'!BL$64="D",LEFT('5-man'!BL$64,3)="ST&gt;",OR(AND('5-man'!BL$63="ST&gt;2",BL252&gt;=100),AND('5-man'!BL$65="ST&gt;2",BL268&gt;=100),AND('5-man'!BL$66="ST&gt;2",BL276&gt;=100),AND('5-man'!BL$67="ST&gt;2",BL284&gt;=100))))),'5-man'!BL$62,0)</f>
        <v/>
      </c>
      <c r="BM267">
        <f>IF(OR('5-man'!BM$64="P",'5-man'!BM$64="R",AND('5-man'!BM$62&lt;=IF('5-man'!$BF$42="",999,'5-man'!$BF$42),OR('5-man'!BM$64="D",LEFT('5-man'!BM$64,3)="ST&gt;",OR(AND('5-man'!BM$63="ST&gt;2",BM252&gt;=100),AND('5-man'!BM$65="ST&gt;2",BM268&gt;=100),AND('5-man'!BM$66="ST&gt;2",BM276&gt;=100),AND('5-man'!BM$67="ST&gt;2",BM284&gt;=100))))),'5-man'!BM$62,0)</f>
        <v/>
      </c>
      <c r="BN267">
        <f>IF(OR('5-man'!BN$64="P",'5-man'!BN$64="R",AND('5-man'!BN$62&lt;=IF('5-man'!$BF$42="",999,'5-man'!$BF$42),OR('5-man'!BN$64="D",LEFT('5-man'!BN$64,3)="ST&gt;",OR(AND('5-man'!BN$63="ST&gt;2",BN252&gt;=100),AND('5-man'!BN$65="ST&gt;2",BN268&gt;=100),AND('5-man'!BN$66="ST&gt;2",BN276&gt;=100),AND('5-man'!BN$67="ST&gt;2",BN284&gt;=100))))),'5-man'!BN$62,0)</f>
        <v/>
      </c>
      <c r="BO267">
        <f>IF(OR('5-man'!BO$64="P",'5-man'!BO$64="R",AND('5-man'!BO$62&lt;=IF('5-man'!$BF$42="",999,'5-man'!$BF$42),OR('5-man'!BO$64="D",LEFT('5-man'!BO$64,3)="ST&gt;",OR(AND('5-man'!BO$63="ST&gt;2",BO252&gt;=100),AND('5-man'!BO$65="ST&gt;2",BO268&gt;=100),AND('5-man'!BO$66="ST&gt;2",BO276&gt;=100),AND('5-man'!BO$67="ST&gt;2",BO284&gt;=100))))),'5-man'!BO$62,0)</f>
        <v/>
      </c>
      <c r="BP267">
        <f>IF(OR('5-man'!BP$64="P",'5-man'!BP$64="R",AND('5-man'!BP$62&lt;=IF('5-man'!$BF$42="",999,'5-man'!$BF$42),OR('5-man'!BP$64="D",LEFT('5-man'!BP$64,3)="ST&gt;",OR(AND('5-man'!BP$63="ST&gt;2",BP252&gt;=100),AND('5-man'!BP$65="ST&gt;2",BP268&gt;=100),AND('5-man'!BP$66="ST&gt;2",BP276&gt;=100),AND('5-man'!BP$67="ST&gt;2",BP284&gt;=100))))),'5-man'!BP$62,0)</f>
        <v/>
      </c>
      <c r="BQ267">
        <f>IF(OR('5-man'!BQ$64="P",'5-man'!BQ$64="R",AND('5-man'!BQ$62&lt;=IF('5-man'!$BF$42="",999,'5-man'!$BF$42),OR('5-man'!BQ$64="D",LEFT('5-man'!BQ$64,3)="ST&gt;",OR(AND('5-man'!BQ$63="ST&gt;2",BQ252&gt;=100),AND('5-man'!BQ$65="ST&gt;2",BQ268&gt;=100),AND('5-man'!BQ$66="ST&gt;2",BQ276&gt;=100),AND('5-man'!BQ$67="ST&gt;2",BQ284&gt;=100))))),'5-man'!BQ$62,0)</f>
        <v/>
      </c>
      <c r="BR267">
        <f>IF(OR('5-man'!BR$64="P",'5-man'!BR$64="R",AND('5-man'!BR$62&lt;=IF('5-man'!$BF$42="",999,'5-man'!$BF$42),OR('5-man'!BR$64="D",LEFT('5-man'!BR$64,3)="ST&gt;",OR(AND('5-man'!BR$63="ST&gt;2",BR252&gt;=100),AND('5-man'!BR$65="ST&gt;2",BR268&gt;=100),AND('5-man'!BR$66="ST&gt;2",BR276&gt;=100),AND('5-man'!BR$67="ST&gt;2",BR284&gt;=100))))),'5-man'!BR$62,0)</f>
        <v/>
      </c>
      <c r="BS267">
        <f>IF(OR('5-man'!BS$64="P",'5-man'!BS$64="R",AND('5-man'!BS$62&lt;=IF('5-man'!$BF$42="",999,'5-man'!$BF$42),OR('5-man'!BS$64="D",LEFT('5-man'!BS$64,3)="ST&gt;",OR(AND('5-man'!BS$63="ST&gt;2",BS252&gt;=100),AND('5-man'!BS$65="ST&gt;2",BS268&gt;=100),AND('5-man'!BS$66="ST&gt;2",BS276&gt;=100),AND('5-man'!BS$67="ST&gt;2",BS284&gt;=100))))),'5-man'!BS$62,0)</f>
        <v/>
      </c>
      <c r="BT267">
        <f>IF(OR('5-man'!BT$64="P",'5-man'!BT$64="R",AND('5-man'!BT$62&lt;=IF('5-man'!$BF$42="",999,'5-man'!$BF$42),OR('5-man'!BT$64="D",LEFT('5-man'!BT$64,3)="ST&gt;",OR(AND('5-man'!BT$63="ST&gt;2",BT252&gt;=100),AND('5-man'!BT$65="ST&gt;2",BT268&gt;=100),AND('5-man'!BT$66="ST&gt;2",BT276&gt;=100),AND('5-man'!BT$67="ST&gt;2",BT284&gt;=100))))),'5-man'!BT$62,0)</f>
        <v/>
      </c>
      <c r="BU267">
        <f>IF(OR('5-man'!BU$64="P",'5-man'!BU$64="R",AND('5-man'!BU$62&lt;=IF('5-man'!$BF$42="",999,'5-man'!$BF$42),OR('5-man'!BU$64="D",LEFT('5-man'!BU$64,3)="ST&gt;",OR(AND('5-man'!BU$63="ST&gt;2",BU252&gt;=100),AND('5-man'!BU$65="ST&gt;2",BU268&gt;=100),AND('5-man'!BU$66="ST&gt;2",BU276&gt;=100),AND('5-man'!BU$67="ST&gt;2",BU284&gt;=100))))),'5-man'!BU$62,0)</f>
        <v/>
      </c>
      <c r="BV267">
        <f>IF(OR('5-man'!BV$64="P",'5-man'!BV$64="R",AND('5-man'!BV$62&lt;=IF('5-man'!$BF$42="",999,'5-man'!$BF$42),OR('5-man'!BV$64="D",LEFT('5-man'!BV$64,3)="ST&gt;",OR(AND('5-man'!BV$63="ST&gt;2",BV252&gt;=100),AND('5-man'!BV$65="ST&gt;2",BV268&gt;=100),AND('5-man'!BV$66="ST&gt;2",BV276&gt;=100),AND('5-man'!BV$67="ST&gt;2",BV284&gt;=100))))),'5-man'!BV$62,0)</f>
        <v/>
      </c>
      <c r="BW267">
        <f>IF(OR('5-man'!BW$64="P",'5-man'!BW$64="R",AND('5-man'!BW$62&lt;=IF('5-man'!$BF$42="",999,'5-man'!$BF$42),OR('5-man'!BW$64="D",LEFT('5-man'!BW$64,3)="ST&gt;",OR(AND('5-man'!BW$63="ST&gt;2",BW252&gt;=100),AND('5-man'!BW$65="ST&gt;2",BW268&gt;=100),AND('5-man'!BW$66="ST&gt;2",BW276&gt;=100),AND('5-man'!BW$67="ST&gt;2",BW284&gt;=100))))),'5-man'!BW$62,0)</f>
        <v/>
      </c>
      <c r="BX267">
        <f>IF(OR('5-man'!BX$64="P",'5-man'!BX$64="R",AND('5-man'!BX$62&lt;=IF('5-man'!$BF$42="",999,'5-man'!$BF$42),OR('5-man'!BX$64="D",LEFT('5-man'!BX$64,3)="ST&gt;",OR(AND('5-man'!BX$63="ST&gt;2",BX252&gt;=100),AND('5-man'!BX$65="ST&gt;2",BX268&gt;=100),AND('5-man'!BX$66="ST&gt;2",BX276&gt;=100),AND('5-man'!BX$67="ST&gt;2",BX284&gt;=100))))),'5-man'!BX$62,0)</f>
        <v/>
      </c>
      <c r="BY267">
        <f>IF(OR('5-man'!BY$64="P",'5-man'!BY$64="R",AND('5-man'!BY$62&lt;=IF('5-man'!$BF$42="",999,'5-man'!$BF$42),OR('5-man'!BY$64="D",LEFT('5-man'!BY$64,3)="ST&gt;",OR(AND('5-man'!BY$63="ST&gt;2",BY252&gt;=100),AND('5-man'!BY$65="ST&gt;2",BY268&gt;=100),AND('5-man'!BY$66="ST&gt;2",BY276&gt;=100),AND('5-man'!BY$67="ST&gt;2",BY284&gt;=100))))),'5-man'!BY$62,0)</f>
        <v/>
      </c>
      <c r="BZ267">
        <f>IF(OR('5-man'!BZ$64="P",'5-man'!BZ$64="R",AND('5-man'!BZ$62&lt;=IF('5-man'!$BF$42="",999,'5-man'!$BF$42),OR('5-man'!BZ$64="D",LEFT('5-man'!BZ$64,3)="ST&gt;",OR(AND('5-man'!BZ$63="ST&gt;2",BZ252&gt;=100),AND('5-man'!BZ$65="ST&gt;2",BZ268&gt;=100),AND('5-man'!BZ$66="ST&gt;2",BZ276&gt;=100),AND('5-man'!BZ$67="ST&gt;2",BZ284&gt;=100))))),'5-man'!BZ$62,0)</f>
        <v/>
      </c>
      <c r="CA267">
        <f>IF(OR('5-man'!CA$64="P",'5-man'!CA$64="R",AND('5-man'!CA$62&lt;=IF('5-man'!$BF$42="",999,'5-man'!$BF$42),OR('5-man'!CA$64="D",LEFT('5-man'!CA$64,3)="ST&gt;",OR(AND('5-man'!CA$63="ST&gt;2",CA252&gt;=100),AND('5-man'!CA$65="ST&gt;2",CA268&gt;=100),AND('5-man'!CA$66="ST&gt;2",CA276&gt;=100),AND('5-man'!CA$67="ST&gt;2",CA284&gt;=100))))),'5-man'!CA$62,0)</f>
        <v/>
      </c>
      <c r="CB267">
        <f>IF(OR('5-man'!CB$64="P",'5-man'!CB$64="R",AND('5-man'!CB$62&lt;=IF('5-man'!$BF$42="",999,'5-man'!$BF$42),OR('5-man'!CB$64="D",LEFT('5-man'!CB$64,3)="ST&gt;",OR(AND('5-man'!CB$63="ST&gt;2",CB252&gt;=100),AND('5-man'!CB$65="ST&gt;2",CB268&gt;=100),AND('5-man'!CB$66="ST&gt;2",CB276&gt;=100),AND('5-man'!CB$67="ST&gt;2",CB284&gt;=100))))),'5-man'!CB$62,0)</f>
        <v/>
      </c>
      <c r="CC267">
        <f>IF(OR('5-man'!CC$64="P",'5-man'!CC$64="R",AND('5-man'!CC$62&lt;=IF('5-man'!$BF$42="",999,'5-man'!$BF$42),OR('5-man'!CC$64="D",LEFT('5-man'!CC$64,3)="ST&gt;",OR(AND('5-man'!CC$63="ST&gt;2",CC252&gt;=100),AND('5-man'!CC$65="ST&gt;2",CC268&gt;=100),AND('5-man'!CC$66="ST&gt;2",CC276&gt;=100),AND('5-man'!CC$67="ST&gt;2",CC284&gt;=100))))),'5-man'!CC$62,0)</f>
        <v/>
      </c>
      <c r="CD267">
        <f>IF(OR('5-man'!CD$64="P",'5-man'!CD$64="R",AND('5-man'!CD$62&lt;=IF('5-man'!$BF$42="",999,'5-man'!$BF$42),OR('5-man'!CD$64="D",LEFT('5-man'!CD$64,3)="ST&gt;",OR(AND('5-man'!CD$63="ST&gt;2",CD252&gt;=100),AND('5-man'!CD$65="ST&gt;2",CD268&gt;=100),AND('5-man'!CD$66="ST&gt;2",CD276&gt;=100),AND('5-man'!CD$67="ST&gt;2",CD284&gt;=100))))),'5-man'!CD$62,0)</f>
        <v/>
      </c>
    </row>
    <row r="268">
      <c r="A268" t="inlineStr">
        <is>
          <t>P3 s1</t>
        </is>
      </c>
      <c r="C268">
        <f>MIN(100,B269+IF(AND(B269&lt;100,B270+1&gt;=IF(OR('5-man'!$F$44=TRUE,'5-man'!$F$44="TRUE",'5-man'!$F$44="Yes"),25,50)),10,0)+IF('5-man'!C$62=$Q$274,25,0))</f>
        <v/>
      </c>
      <c r="D268">
        <f>MIN(100,C269+IF(AND(C269&lt;100,C270+1&gt;=IF(OR('5-man'!$F$44=TRUE,'5-man'!$F$44="TRUE",'5-man'!$F$44="Yes"),25,50)),10,0)+IF('5-man'!D$62=$Q$274,25,0))</f>
        <v/>
      </c>
      <c r="E268">
        <f>MIN(100,D269+IF(AND(D269&lt;100,D270+1&gt;=IF(OR('5-man'!$F$44=TRUE,'5-man'!$F$44="TRUE",'5-man'!$F$44="Yes"),25,50)),10,0)+IF('5-man'!E$62=$Q$274,25,0))</f>
        <v/>
      </c>
      <c r="F268">
        <f>MIN(100,E269+IF(AND(E269&lt;100,E270+1&gt;=IF(OR('5-man'!$F$44=TRUE,'5-man'!$F$44="TRUE",'5-man'!$F$44="Yes"),25,50)),10,0)+IF('5-man'!F$62=$Q$274,25,0))</f>
        <v/>
      </c>
      <c r="G268">
        <f>MIN(100,F269+IF(AND(F269&lt;100,F270+1&gt;=IF(OR('5-man'!$F$44=TRUE,'5-man'!$F$44="TRUE",'5-man'!$F$44="Yes"),25,50)),10,0)+IF('5-man'!G$62=$Q$274,25,0))</f>
        <v/>
      </c>
      <c r="H268">
        <f>MIN(100,G269+IF(AND(G269&lt;100,G270+1&gt;=IF(OR('5-man'!$F$44=TRUE,'5-man'!$F$44="TRUE",'5-man'!$F$44="Yes"),25,50)),10,0)+IF('5-man'!H$62=$Q$274,25,0))</f>
        <v/>
      </c>
      <c r="I268">
        <f>MIN(100,H269+IF(AND(H269&lt;100,H270+1&gt;=IF(OR('5-man'!$F$44=TRUE,'5-man'!$F$44="TRUE",'5-man'!$F$44="Yes"),25,50)),10,0)+IF('5-man'!I$62=$Q$274,25,0))</f>
        <v/>
      </c>
      <c r="J268">
        <f>MIN(100,I269+IF(AND(I269&lt;100,I270+1&gt;=IF(OR('5-man'!$F$44=TRUE,'5-man'!$F$44="TRUE",'5-man'!$F$44="Yes"),25,50)),10,0)+IF('5-man'!J$62=$Q$274,25,0))</f>
        <v/>
      </c>
      <c r="K268">
        <f>MIN(100,J269+IF(AND(J269&lt;100,J270+1&gt;=IF(OR('5-man'!$F$44=TRUE,'5-man'!$F$44="TRUE",'5-man'!$F$44="Yes"),25,50)),10,0)+IF('5-man'!K$62=$Q$274,25,0))</f>
        <v/>
      </c>
      <c r="L268">
        <f>MIN(100,K269+IF(AND(K269&lt;100,K270+1&gt;=IF(OR('5-man'!$F$44=TRUE,'5-man'!$F$44="TRUE",'5-man'!$F$44="Yes"),25,50)),10,0)+IF('5-man'!L$62=$Q$274,25,0))</f>
        <v/>
      </c>
      <c r="M268">
        <f>MIN(100,L269+IF(AND(L269&lt;100,L270+1&gt;=IF(OR('5-man'!$F$44=TRUE,'5-man'!$F$44="TRUE",'5-man'!$F$44="Yes"),25,50)),10,0)+IF('5-man'!M$62=$Q$274,25,0))</f>
        <v/>
      </c>
      <c r="N268">
        <f>MIN(100,M269+IF(AND(M269&lt;100,M270+1&gt;=IF(OR('5-man'!$F$44=TRUE,'5-man'!$F$44="TRUE",'5-man'!$F$44="Yes"),25,50)),10,0)+IF('5-man'!N$62=$Q$274,25,0))</f>
        <v/>
      </c>
      <c r="O268">
        <f>MIN(100,N269+IF(AND(N269&lt;100,N270+1&gt;=IF(OR('5-man'!$F$44=TRUE,'5-man'!$F$44="TRUE",'5-man'!$F$44="Yes"),25,50)),10,0)+IF('5-man'!O$62=$Q$274,25,0))</f>
        <v/>
      </c>
      <c r="P268">
        <f>MIN(100,O269+IF(AND(O269&lt;100,O270+1&gt;=IF(OR('5-man'!$F$44=TRUE,'5-man'!$F$44="TRUE",'5-man'!$F$44="Yes"),25,50)),10,0)+IF('5-man'!P$62=$Q$274,25,0))</f>
        <v/>
      </c>
      <c r="Q268">
        <f>MIN(100,P269+IF(AND(P269&lt;100,P270+1&gt;=IF(OR('5-man'!$F$44=TRUE,'5-man'!$F$44="TRUE",'5-man'!$F$44="Yes"),25,50)),10,0)+IF('5-man'!Q$62=$Q$274,25,0))</f>
        <v/>
      </c>
      <c r="R268">
        <f>MIN(100,Q269+IF(AND(Q269&lt;100,Q270+1&gt;=IF(OR('5-man'!$F$44=TRUE,'5-man'!$F$44="TRUE",'5-man'!$F$44="Yes"),25,50)),10,0)+IF('5-man'!R$62=$Q$274,25,0))</f>
        <v/>
      </c>
      <c r="S268">
        <f>MIN(100,R269+IF(AND(R269&lt;100,R270+1&gt;=IF(OR('5-man'!$F$44=TRUE,'5-man'!$F$44="TRUE",'5-man'!$F$44="Yes"),25,50)),10,0)+IF('5-man'!S$62=$Q$274,25,0))</f>
        <v/>
      </c>
      <c r="T268">
        <f>MIN(100,S269+IF(AND(S269&lt;100,S270+1&gt;=IF(OR('5-man'!$F$44=TRUE,'5-man'!$F$44="TRUE",'5-man'!$F$44="Yes"),25,50)),10,0)+IF('5-man'!T$62=$Q$274,25,0))</f>
        <v/>
      </c>
      <c r="U268">
        <f>MIN(100,T269+IF(AND(T269&lt;100,T270+1&gt;=IF(OR('5-man'!$F$44=TRUE,'5-man'!$F$44="TRUE",'5-man'!$F$44="Yes"),25,50)),10,0)+IF('5-man'!U$62=$Q$274,25,0))</f>
        <v/>
      </c>
      <c r="V268">
        <f>MIN(100,U269+IF(AND(U269&lt;100,U270+1&gt;=IF(OR('5-man'!$F$44=TRUE,'5-man'!$F$44="TRUE",'5-man'!$F$44="Yes"),25,50)),10,0)+IF('5-man'!V$62=$Q$274,25,0))</f>
        <v/>
      </c>
      <c r="W268">
        <f>MIN(100,V269+IF(AND(V269&lt;100,V270+1&gt;=IF(OR('5-man'!$F$44=TRUE,'5-man'!$F$44="TRUE",'5-man'!$F$44="Yes"),25,50)),10,0)+IF('5-man'!W$62=$Q$274,25,0))</f>
        <v/>
      </c>
      <c r="X268">
        <f>MIN(100,W269+IF(AND(W269&lt;100,W270+1&gt;=IF(OR('5-man'!$F$44=TRUE,'5-man'!$F$44="TRUE",'5-man'!$F$44="Yes"),25,50)),10,0)+IF('5-man'!X$62=$Q$274,25,0))</f>
        <v/>
      </c>
      <c r="Y268">
        <f>MIN(100,X269+IF(AND(X269&lt;100,X270+1&gt;=IF(OR('5-man'!$F$44=TRUE,'5-man'!$F$44="TRUE",'5-man'!$F$44="Yes"),25,50)),10,0)+IF('5-man'!Y$62=$Q$274,25,0))</f>
        <v/>
      </c>
      <c r="Z268">
        <f>MIN(100,Y269+IF(AND(Y269&lt;100,Y270+1&gt;=IF(OR('5-man'!$F$44=TRUE,'5-man'!$F$44="TRUE",'5-man'!$F$44="Yes"),25,50)),10,0)+IF('5-man'!Z$62=$Q$274,25,0))</f>
        <v/>
      </c>
      <c r="AA268">
        <f>MIN(100,Z269+IF(AND(Z269&lt;100,Z270+1&gt;=IF(OR('5-man'!$F$44=TRUE,'5-man'!$F$44="TRUE",'5-man'!$F$44="Yes"),25,50)),10,0)+IF('5-man'!AA$62=$Q$274,25,0))</f>
        <v/>
      </c>
      <c r="AB268">
        <f>MIN(100,AA269+IF(AND(AA269&lt;100,AA270+1&gt;=IF(OR('5-man'!$F$44=TRUE,'5-man'!$F$44="TRUE",'5-man'!$F$44="Yes"),25,50)),10,0)+IF('5-man'!AB$62=$Q$274,25,0))</f>
        <v/>
      </c>
      <c r="AC268">
        <f>MIN(100,AB269+IF(AND(AB269&lt;100,AB270+1&gt;=IF(OR('5-man'!$F$44=TRUE,'5-man'!$F$44="TRUE",'5-man'!$F$44="Yes"),25,50)),10,0)+IF('5-man'!AC$62=$Q$274,25,0))</f>
        <v/>
      </c>
      <c r="AD268">
        <f>MIN(100,AC269+IF(AND(AC269&lt;100,AC270+1&gt;=IF(OR('5-man'!$F$44=TRUE,'5-man'!$F$44="TRUE",'5-man'!$F$44="Yes"),25,50)),10,0)+IF('5-man'!AD$62=$Q$274,25,0))</f>
        <v/>
      </c>
      <c r="AE268">
        <f>MIN(100,AD269+IF(AND(AD269&lt;100,AD270+1&gt;=IF(OR('5-man'!$F$44=TRUE,'5-man'!$F$44="TRUE",'5-man'!$F$44="Yes"),25,50)),10,0)+IF('5-man'!AE$62=$Q$274,25,0))</f>
        <v/>
      </c>
      <c r="AF268">
        <f>MIN(100,AE269+IF(AND(AE269&lt;100,AE270+1&gt;=IF(OR('5-man'!$F$44=TRUE,'5-man'!$F$44="TRUE",'5-man'!$F$44="Yes"),25,50)),10,0)+IF('5-man'!AF$62=$Q$274,25,0))</f>
        <v/>
      </c>
      <c r="AG268">
        <f>MIN(100,AF269+IF(AND(AF269&lt;100,AF270+1&gt;=IF(OR('5-man'!$F$44=TRUE,'5-man'!$F$44="TRUE",'5-man'!$F$44="Yes"),25,50)),10,0)+IF('5-man'!AG$62=$Q$274,25,0))</f>
        <v/>
      </c>
      <c r="AH268">
        <f>MIN(100,AG269+IF(AND(AG269&lt;100,AG270+1&gt;=IF(OR('5-man'!$F$44=TRUE,'5-man'!$F$44="TRUE",'5-man'!$F$44="Yes"),25,50)),10,0)+IF('5-man'!AH$62=$Q$274,25,0))</f>
        <v/>
      </c>
      <c r="AI268">
        <f>MIN(100,AH269+IF(AND(AH269&lt;100,AH270+1&gt;=IF(OR('5-man'!$F$44=TRUE,'5-man'!$F$44="TRUE",'5-man'!$F$44="Yes"),25,50)),10,0)+IF('5-man'!AI$62=$Q$274,25,0))</f>
        <v/>
      </c>
      <c r="AJ268">
        <f>MIN(100,AI269+IF(AND(AI269&lt;100,AI270+1&gt;=IF(OR('5-man'!$F$44=TRUE,'5-man'!$F$44="TRUE",'5-man'!$F$44="Yes"),25,50)),10,0)+IF('5-man'!AJ$62=$Q$274,25,0))</f>
        <v/>
      </c>
      <c r="AK268">
        <f>MIN(100,AJ269+IF(AND(AJ269&lt;100,AJ270+1&gt;=IF(OR('5-man'!$F$44=TRUE,'5-man'!$F$44="TRUE",'5-man'!$F$44="Yes"),25,50)),10,0)+IF('5-man'!AK$62=$Q$274,25,0))</f>
        <v/>
      </c>
      <c r="AL268">
        <f>MIN(100,AK269+IF(AND(AK269&lt;100,AK270+1&gt;=IF(OR('5-man'!$F$44=TRUE,'5-man'!$F$44="TRUE",'5-man'!$F$44="Yes"),25,50)),10,0)+IF('5-man'!AL$62=$Q$274,25,0))</f>
        <v/>
      </c>
      <c r="AM268">
        <f>MIN(100,AL269+IF(AND(AL269&lt;100,AL270+1&gt;=IF(OR('5-man'!$F$44=TRUE,'5-man'!$F$44="TRUE",'5-man'!$F$44="Yes"),25,50)),10,0)+IF('5-man'!AM$62=$Q$274,25,0))</f>
        <v/>
      </c>
      <c r="AN268">
        <f>MIN(100,AM269+IF(AND(AM269&lt;100,AM270+1&gt;=IF(OR('5-man'!$F$44=TRUE,'5-man'!$F$44="TRUE",'5-man'!$F$44="Yes"),25,50)),10,0)+IF('5-man'!AN$62=$Q$274,25,0))</f>
        <v/>
      </c>
      <c r="AO268">
        <f>MIN(100,AN269+IF(AND(AN269&lt;100,AN270+1&gt;=IF(OR('5-man'!$F$44=TRUE,'5-man'!$F$44="TRUE",'5-man'!$F$44="Yes"),25,50)),10,0)+IF('5-man'!AO$62=$Q$274,25,0))</f>
        <v/>
      </c>
      <c r="AP268">
        <f>MIN(100,AO269+IF(AND(AO269&lt;100,AO270+1&gt;=IF(OR('5-man'!$F$44=TRUE,'5-man'!$F$44="TRUE",'5-man'!$F$44="Yes"),25,50)),10,0)+IF('5-man'!AP$62=$Q$274,25,0))</f>
        <v/>
      </c>
      <c r="AQ268">
        <f>MIN(100,AP269+IF(AND(AP269&lt;100,AP270+1&gt;=IF(OR('5-man'!$F$44=TRUE,'5-man'!$F$44="TRUE",'5-man'!$F$44="Yes"),25,50)),10,0)+IF('5-man'!AQ$62=$Q$274,25,0))</f>
        <v/>
      </c>
      <c r="AR268">
        <f>MIN(100,AQ269+IF(AND(AQ269&lt;100,AQ270+1&gt;=IF(OR('5-man'!$F$44=TRUE,'5-man'!$F$44="TRUE",'5-man'!$F$44="Yes"),25,50)),10,0)+IF('5-man'!AR$62=$Q$274,25,0))</f>
        <v/>
      </c>
      <c r="AS268">
        <f>MIN(100,AR269+IF(AND(AR269&lt;100,AR270+1&gt;=IF(OR('5-man'!$F$44=TRUE,'5-man'!$F$44="TRUE",'5-man'!$F$44="Yes"),25,50)),10,0)+IF('5-man'!AS$62=$Q$274,25,0))</f>
        <v/>
      </c>
      <c r="AT268">
        <f>MIN(100,AS269+IF(AND(AS269&lt;100,AS270+1&gt;=IF(OR('5-man'!$F$44=TRUE,'5-man'!$F$44="TRUE",'5-man'!$F$44="Yes"),25,50)),10,0)+IF('5-man'!AT$62=$Q$274,25,0))</f>
        <v/>
      </c>
      <c r="AU268">
        <f>MIN(100,AT269+IF(AND(AT269&lt;100,AT270+1&gt;=IF(OR('5-man'!$F$44=TRUE,'5-man'!$F$44="TRUE",'5-man'!$F$44="Yes"),25,50)),10,0)+IF('5-man'!AU$62=$Q$274,25,0))</f>
        <v/>
      </c>
      <c r="AV268">
        <f>MIN(100,AU269+IF(AND(AU269&lt;100,AU270+1&gt;=IF(OR('5-man'!$F$44=TRUE,'5-man'!$F$44="TRUE",'5-man'!$F$44="Yes"),25,50)),10,0)+IF('5-man'!AV$62=$Q$274,25,0))</f>
        <v/>
      </c>
      <c r="AW268">
        <f>MIN(100,AV269+IF(AND(AV269&lt;100,AV270+1&gt;=IF(OR('5-man'!$F$44=TRUE,'5-man'!$F$44="TRUE",'5-man'!$F$44="Yes"),25,50)),10,0)+IF('5-man'!AW$62=$Q$274,25,0))</f>
        <v/>
      </c>
      <c r="AX268">
        <f>MIN(100,AW269+IF(AND(AW269&lt;100,AW270+1&gt;=IF(OR('5-man'!$F$44=TRUE,'5-man'!$F$44="TRUE",'5-man'!$F$44="Yes"),25,50)),10,0)+IF('5-man'!AX$62=$Q$274,25,0))</f>
        <v/>
      </c>
      <c r="AY268">
        <f>MIN(100,AX269+IF(AND(AX269&lt;100,AX270+1&gt;=IF(OR('5-man'!$F$44=TRUE,'5-man'!$F$44="TRUE",'5-man'!$F$44="Yes"),25,50)),10,0)+IF('5-man'!AY$62=$Q$274,25,0))</f>
        <v/>
      </c>
      <c r="AZ268">
        <f>MIN(100,AY269+IF(AND(AY269&lt;100,AY270+1&gt;=IF(OR('5-man'!$F$44=TRUE,'5-man'!$F$44="TRUE",'5-man'!$F$44="Yes"),25,50)),10,0)+IF('5-man'!AZ$62=$Q$274,25,0))</f>
        <v/>
      </c>
      <c r="BA268">
        <f>MIN(100,AZ269+IF(AND(AZ269&lt;100,AZ270+1&gt;=IF(OR('5-man'!$F$44=TRUE,'5-man'!$F$44="TRUE",'5-man'!$F$44="Yes"),25,50)),10,0)+IF('5-man'!BA$62=$Q$274,25,0))</f>
        <v/>
      </c>
      <c r="BB268">
        <f>MIN(100,BA269+IF(AND(BA269&lt;100,BA270+1&gt;=IF(OR('5-man'!$F$44=TRUE,'5-man'!$F$44="TRUE",'5-man'!$F$44="Yes"),25,50)),10,0)+IF('5-man'!BB$62=$Q$274,25,0))</f>
        <v/>
      </c>
      <c r="BC268">
        <f>MIN(100,BB269+IF(AND(BB269&lt;100,BB270+1&gt;=IF(OR('5-man'!$F$44=TRUE,'5-man'!$F$44="TRUE",'5-man'!$F$44="Yes"),25,50)),10,0)+IF('5-man'!BC$62=$Q$274,25,0))</f>
        <v/>
      </c>
      <c r="BD268">
        <f>MIN(100,BC269+IF(AND(BC269&lt;100,BC270+1&gt;=IF(OR('5-man'!$F$44=TRUE,'5-man'!$F$44="TRUE",'5-man'!$F$44="Yes"),25,50)),10,0)+IF('5-man'!BD$62=$Q$274,25,0))</f>
        <v/>
      </c>
      <c r="BE268">
        <f>MIN(100,BD269+IF(AND(BD269&lt;100,BD270+1&gt;=IF(OR('5-man'!$F$44=TRUE,'5-man'!$F$44="TRUE",'5-man'!$F$44="Yes"),25,50)),10,0)+IF('5-man'!BE$62=$Q$274,25,0))</f>
        <v/>
      </c>
      <c r="BF268">
        <f>MIN(100,BE269+IF(AND(BE269&lt;100,BE270+1&gt;=IF(OR('5-man'!$F$44=TRUE,'5-man'!$F$44="TRUE",'5-man'!$F$44="Yes"),25,50)),10,0)+IF('5-man'!BF$62=$Q$274,25,0))</f>
        <v/>
      </c>
      <c r="BG268">
        <f>MIN(100,BF269+IF(AND(BF269&lt;100,BF270+1&gt;=IF(OR('5-man'!$F$44=TRUE,'5-man'!$F$44="TRUE",'5-man'!$F$44="Yes"),25,50)),10,0)+IF('5-man'!BG$62=$Q$274,25,0))</f>
        <v/>
      </c>
      <c r="BH268">
        <f>MIN(100,BG269+IF(AND(BG269&lt;100,BG270+1&gt;=IF(OR('5-man'!$F$44=TRUE,'5-man'!$F$44="TRUE",'5-man'!$F$44="Yes"),25,50)),10,0)+IF('5-man'!BH$62=$Q$274,25,0))</f>
        <v/>
      </c>
      <c r="BI268">
        <f>MIN(100,BH269+IF(AND(BH269&lt;100,BH270+1&gt;=IF(OR('5-man'!$F$44=TRUE,'5-man'!$F$44="TRUE",'5-man'!$F$44="Yes"),25,50)),10,0)+IF('5-man'!BI$62=$Q$274,25,0))</f>
        <v/>
      </c>
      <c r="BJ268">
        <f>MIN(100,BI269+IF(AND(BI269&lt;100,BI270+1&gt;=IF(OR('5-man'!$F$44=TRUE,'5-man'!$F$44="TRUE",'5-man'!$F$44="Yes"),25,50)),10,0)+IF('5-man'!BJ$62=$Q$274,25,0))</f>
        <v/>
      </c>
      <c r="BK268">
        <f>MIN(100,BJ269+IF(AND(BJ269&lt;100,BJ270+1&gt;=IF(OR('5-man'!$F$44=TRUE,'5-man'!$F$44="TRUE",'5-man'!$F$44="Yes"),25,50)),10,0)+IF('5-man'!BK$62=$Q$274,25,0))</f>
        <v/>
      </c>
      <c r="BL268">
        <f>MIN(100,BK269+IF(AND(BK269&lt;100,BK270+1&gt;=IF(OR('5-man'!$F$44=TRUE,'5-man'!$F$44="TRUE",'5-man'!$F$44="Yes"),25,50)),10,0)+IF('5-man'!BL$62=$Q$274,25,0))</f>
        <v/>
      </c>
      <c r="BM268">
        <f>MIN(100,BL269+IF(AND(BL269&lt;100,BL270+1&gt;=IF(OR('5-man'!$F$44=TRUE,'5-man'!$F$44="TRUE",'5-man'!$F$44="Yes"),25,50)),10,0)+IF('5-man'!BM$62=$Q$274,25,0))</f>
        <v/>
      </c>
      <c r="BN268">
        <f>MIN(100,BM269+IF(AND(BM269&lt;100,BM270+1&gt;=IF(OR('5-man'!$F$44=TRUE,'5-man'!$F$44="TRUE",'5-man'!$F$44="Yes"),25,50)),10,0)+IF('5-man'!BN$62=$Q$274,25,0))</f>
        <v/>
      </c>
      <c r="BO268">
        <f>MIN(100,BN269+IF(AND(BN269&lt;100,BN270+1&gt;=IF(OR('5-man'!$F$44=TRUE,'5-man'!$F$44="TRUE",'5-man'!$F$44="Yes"),25,50)),10,0)+IF('5-man'!BO$62=$Q$274,25,0))</f>
        <v/>
      </c>
      <c r="BP268">
        <f>MIN(100,BO269+IF(AND(BO269&lt;100,BO270+1&gt;=IF(OR('5-man'!$F$44=TRUE,'5-man'!$F$44="TRUE",'5-man'!$F$44="Yes"),25,50)),10,0)+IF('5-man'!BP$62=$Q$274,25,0))</f>
        <v/>
      </c>
      <c r="BQ268">
        <f>MIN(100,BP269+IF(AND(BP269&lt;100,BP270+1&gt;=IF(OR('5-man'!$F$44=TRUE,'5-man'!$F$44="TRUE",'5-man'!$F$44="Yes"),25,50)),10,0)+IF('5-man'!BQ$62=$Q$274,25,0))</f>
        <v/>
      </c>
      <c r="BR268">
        <f>MIN(100,BQ269+IF(AND(BQ269&lt;100,BQ270+1&gt;=IF(OR('5-man'!$F$44=TRUE,'5-man'!$F$44="TRUE",'5-man'!$F$44="Yes"),25,50)),10,0)+IF('5-man'!BR$62=$Q$274,25,0))</f>
        <v/>
      </c>
      <c r="BS268">
        <f>MIN(100,BR269+IF(AND(BR269&lt;100,BR270+1&gt;=IF(OR('5-man'!$F$44=TRUE,'5-man'!$F$44="TRUE",'5-man'!$F$44="Yes"),25,50)),10,0)+IF('5-man'!BS$62=$Q$274,25,0))</f>
        <v/>
      </c>
      <c r="BT268">
        <f>MIN(100,BS269+IF(AND(BS269&lt;100,BS270+1&gt;=IF(OR('5-man'!$F$44=TRUE,'5-man'!$F$44="TRUE",'5-man'!$F$44="Yes"),25,50)),10,0)+IF('5-man'!BT$62=$Q$274,25,0))</f>
        <v/>
      </c>
      <c r="BU268">
        <f>MIN(100,BT269+IF(AND(BT269&lt;100,BT270+1&gt;=IF(OR('5-man'!$F$44=TRUE,'5-man'!$F$44="TRUE",'5-man'!$F$44="Yes"),25,50)),10,0)+IF('5-man'!BU$62=$Q$274,25,0))</f>
        <v/>
      </c>
      <c r="BV268">
        <f>MIN(100,BU269+IF(AND(BU269&lt;100,BU270+1&gt;=IF(OR('5-man'!$F$44=TRUE,'5-man'!$F$44="TRUE",'5-man'!$F$44="Yes"),25,50)),10,0)+IF('5-man'!BV$62=$Q$274,25,0))</f>
        <v/>
      </c>
      <c r="BW268">
        <f>MIN(100,BV269+IF(AND(BV269&lt;100,BV270+1&gt;=IF(OR('5-man'!$F$44=TRUE,'5-man'!$F$44="TRUE",'5-man'!$F$44="Yes"),25,50)),10,0)+IF('5-man'!BW$62=$Q$274,25,0))</f>
        <v/>
      </c>
      <c r="BX268">
        <f>MIN(100,BW269+IF(AND(BW269&lt;100,BW270+1&gt;=IF(OR('5-man'!$F$44=TRUE,'5-man'!$F$44="TRUE",'5-man'!$F$44="Yes"),25,50)),10,0)+IF('5-man'!BX$62=$Q$274,25,0))</f>
        <v/>
      </c>
      <c r="BY268">
        <f>MIN(100,BX269+IF(AND(BX269&lt;100,BX270+1&gt;=IF(OR('5-man'!$F$44=TRUE,'5-man'!$F$44="TRUE",'5-man'!$F$44="Yes"),25,50)),10,0)+IF('5-man'!BY$62=$Q$274,25,0))</f>
        <v/>
      </c>
      <c r="BZ268">
        <f>MIN(100,BY269+IF(AND(BY269&lt;100,BY270+1&gt;=IF(OR('5-man'!$F$44=TRUE,'5-man'!$F$44="TRUE",'5-man'!$F$44="Yes"),25,50)),10,0)+IF('5-man'!BZ$62=$Q$274,25,0))</f>
        <v/>
      </c>
      <c r="CA268">
        <f>MIN(100,BZ269+IF(AND(BZ269&lt;100,BZ270+1&gt;=IF(OR('5-man'!$F$44=TRUE,'5-man'!$F$44="TRUE",'5-man'!$F$44="Yes"),25,50)),10,0)+IF('5-man'!CA$62=$Q$274,25,0))</f>
        <v/>
      </c>
      <c r="CB268">
        <f>MIN(100,CA269+IF(AND(CA269&lt;100,CA270+1&gt;=IF(OR('5-man'!$F$44=TRUE,'5-man'!$F$44="TRUE",'5-man'!$F$44="Yes"),25,50)),10,0)+IF('5-man'!CB$62=$Q$274,25,0))</f>
        <v/>
      </c>
      <c r="CC268">
        <f>MIN(100,CB269+IF(AND(CB269&lt;100,CB270+1&gt;=IF(OR('5-man'!$F$44=TRUE,'5-man'!$F$44="TRUE",'5-man'!$F$44="Yes"),25,50)),10,0)+IF('5-man'!CC$62=$Q$274,25,0))</f>
        <v/>
      </c>
      <c r="CD268">
        <f>MIN(100,CC269+IF(AND(CC269&lt;100,CC270+1&gt;=IF(OR('5-man'!$F$44=TRUE,'5-man'!$F$44="TRUE",'5-man'!$F$44="Yes"),25,50)),10,0)+IF('5-man'!CD$62=$Q$274,25,0))</f>
        <v/>
      </c>
    </row>
    <row r="269">
      <c r="A269" t="inlineStr">
        <is>
          <t>P3 spec</t>
        </is>
      </c>
      <c r="B269">
        <f>IF('5-man'!$C$44="",100,'5-man'!$C$44)</f>
        <v/>
      </c>
      <c r="C269">
        <f>IF('5-man'!C$65="R",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5-man'!D$65="R",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5-man'!E$65="R",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5-man'!F$65="R",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5-man'!G$65="R",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5-man'!H$65="R",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5-man'!I$65="R",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5-man'!J$65="R",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5-man'!K$65="R",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5-man'!L$65="R",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5-man'!M$65="R",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5-man'!N$65="R",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5-man'!O$65="R",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5-man'!P$65="R",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5-man'!Q$65="R",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5-man'!R$65="R",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5-man'!S$65="R",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5-man'!T$65="R",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5-man'!U$65="R",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5-man'!V$65="R",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5-man'!W$65="R",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5-man'!X$65="R",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5-man'!Y$65="R",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5-man'!Z$65="R",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5-man'!AA$65="R",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5-man'!AB$65="R",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5-man'!AC$65="R",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5-man'!AD$65="R",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5-man'!AE$65="R",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5-man'!AF$65="R",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5-man'!AG$65="R",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5-man'!AH$65="R",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5-man'!AI$65="R",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5-man'!AJ$65="R",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5-man'!AK$65="R",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5-man'!AL$65="R",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5-man'!AM$65="R",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5-man'!AN$65="R",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5-man'!AO$65="R",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5-man'!AP$65="R",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5-man'!AQ$65="R",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5-man'!AR$65="R",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5-man'!AS$65="R",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5-man'!AT$65="R",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5-man'!AU$65="R",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5-man'!AV$65="R",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5-man'!AW$65="R",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5-man'!AX$65="R",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5-man'!AY$65="R",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5-man'!AZ$65="R",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5-man'!BA$65="R",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5-man'!BB$65="R",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5-man'!BC$65="R",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5-man'!BD$65="R",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5-man'!BE$65="R",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5-man'!BF$65="R",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5-man'!BG$65="R",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5-man'!BH$65="R",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5-man'!BI$65="R",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5-man'!BJ$65="R",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5-man'!BK$65="R",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5-man'!BL$65="R",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5-man'!BM$65="R",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5-man'!BN$65="R",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5-man'!BO$65="R",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5-man'!BP$65="R",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5-man'!BQ$65="R",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5-man'!BR$65="R",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5-man'!BS$65="R",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5-man'!BT$65="R",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5-man'!BU$65="R",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5-man'!BV$65="R",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5-man'!BW$65="R",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5-man'!BX$65="R",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5-man'!BY$65="R",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5-man'!BZ$65="R",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5-man'!CA$65="R",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5-man'!CB$65="R",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5-man'!CC$65="R",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5-man'!CD$65="R",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IF('5-man'!C$65="R",0,IF(B269&gt;=100,0,IF(B270+1&gt;=IF(OR('5-man'!$F$44=TRUE,'5-man'!$F$44="TRUE",'5-man'!$F$44="Yes"),25,50),0,B270+1)))</f>
        <v/>
      </c>
      <c r="D270">
        <f>IF('5-man'!D$65="R",0,IF(C269&gt;=100,0,IF(C270+1&gt;=IF(OR('5-man'!$F$44=TRUE,'5-man'!$F$44="TRUE",'5-man'!$F$44="Yes"),25,50),0,C270+1)))</f>
        <v/>
      </c>
      <c r="E270">
        <f>IF('5-man'!E$65="R",0,IF(D269&gt;=100,0,IF(D270+1&gt;=IF(OR('5-man'!$F$44=TRUE,'5-man'!$F$44="TRUE",'5-man'!$F$44="Yes"),25,50),0,D270+1)))</f>
        <v/>
      </c>
      <c r="F270">
        <f>IF('5-man'!F$65="R",0,IF(E269&gt;=100,0,IF(E270+1&gt;=IF(OR('5-man'!$F$44=TRUE,'5-man'!$F$44="TRUE",'5-man'!$F$44="Yes"),25,50),0,E270+1)))</f>
        <v/>
      </c>
      <c r="G270">
        <f>IF('5-man'!G$65="R",0,IF(F269&gt;=100,0,IF(F270+1&gt;=IF(OR('5-man'!$F$44=TRUE,'5-man'!$F$44="TRUE",'5-man'!$F$44="Yes"),25,50),0,F270+1)))</f>
        <v/>
      </c>
      <c r="H270">
        <f>IF('5-man'!H$65="R",0,IF(G269&gt;=100,0,IF(G270+1&gt;=IF(OR('5-man'!$F$44=TRUE,'5-man'!$F$44="TRUE",'5-man'!$F$44="Yes"),25,50),0,G270+1)))</f>
        <v/>
      </c>
      <c r="I270">
        <f>IF('5-man'!I$65="R",0,IF(H269&gt;=100,0,IF(H270+1&gt;=IF(OR('5-man'!$F$44=TRUE,'5-man'!$F$44="TRUE",'5-man'!$F$44="Yes"),25,50),0,H270+1)))</f>
        <v/>
      </c>
      <c r="J270">
        <f>IF('5-man'!J$65="R",0,IF(I269&gt;=100,0,IF(I270+1&gt;=IF(OR('5-man'!$F$44=TRUE,'5-man'!$F$44="TRUE",'5-man'!$F$44="Yes"),25,50),0,I270+1)))</f>
        <v/>
      </c>
      <c r="K270">
        <f>IF('5-man'!K$65="R",0,IF(J269&gt;=100,0,IF(J270+1&gt;=IF(OR('5-man'!$F$44=TRUE,'5-man'!$F$44="TRUE",'5-man'!$F$44="Yes"),25,50),0,J270+1)))</f>
        <v/>
      </c>
      <c r="L270">
        <f>IF('5-man'!L$65="R",0,IF(K269&gt;=100,0,IF(K270+1&gt;=IF(OR('5-man'!$F$44=TRUE,'5-man'!$F$44="TRUE",'5-man'!$F$44="Yes"),25,50),0,K270+1)))</f>
        <v/>
      </c>
      <c r="M270">
        <f>IF('5-man'!M$65="R",0,IF(L269&gt;=100,0,IF(L270+1&gt;=IF(OR('5-man'!$F$44=TRUE,'5-man'!$F$44="TRUE",'5-man'!$F$44="Yes"),25,50),0,L270+1)))</f>
        <v/>
      </c>
      <c r="N270">
        <f>IF('5-man'!N$65="R",0,IF(M269&gt;=100,0,IF(M270+1&gt;=IF(OR('5-man'!$F$44=TRUE,'5-man'!$F$44="TRUE",'5-man'!$F$44="Yes"),25,50),0,M270+1)))</f>
        <v/>
      </c>
      <c r="O270">
        <f>IF('5-man'!O$65="R",0,IF(N269&gt;=100,0,IF(N270+1&gt;=IF(OR('5-man'!$F$44=TRUE,'5-man'!$F$44="TRUE",'5-man'!$F$44="Yes"),25,50),0,N270+1)))</f>
        <v/>
      </c>
      <c r="P270">
        <f>IF('5-man'!P$65="R",0,IF(O269&gt;=100,0,IF(O270+1&gt;=IF(OR('5-man'!$F$44=TRUE,'5-man'!$F$44="TRUE",'5-man'!$F$44="Yes"),25,50),0,O270+1)))</f>
        <v/>
      </c>
      <c r="Q270">
        <f>IF('5-man'!Q$65="R",0,IF(P269&gt;=100,0,IF(P270+1&gt;=IF(OR('5-man'!$F$44=TRUE,'5-man'!$F$44="TRUE",'5-man'!$F$44="Yes"),25,50),0,P270+1)))</f>
        <v/>
      </c>
      <c r="R270">
        <f>IF('5-man'!R$65="R",0,IF(Q269&gt;=100,0,IF(Q270+1&gt;=IF(OR('5-man'!$F$44=TRUE,'5-man'!$F$44="TRUE",'5-man'!$F$44="Yes"),25,50),0,Q270+1)))</f>
        <v/>
      </c>
      <c r="S270">
        <f>IF('5-man'!S$65="R",0,IF(R269&gt;=100,0,IF(R270+1&gt;=IF(OR('5-man'!$F$44=TRUE,'5-man'!$F$44="TRUE",'5-man'!$F$44="Yes"),25,50),0,R270+1)))</f>
        <v/>
      </c>
      <c r="T270">
        <f>IF('5-man'!T$65="R",0,IF(S269&gt;=100,0,IF(S270+1&gt;=IF(OR('5-man'!$F$44=TRUE,'5-man'!$F$44="TRUE",'5-man'!$F$44="Yes"),25,50),0,S270+1)))</f>
        <v/>
      </c>
      <c r="U270">
        <f>IF('5-man'!U$65="R",0,IF(T269&gt;=100,0,IF(T270+1&gt;=IF(OR('5-man'!$F$44=TRUE,'5-man'!$F$44="TRUE",'5-man'!$F$44="Yes"),25,50),0,T270+1)))</f>
        <v/>
      </c>
      <c r="V270">
        <f>IF('5-man'!V$65="R",0,IF(U269&gt;=100,0,IF(U270+1&gt;=IF(OR('5-man'!$F$44=TRUE,'5-man'!$F$44="TRUE",'5-man'!$F$44="Yes"),25,50),0,U270+1)))</f>
        <v/>
      </c>
      <c r="W270">
        <f>IF('5-man'!W$65="R",0,IF(V269&gt;=100,0,IF(V270+1&gt;=IF(OR('5-man'!$F$44=TRUE,'5-man'!$F$44="TRUE",'5-man'!$F$44="Yes"),25,50),0,V270+1)))</f>
        <v/>
      </c>
      <c r="X270">
        <f>IF('5-man'!X$65="R",0,IF(W269&gt;=100,0,IF(W270+1&gt;=IF(OR('5-man'!$F$44=TRUE,'5-man'!$F$44="TRUE",'5-man'!$F$44="Yes"),25,50),0,W270+1)))</f>
        <v/>
      </c>
      <c r="Y270">
        <f>IF('5-man'!Y$65="R",0,IF(X269&gt;=100,0,IF(X270+1&gt;=IF(OR('5-man'!$F$44=TRUE,'5-man'!$F$44="TRUE",'5-man'!$F$44="Yes"),25,50),0,X270+1)))</f>
        <v/>
      </c>
      <c r="Z270">
        <f>IF('5-man'!Z$65="R",0,IF(Y269&gt;=100,0,IF(Y270+1&gt;=IF(OR('5-man'!$F$44=TRUE,'5-man'!$F$44="TRUE",'5-man'!$F$44="Yes"),25,50),0,Y270+1)))</f>
        <v/>
      </c>
      <c r="AA270">
        <f>IF('5-man'!AA$65="R",0,IF(Z269&gt;=100,0,IF(Z270+1&gt;=IF(OR('5-man'!$F$44=TRUE,'5-man'!$F$44="TRUE",'5-man'!$F$44="Yes"),25,50),0,Z270+1)))</f>
        <v/>
      </c>
      <c r="AB270">
        <f>IF('5-man'!AB$65="R",0,IF(AA269&gt;=100,0,IF(AA270+1&gt;=IF(OR('5-man'!$F$44=TRUE,'5-man'!$F$44="TRUE",'5-man'!$F$44="Yes"),25,50),0,AA270+1)))</f>
        <v/>
      </c>
      <c r="AC270">
        <f>IF('5-man'!AC$65="R",0,IF(AB269&gt;=100,0,IF(AB270+1&gt;=IF(OR('5-man'!$F$44=TRUE,'5-man'!$F$44="TRUE",'5-man'!$F$44="Yes"),25,50),0,AB270+1)))</f>
        <v/>
      </c>
      <c r="AD270">
        <f>IF('5-man'!AD$65="R",0,IF(AC269&gt;=100,0,IF(AC270+1&gt;=IF(OR('5-man'!$F$44=TRUE,'5-man'!$F$44="TRUE",'5-man'!$F$44="Yes"),25,50),0,AC270+1)))</f>
        <v/>
      </c>
      <c r="AE270">
        <f>IF('5-man'!AE$65="R",0,IF(AD269&gt;=100,0,IF(AD270+1&gt;=IF(OR('5-man'!$F$44=TRUE,'5-man'!$F$44="TRUE",'5-man'!$F$44="Yes"),25,50),0,AD270+1)))</f>
        <v/>
      </c>
      <c r="AF270">
        <f>IF('5-man'!AF$65="R",0,IF(AE269&gt;=100,0,IF(AE270+1&gt;=IF(OR('5-man'!$F$44=TRUE,'5-man'!$F$44="TRUE",'5-man'!$F$44="Yes"),25,50),0,AE270+1)))</f>
        <v/>
      </c>
      <c r="AG270">
        <f>IF('5-man'!AG$65="R",0,IF(AF269&gt;=100,0,IF(AF270+1&gt;=IF(OR('5-man'!$F$44=TRUE,'5-man'!$F$44="TRUE",'5-man'!$F$44="Yes"),25,50),0,AF270+1)))</f>
        <v/>
      </c>
      <c r="AH270">
        <f>IF('5-man'!AH$65="R",0,IF(AG269&gt;=100,0,IF(AG270+1&gt;=IF(OR('5-man'!$F$44=TRUE,'5-man'!$F$44="TRUE",'5-man'!$F$44="Yes"),25,50),0,AG270+1)))</f>
        <v/>
      </c>
      <c r="AI270">
        <f>IF('5-man'!AI$65="R",0,IF(AH269&gt;=100,0,IF(AH270+1&gt;=IF(OR('5-man'!$F$44=TRUE,'5-man'!$F$44="TRUE",'5-man'!$F$44="Yes"),25,50),0,AH270+1)))</f>
        <v/>
      </c>
      <c r="AJ270">
        <f>IF('5-man'!AJ$65="R",0,IF(AI269&gt;=100,0,IF(AI270+1&gt;=IF(OR('5-man'!$F$44=TRUE,'5-man'!$F$44="TRUE",'5-man'!$F$44="Yes"),25,50),0,AI270+1)))</f>
        <v/>
      </c>
      <c r="AK270">
        <f>IF('5-man'!AK$65="R",0,IF(AJ269&gt;=100,0,IF(AJ270+1&gt;=IF(OR('5-man'!$F$44=TRUE,'5-man'!$F$44="TRUE",'5-man'!$F$44="Yes"),25,50),0,AJ270+1)))</f>
        <v/>
      </c>
      <c r="AL270">
        <f>IF('5-man'!AL$65="R",0,IF(AK269&gt;=100,0,IF(AK270+1&gt;=IF(OR('5-man'!$F$44=TRUE,'5-man'!$F$44="TRUE",'5-man'!$F$44="Yes"),25,50),0,AK270+1)))</f>
        <v/>
      </c>
      <c r="AM270">
        <f>IF('5-man'!AM$65="R",0,IF(AL269&gt;=100,0,IF(AL270+1&gt;=IF(OR('5-man'!$F$44=TRUE,'5-man'!$F$44="TRUE",'5-man'!$F$44="Yes"),25,50),0,AL270+1)))</f>
        <v/>
      </c>
      <c r="AN270">
        <f>IF('5-man'!AN$65="R",0,IF(AM269&gt;=100,0,IF(AM270+1&gt;=IF(OR('5-man'!$F$44=TRUE,'5-man'!$F$44="TRUE",'5-man'!$F$44="Yes"),25,50),0,AM270+1)))</f>
        <v/>
      </c>
      <c r="AO270">
        <f>IF('5-man'!AO$65="R",0,IF(AN269&gt;=100,0,IF(AN270+1&gt;=IF(OR('5-man'!$F$44=TRUE,'5-man'!$F$44="TRUE",'5-man'!$F$44="Yes"),25,50),0,AN270+1)))</f>
        <v/>
      </c>
      <c r="AP270">
        <f>IF('5-man'!AP$65="R",0,IF(AO269&gt;=100,0,IF(AO270+1&gt;=IF(OR('5-man'!$F$44=TRUE,'5-man'!$F$44="TRUE",'5-man'!$F$44="Yes"),25,50),0,AO270+1)))</f>
        <v/>
      </c>
      <c r="AQ270">
        <f>IF('5-man'!AQ$65="R",0,IF(AP269&gt;=100,0,IF(AP270+1&gt;=IF(OR('5-man'!$F$44=TRUE,'5-man'!$F$44="TRUE",'5-man'!$F$44="Yes"),25,50),0,AP270+1)))</f>
        <v/>
      </c>
      <c r="AR270">
        <f>IF('5-man'!AR$65="R",0,IF(AQ269&gt;=100,0,IF(AQ270+1&gt;=IF(OR('5-man'!$F$44=TRUE,'5-man'!$F$44="TRUE",'5-man'!$F$44="Yes"),25,50),0,AQ270+1)))</f>
        <v/>
      </c>
      <c r="AS270">
        <f>IF('5-man'!AS$65="R",0,IF(AR269&gt;=100,0,IF(AR270+1&gt;=IF(OR('5-man'!$F$44=TRUE,'5-man'!$F$44="TRUE",'5-man'!$F$44="Yes"),25,50),0,AR270+1)))</f>
        <v/>
      </c>
      <c r="AT270">
        <f>IF('5-man'!AT$65="R",0,IF(AS269&gt;=100,0,IF(AS270+1&gt;=IF(OR('5-man'!$F$44=TRUE,'5-man'!$F$44="TRUE",'5-man'!$F$44="Yes"),25,50),0,AS270+1)))</f>
        <v/>
      </c>
      <c r="AU270">
        <f>IF('5-man'!AU$65="R",0,IF(AT269&gt;=100,0,IF(AT270+1&gt;=IF(OR('5-man'!$F$44=TRUE,'5-man'!$F$44="TRUE",'5-man'!$F$44="Yes"),25,50),0,AT270+1)))</f>
        <v/>
      </c>
      <c r="AV270">
        <f>IF('5-man'!AV$65="R",0,IF(AU269&gt;=100,0,IF(AU270+1&gt;=IF(OR('5-man'!$F$44=TRUE,'5-man'!$F$44="TRUE",'5-man'!$F$44="Yes"),25,50),0,AU270+1)))</f>
        <v/>
      </c>
      <c r="AW270">
        <f>IF('5-man'!AW$65="R",0,IF(AV269&gt;=100,0,IF(AV270+1&gt;=IF(OR('5-man'!$F$44=TRUE,'5-man'!$F$44="TRUE",'5-man'!$F$44="Yes"),25,50),0,AV270+1)))</f>
        <v/>
      </c>
      <c r="AX270">
        <f>IF('5-man'!AX$65="R",0,IF(AW269&gt;=100,0,IF(AW270+1&gt;=IF(OR('5-man'!$F$44=TRUE,'5-man'!$F$44="TRUE",'5-man'!$F$44="Yes"),25,50),0,AW270+1)))</f>
        <v/>
      </c>
      <c r="AY270">
        <f>IF('5-man'!AY$65="R",0,IF(AX269&gt;=100,0,IF(AX270+1&gt;=IF(OR('5-man'!$F$44=TRUE,'5-man'!$F$44="TRUE",'5-man'!$F$44="Yes"),25,50),0,AX270+1)))</f>
        <v/>
      </c>
      <c r="AZ270">
        <f>IF('5-man'!AZ$65="R",0,IF(AY269&gt;=100,0,IF(AY270+1&gt;=IF(OR('5-man'!$F$44=TRUE,'5-man'!$F$44="TRUE",'5-man'!$F$44="Yes"),25,50),0,AY270+1)))</f>
        <v/>
      </c>
      <c r="BA270">
        <f>IF('5-man'!BA$65="R",0,IF(AZ269&gt;=100,0,IF(AZ270+1&gt;=IF(OR('5-man'!$F$44=TRUE,'5-man'!$F$44="TRUE",'5-man'!$F$44="Yes"),25,50),0,AZ270+1)))</f>
        <v/>
      </c>
      <c r="BB270">
        <f>IF('5-man'!BB$65="R",0,IF(BA269&gt;=100,0,IF(BA270+1&gt;=IF(OR('5-man'!$F$44=TRUE,'5-man'!$F$44="TRUE",'5-man'!$F$44="Yes"),25,50),0,BA270+1)))</f>
        <v/>
      </c>
      <c r="BC270">
        <f>IF('5-man'!BC$65="R",0,IF(BB269&gt;=100,0,IF(BB270+1&gt;=IF(OR('5-man'!$F$44=TRUE,'5-man'!$F$44="TRUE",'5-man'!$F$44="Yes"),25,50),0,BB270+1)))</f>
        <v/>
      </c>
      <c r="BD270">
        <f>IF('5-man'!BD$65="R",0,IF(BC269&gt;=100,0,IF(BC270+1&gt;=IF(OR('5-man'!$F$44=TRUE,'5-man'!$F$44="TRUE",'5-man'!$F$44="Yes"),25,50),0,BC270+1)))</f>
        <v/>
      </c>
      <c r="BE270">
        <f>IF('5-man'!BE$65="R",0,IF(BD269&gt;=100,0,IF(BD270+1&gt;=IF(OR('5-man'!$F$44=TRUE,'5-man'!$F$44="TRUE",'5-man'!$F$44="Yes"),25,50),0,BD270+1)))</f>
        <v/>
      </c>
      <c r="BF270">
        <f>IF('5-man'!BF$65="R",0,IF(BE269&gt;=100,0,IF(BE270+1&gt;=IF(OR('5-man'!$F$44=TRUE,'5-man'!$F$44="TRUE",'5-man'!$F$44="Yes"),25,50),0,BE270+1)))</f>
        <v/>
      </c>
      <c r="BG270">
        <f>IF('5-man'!BG$65="R",0,IF(BF269&gt;=100,0,IF(BF270+1&gt;=IF(OR('5-man'!$F$44=TRUE,'5-man'!$F$44="TRUE",'5-man'!$F$44="Yes"),25,50),0,BF270+1)))</f>
        <v/>
      </c>
      <c r="BH270">
        <f>IF('5-man'!BH$65="R",0,IF(BG269&gt;=100,0,IF(BG270+1&gt;=IF(OR('5-man'!$F$44=TRUE,'5-man'!$F$44="TRUE",'5-man'!$F$44="Yes"),25,50),0,BG270+1)))</f>
        <v/>
      </c>
      <c r="BI270">
        <f>IF('5-man'!BI$65="R",0,IF(BH269&gt;=100,0,IF(BH270+1&gt;=IF(OR('5-man'!$F$44=TRUE,'5-man'!$F$44="TRUE",'5-man'!$F$44="Yes"),25,50),0,BH270+1)))</f>
        <v/>
      </c>
      <c r="BJ270">
        <f>IF('5-man'!BJ$65="R",0,IF(BI269&gt;=100,0,IF(BI270+1&gt;=IF(OR('5-man'!$F$44=TRUE,'5-man'!$F$44="TRUE",'5-man'!$F$44="Yes"),25,50),0,BI270+1)))</f>
        <v/>
      </c>
      <c r="BK270">
        <f>IF('5-man'!BK$65="R",0,IF(BJ269&gt;=100,0,IF(BJ270+1&gt;=IF(OR('5-man'!$F$44=TRUE,'5-man'!$F$44="TRUE",'5-man'!$F$44="Yes"),25,50),0,BJ270+1)))</f>
        <v/>
      </c>
      <c r="BL270">
        <f>IF('5-man'!BL$65="R",0,IF(BK269&gt;=100,0,IF(BK270+1&gt;=IF(OR('5-man'!$F$44=TRUE,'5-man'!$F$44="TRUE",'5-man'!$F$44="Yes"),25,50),0,BK270+1)))</f>
        <v/>
      </c>
      <c r="BM270">
        <f>IF('5-man'!BM$65="R",0,IF(BL269&gt;=100,0,IF(BL270+1&gt;=IF(OR('5-man'!$F$44=TRUE,'5-man'!$F$44="TRUE",'5-man'!$F$44="Yes"),25,50),0,BL270+1)))</f>
        <v/>
      </c>
      <c r="BN270">
        <f>IF('5-man'!BN$65="R",0,IF(BM269&gt;=100,0,IF(BM270+1&gt;=IF(OR('5-man'!$F$44=TRUE,'5-man'!$F$44="TRUE",'5-man'!$F$44="Yes"),25,50),0,BM270+1)))</f>
        <v/>
      </c>
      <c r="BO270">
        <f>IF('5-man'!BO$65="R",0,IF(BN269&gt;=100,0,IF(BN270+1&gt;=IF(OR('5-man'!$F$44=TRUE,'5-man'!$F$44="TRUE",'5-man'!$F$44="Yes"),25,50),0,BN270+1)))</f>
        <v/>
      </c>
      <c r="BP270">
        <f>IF('5-man'!BP$65="R",0,IF(BO269&gt;=100,0,IF(BO270+1&gt;=IF(OR('5-man'!$F$44=TRUE,'5-man'!$F$44="TRUE",'5-man'!$F$44="Yes"),25,50),0,BO270+1)))</f>
        <v/>
      </c>
      <c r="BQ270">
        <f>IF('5-man'!BQ$65="R",0,IF(BP269&gt;=100,0,IF(BP270+1&gt;=IF(OR('5-man'!$F$44=TRUE,'5-man'!$F$44="TRUE",'5-man'!$F$44="Yes"),25,50),0,BP270+1)))</f>
        <v/>
      </c>
      <c r="BR270">
        <f>IF('5-man'!BR$65="R",0,IF(BQ269&gt;=100,0,IF(BQ270+1&gt;=IF(OR('5-man'!$F$44=TRUE,'5-man'!$F$44="TRUE",'5-man'!$F$44="Yes"),25,50),0,BQ270+1)))</f>
        <v/>
      </c>
      <c r="BS270">
        <f>IF('5-man'!BS$65="R",0,IF(BR269&gt;=100,0,IF(BR270+1&gt;=IF(OR('5-man'!$F$44=TRUE,'5-man'!$F$44="TRUE",'5-man'!$F$44="Yes"),25,50),0,BR270+1)))</f>
        <v/>
      </c>
      <c r="BT270">
        <f>IF('5-man'!BT$65="R",0,IF(BS269&gt;=100,0,IF(BS270+1&gt;=IF(OR('5-man'!$F$44=TRUE,'5-man'!$F$44="TRUE",'5-man'!$F$44="Yes"),25,50),0,BS270+1)))</f>
        <v/>
      </c>
      <c r="BU270">
        <f>IF('5-man'!BU$65="R",0,IF(BT269&gt;=100,0,IF(BT270+1&gt;=IF(OR('5-man'!$F$44=TRUE,'5-man'!$F$44="TRUE",'5-man'!$F$44="Yes"),25,50),0,BT270+1)))</f>
        <v/>
      </c>
      <c r="BV270">
        <f>IF('5-man'!BV$65="R",0,IF(BU269&gt;=100,0,IF(BU270+1&gt;=IF(OR('5-man'!$F$44=TRUE,'5-man'!$F$44="TRUE",'5-man'!$F$44="Yes"),25,50),0,BU270+1)))</f>
        <v/>
      </c>
      <c r="BW270">
        <f>IF('5-man'!BW$65="R",0,IF(BV269&gt;=100,0,IF(BV270+1&gt;=IF(OR('5-man'!$F$44=TRUE,'5-man'!$F$44="TRUE",'5-man'!$F$44="Yes"),25,50),0,BV270+1)))</f>
        <v/>
      </c>
      <c r="BX270">
        <f>IF('5-man'!BX$65="R",0,IF(BW269&gt;=100,0,IF(BW270+1&gt;=IF(OR('5-man'!$F$44=TRUE,'5-man'!$F$44="TRUE",'5-man'!$F$44="Yes"),25,50),0,BW270+1)))</f>
        <v/>
      </c>
      <c r="BY270">
        <f>IF('5-man'!BY$65="R",0,IF(BX269&gt;=100,0,IF(BX270+1&gt;=IF(OR('5-man'!$F$44=TRUE,'5-man'!$F$44="TRUE",'5-man'!$F$44="Yes"),25,50),0,BX270+1)))</f>
        <v/>
      </c>
      <c r="BZ270">
        <f>IF('5-man'!BZ$65="R",0,IF(BY269&gt;=100,0,IF(BY270+1&gt;=IF(OR('5-man'!$F$44=TRUE,'5-man'!$F$44="TRUE",'5-man'!$F$44="Yes"),25,50),0,BY270+1)))</f>
        <v/>
      </c>
      <c r="CA270">
        <f>IF('5-man'!CA$65="R",0,IF(BZ269&gt;=100,0,IF(BZ270+1&gt;=IF(OR('5-man'!$F$44=TRUE,'5-man'!$F$44="TRUE",'5-man'!$F$44="Yes"),25,50),0,BZ270+1)))</f>
        <v/>
      </c>
      <c r="CB270">
        <f>IF('5-man'!CB$65="R",0,IF(CA269&gt;=100,0,IF(CA270+1&gt;=IF(OR('5-man'!$F$44=TRUE,'5-man'!$F$44="TRUE",'5-man'!$F$44="Yes"),25,50),0,CA270+1)))</f>
        <v/>
      </c>
      <c r="CC270">
        <f>IF('5-man'!CC$65="R",0,IF(CB269&gt;=100,0,IF(CB270+1&gt;=IF(OR('5-man'!$F$44=TRUE,'5-man'!$F$44="TRUE",'5-man'!$F$44="Yes"),25,50),0,CB270+1)))</f>
        <v/>
      </c>
      <c r="CD270">
        <f>IF('5-man'!CD$65="R",0,IF(CC269&gt;=100,0,IF(CC270+1&gt;=IF(OR('5-man'!$F$44=TRUE,'5-man'!$F$44="TRUE",'5-man'!$F$44="Yes"),25,50),0,CC270+1)))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row>
    <row r="275">
      <c r="A275" t="inlineStr">
        <is>
          <t>P3 act</t>
        </is>
      </c>
      <c r="C275">
        <f>IF(OR('5-man'!C$65="P",'5-man'!C$65="R",AND('5-man'!C$62&lt;=IF('5-man'!$BF$42="",999,'5-man'!$BF$42),OR('5-man'!C$65="D",LEFT('5-man'!C$65,3)="ST&gt;",OR(AND('5-man'!C$63="ST&gt;3",C252&gt;=100),AND('5-man'!C$64="ST&gt;3",C260&gt;=100),AND('5-man'!C$66="ST&gt;3",C276&gt;=100),AND('5-man'!C$67="ST&gt;3",C284&gt;=100))))),'5-man'!C$62,0)</f>
        <v/>
      </c>
      <c r="D275">
        <f>IF(OR('5-man'!D$65="P",'5-man'!D$65="R",AND('5-man'!D$62&lt;=IF('5-man'!$BF$42="",999,'5-man'!$BF$42),OR('5-man'!D$65="D",LEFT('5-man'!D$65,3)="ST&gt;",OR(AND('5-man'!D$63="ST&gt;3",D252&gt;=100),AND('5-man'!D$64="ST&gt;3",D260&gt;=100),AND('5-man'!D$66="ST&gt;3",D276&gt;=100),AND('5-man'!D$67="ST&gt;3",D284&gt;=100))))),'5-man'!D$62,0)</f>
        <v/>
      </c>
      <c r="E275">
        <f>IF(OR('5-man'!E$65="P",'5-man'!E$65="R",AND('5-man'!E$62&lt;=IF('5-man'!$BF$42="",999,'5-man'!$BF$42),OR('5-man'!E$65="D",LEFT('5-man'!E$65,3)="ST&gt;",OR(AND('5-man'!E$63="ST&gt;3",E252&gt;=100),AND('5-man'!E$64="ST&gt;3",E260&gt;=100),AND('5-man'!E$66="ST&gt;3",E276&gt;=100),AND('5-man'!E$67="ST&gt;3",E284&gt;=100))))),'5-man'!E$62,0)</f>
        <v/>
      </c>
      <c r="F275">
        <f>IF(OR('5-man'!F$65="P",'5-man'!F$65="R",AND('5-man'!F$62&lt;=IF('5-man'!$BF$42="",999,'5-man'!$BF$42),OR('5-man'!F$65="D",LEFT('5-man'!F$65,3)="ST&gt;",OR(AND('5-man'!F$63="ST&gt;3",F252&gt;=100),AND('5-man'!F$64="ST&gt;3",F260&gt;=100),AND('5-man'!F$66="ST&gt;3",F276&gt;=100),AND('5-man'!F$67="ST&gt;3",F284&gt;=100))))),'5-man'!F$62,0)</f>
        <v/>
      </c>
      <c r="G275">
        <f>IF(OR('5-man'!G$65="P",'5-man'!G$65="R",AND('5-man'!G$62&lt;=IF('5-man'!$BF$42="",999,'5-man'!$BF$42),OR('5-man'!G$65="D",LEFT('5-man'!G$65,3)="ST&gt;",OR(AND('5-man'!G$63="ST&gt;3",G252&gt;=100),AND('5-man'!G$64="ST&gt;3",G260&gt;=100),AND('5-man'!G$66="ST&gt;3",G276&gt;=100),AND('5-man'!G$67="ST&gt;3",G284&gt;=100))))),'5-man'!G$62,0)</f>
        <v/>
      </c>
      <c r="H275">
        <f>IF(OR('5-man'!H$65="P",'5-man'!H$65="R",AND('5-man'!H$62&lt;=IF('5-man'!$BF$42="",999,'5-man'!$BF$42),OR('5-man'!H$65="D",LEFT('5-man'!H$65,3)="ST&gt;",OR(AND('5-man'!H$63="ST&gt;3",H252&gt;=100),AND('5-man'!H$64="ST&gt;3",H260&gt;=100),AND('5-man'!H$66="ST&gt;3",H276&gt;=100),AND('5-man'!H$67="ST&gt;3",H284&gt;=100))))),'5-man'!H$62,0)</f>
        <v/>
      </c>
      <c r="I275">
        <f>IF(OR('5-man'!I$65="P",'5-man'!I$65="R",AND('5-man'!I$62&lt;=IF('5-man'!$BF$42="",999,'5-man'!$BF$42),OR('5-man'!I$65="D",LEFT('5-man'!I$65,3)="ST&gt;",OR(AND('5-man'!I$63="ST&gt;3",I252&gt;=100),AND('5-man'!I$64="ST&gt;3",I260&gt;=100),AND('5-man'!I$66="ST&gt;3",I276&gt;=100),AND('5-man'!I$67="ST&gt;3",I284&gt;=100))))),'5-man'!I$62,0)</f>
        <v/>
      </c>
      <c r="J275">
        <f>IF(OR('5-man'!J$65="P",'5-man'!J$65="R",AND('5-man'!J$62&lt;=IF('5-man'!$BF$42="",999,'5-man'!$BF$42),OR('5-man'!J$65="D",LEFT('5-man'!J$65,3)="ST&gt;",OR(AND('5-man'!J$63="ST&gt;3",J252&gt;=100),AND('5-man'!J$64="ST&gt;3",J260&gt;=100),AND('5-man'!J$66="ST&gt;3",J276&gt;=100),AND('5-man'!J$67="ST&gt;3",J284&gt;=100))))),'5-man'!J$62,0)</f>
        <v/>
      </c>
      <c r="K275">
        <f>IF(OR('5-man'!K$65="P",'5-man'!K$65="R",AND('5-man'!K$62&lt;=IF('5-man'!$BF$42="",999,'5-man'!$BF$42),OR('5-man'!K$65="D",LEFT('5-man'!K$65,3)="ST&gt;",OR(AND('5-man'!K$63="ST&gt;3",K252&gt;=100),AND('5-man'!K$64="ST&gt;3",K260&gt;=100),AND('5-man'!K$66="ST&gt;3",K276&gt;=100),AND('5-man'!K$67="ST&gt;3",K284&gt;=100))))),'5-man'!K$62,0)</f>
        <v/>
      </c>
      <c r="L275">
        <f>IF(OR('5-man'!L$65="P",'5-man'!L$65="R",AND('5-man'!L$62&lt;=IF('5-man'!$BF$42="",999,'5-man'!$BF$42),OR('5-man'!L$65="D",LEFT('5-man'!L$65,3)="ST&gt;",OR(AND('5-man'!L$63="ST&gt;3",L252&gt;=100),AND('5-man'!L$64="ST&gt;3",L260&gt;=100),AND('5-man'!L$66="ST&gt;3",L276&gt;=100),AND('5-man'!L$67="ST&gt;3",L284&gt;=100))))),'5-man'!L$62,0)</f>
        <v/>
      </c>
      <c r="M275">
        <f>IF(OR('5-man'!M$65="P",'5-man'!M$65="R",AND('5-man'!M$62&lt;=IF('5-man'!$BF$42="",999,'5-man'!$BF$42),OR('5-man'!M$65="D",LEFT('5-man'!M$65,3)="ST&gt;",OR(AND('5-man'!M$63="ST&gt;3",M252&gt;=100),AND('5-man'!M$64="ST&gt;3",M260&gt;=100),AND('5-man'!M$66="ST&gt;3",M276&gt;=100),AND('5-man'!M$67="ST&gt;3",M284&gt;=100))))),'5-man'!M$62,0)</f>
        <v/>
      </c>
      <c r="N275">
        <f>IF(OR('5-man'!N$65="P",'5-man'!N$65="R",AND('5-man'!N$62&lt;=IF('5-man'!$BF$42="",999,'5-man'!$BF$42),OR('5-man'!N$65="D",LEFT('5-man'!N$65,3)="ST&gt;",OR(AND('5-man'!N$63="ST&gt;3",N252&gt;=100),AND('5-man'!N$64="ST&gt;3",N260&gt;=100),AND('5-man'!N$66="ST&gt;3",N276&gt;=100),AND('5-man'!N$67="ST&gt;3",N284&gt;=100))))),'5-man'!N$62,0)</f>
        <v/>
      </c>
      <c r="O275">
        <f>IF(OR('5-man'!O$65="P",'5-man'!O$65="R",AND('5-man'!O$62&lt;=IF('5-man'!$BF$42="",999,'5-man'!$BF$42),OR('5-man'!O$65="D",LEFT('5-man'!O$65,3)="ST&gt;",OR(AND('5-man'!O$63="ST&gt;3",O252&gt;=100),AND('5-man'!O$64="ST&gt;3",O260&gt;=100),AND('5-man'!O$66="ST&gt;3",O276&gt;=100),AND('5-man'!O$67="ST&gt;3",O284&gt;=100))))),'5-man'!O$62,0)</f>
        <v/>
      </c>
      <c r="P275">
        <f>IF(OR('5-man'!P$65="P",'5-man'!P$65="R",AND('5-man'!P$62&lt;=IF('5-man'!$BF$42="",999,'5-man'!$BF$42),OR('5-man'!P$65="D",LEFT('5-man'!P$65,3)="ST&gt;",OR(AND('5-man'!P$63="ST&gt;3",P252&gt;=100),AND('5-man'!P$64="ST&gt;3",P260&gt;=100),AND('5-man'!P$66="ST&gt;3",P276&gt;=100),AND('5-man'!P$67="ST&gt;3",P284&gt;=100))))),'5-man'!P$62,0)</f>
        <v/>
      </c>
      <c r="Q275">
        <f>IF(OR('5-man'!Q$65="P",'5-man'!Q$65="R",AND('5-man'!Q$62&lt;=IF('5-man'!$BF$42="",999,'5-man'!$BF$42),OR('5-man'!Q$65="D",LEFT('5-man'!Q$65,3)="ST&gt;",OR(AND('5-man'!Q$63="ST&gt;3",Q252&gt;=100),AND('5-man'!Q$64="ST&gt;3",Q260&gt;=100),AND('5-man'!Q$66="ST&gt;3",Q276&gt;=100),AND('5-man'!Q$67="ST&gt;3",Q284&gt;=100))))),'5-man'!Q$62,0)</f>
        <v/>
      </c>
      <c r="R275">
        <f>IF(OR('5-man'!R$65="P",'5-man'!R$65="R",AND('5-man'!R$62&lt;=IF('5-man'!$BF$42="",999,'5-man'!$BF$42),OR('5-man'!R$65="D",LEFT('5-man'!R$65,3)="ST&gt;",OR(AND('5-man'!R$63="ST&gt;3",R252&gt;=100),AND('5-man'!R$64="ST&gt;3",R260&gt;=100),AND('5-man'!R$66="ST&gt;3",R276&gt;=100),AND('5-man'!R$67="ST&gt;3",R284&gt;=100))))),'5-man'!R$62,0)</f>
        <v/>
      </c>
      <c r="S275">
        <f>IF(OR('5-man'!S$65="P",'5-man'!S$65="R",AND('5-man'!S$62&lt;=IF('5-man'!$BF$42="",999,'5-man'!$BF$42),OR('5-man'!S$65="D",LEFT('5-man'!S$65,3)="ST&gt;",OR(AND('5-man'!S$63="ST&gt;3",S252&gt;=100),AND('5-man'!S$64="ST&gt;3",S260&gt;=100),AND('5-man'!S$66="ST&gt;3",S276&gt;=100),AND('5-man'!S$67="ST&gt;3",S284&gt;=100))))),'5-man'!S$62,0)</f>
        <v/>
      </c>
      <c r="T275">
        <f>IF(OR('5-man'!T$65="P",'5-man'!T$65="R",AND('5-man'!T$62&lt;=IF('5-man'!$BF$42="",999,'5-man'!$BF$42),OR('5-man'!T$65="D",LEFT('5-man'!T$65,3)="ST&gt;",OR(AND('5-man'!T$63="ST&gt;3",T252&gt;=100),AND('5-man'!T$64="ST&gt;3",T260&gt;=100),AND('5-man'!T$66="ST&gt;3",T276&gt;=100),AND('5-man'!T$67="ST&gt;3",T284&gt;=100))))),'5-man'!T$62,0)</f>
        <v/>
      </c>
      <c r="U275">
        <f>IF(OR('5-man'!U$65="P",'5-man'!U$65="R",AND('5-man'!U$62&lt;=IF('5-man'!$BF$42="",999,'5-man'!$BF$42),OR('5-man'!U$65="D",LEFT('5-man'!U$65,3)="ST&gt;",OR(AND('5-man'!U$63="ST&gt;3",U252&gt;=100),AND('5-man'!U$64="ST&gt;3",U260&gt;=100),AND('5-man'!U$66="ST&gt;3",U276&gt;=100),AND('5-man'!U$67="ST&gt;3",U284&gt;=100))))),'5-man'!U$62,0)</f>
        <v/>
      </c>
      <c r="V275">
        <f>IF(OR('5-man'!V$65="P",'5-man'!V$65="R",AND('5-man'!V$62&lt;=IF('5-man'!$BF$42="",999,'5-man'!$BF$42),OR('5-man'!V$65="D",LEFT('5-man'!V$65,3)="ST&gt;",OR(AND('5-man'!V$63="ST&gt;3",V252&gt;=100),AND('5-man'!V$64="ST&gt;3",V260&gt;=100),AND('5-man'!V$66="ST&gt;3",V276&gt;=100),AND('5-man'!V$67="ST&gt;3",V284&gt;=100))))),'5-man'!V$62,0)</f>
        <v/>
      </c>
      <c r="W275">
        <f>IF(OR('5-man'!W$65="P",'5-man'!W$65="R",AND('5-man'!W$62&lt;=IF('5-man'!$BF$42="",999,'5-man'!$BF$42),OR('5-man'!W$65="D",LEFT('5-man'!W$65,3)="ST&gt;",OR(AND('5-man'!W$63="ST&gt;3",W252&gt;=100),AND('5-man'!W$64="ST&gt;3",W260&gt;=100),AND('5-man'!W$66="ST&gt;3",W276&gt;=100),AND('5-man'!W$67="ST&gt;3",W284&gt;=100))))),'5-man'!W$62,0)</f>
        <v/>
      </c>
      <c r="X275">
        <f>IF(OR('5-man'!X$65="P",'5-man'!X$65="R",AND('5-man'!X$62&lt;=IF('5-man'!$BF$42="",999,'5-man'!$BF$42),OR('5-man'!X$65="D",LEFT('5-man'!X$65,3)="ST&gt;",OR(AND('5-man'!X$63="ST&gt;3",X252&gt;=100),AND('5-man'!X$64="ST&gt;3",X260&gt;=100),AND('5-man'!X$66="ST&gt;3",X276&gt;=100),AND('5-man'!X$67="ST&gt;3",X284&gt;=100))))),'5-man'!X$62,0)</f>
        <v/>
      </c>
      <c r="Y275">
        <f>IF(OR('5-man'!Y$65="P",'5-man'!Y$65="R",AND('5-man'!Y$62&lt;=IF('5-man'!$BF$42="",999,'5-man'!$BF$42),OR('5-man'!Y$65="D",LEFT('5-man'!Y$65,3)="ST&gt;",OR(AND('5-man'!Y$63="ST&gt;3",Y252&gt;=100),AND('5-man'!Y$64="ST&gt;3",Y260&gt;=100),AND('5-man'!Y$66="ST&gt;3",Y276&gt;=100),AND('5-man'!Y$67="ST&gt;3",Y284&gt;=100))))),'5-man'!Y$62,0)</f>
        <v/>
      </c>
      <c r="Z275">
        <f>IF(OR('5-man'!Z$65="P",'5-man'!Z$65="R",AND('5-man'!Z$62&lt;=IF('5-man'!$BF$42="",999,'5-man'!$BF$42),OR('5-man'!Z$65="D",LEFT('5-man'!Z$65,3)="ST&gt;",OR(AND('5-man'!Z$63="ST&gt;3",Z252&gt;=100),AND('5-man'!Z$64="ST&gt;3",Z260&gt;=100),AND('5-man'!Z$66="ST&gt;3",Z276&gt;=100),AND('5-man'!Z$67="ST&gt;3",Z284&gt;=100))))),'5-man'!Z$62,0)</f>
        <v/>
      </c>
      <c r="AA275">
        <f>IF(OR('5-man'!AA$65="P",'5-man'!AA$65="R",AND('5-man'!AA$62&lt;=IF('5-man'!$BF$42="",999,'5-man'!$BF$42),OR('5-man'!AA$65="D",LEFT('5-man'!AA$65,3)="ST&gt;",OR(AND('5-man'!AA$63="ST&gt;3",AA252&gt;=100),AND('5-man'!AA$64="ST&gt;3",AA260&gt;=100),AND('5-man'!AA$66="ST&gt;3",AA276&gt;=100),AND('5-man'!AA$67="ST&gt;3",AA284&gt;=100))))),'5-man'!AA$62,0)</f>
        <v/>
      </c>
      <c r="AB275">
        <f>IF(OR('5-man'!AB$65="P",'5-man'!AB$65="R",AND('5-man'!AB$62&lt;=IF('5-man'!$BF$42="",999,'5-man'!$BF$42),OR('5-man'!AB$65="D",LEFT('5-man'!AB$65,3)="ST&gt;",OR(AND('5-man'!AB$63="ST&gt;3",AB252&gt;=100),AND('5-man'!AB$64="ST&gt;3",AB260&gt;=100),AND('5-man'!AB$66="ST&gt;3",AB276&gt;=100),AND('5-man'!AB$67="ST&gt;3",AB284&gt;=100))))),'5-man'!AB$62,0)</f>
        <v/>
      </c>
      <c r="AC275">
        <f>IF(OR('5-man'!AC$65="P",'5-man'!AC$65="R",AND('5-man'!AC$62&lt;=IF('5-man'!$BF$42="",999,'5-man'!$BF$42),OR('5-man'!AC$65="D",LEFT('5-man'!AC$65,3)="ST&gt;",OR(AND('5-man'!AC$63="ST&gt;3",AC252&gt;=100),AND('5-man'!AC$64="ST&gt;3",AC260&gt;=100),AND('5-man'!AC$66="ST&gt;3",AC276&gt;=100),AND('5-man'!AC$67="ST&gt;3",AC284&gt;=100))))),'5-man'!AC$62,0)</f>
        <v/>
      </c>
      <c r="AD275">
        <f>IF(OR('5-man'!AD$65="P",'5-man'!AD$65="R",AND('5-man'!AD$62&lt;=IF('5-man'!$BF$42="",999,'5-man'!$BF$42),OR('5-man'!AD$65="D",LEFT('5-man'!AD$65,3)="ST&gt;",OR(AND('5-man'!AD$63="ST&gt;3",AD252&gt;=100),AND('5-man'!AD$64="ST&gt;3",AD260&gt;=100),AND('5-man'!AD$66="ST&gt;3",AD276&gt;=100),AND('5-man'!AD$67="ST&gt;3",AD284&gt;=100))))),'5-man'!AD$62,0)</f>
        <v/>
      </c>
      <c r="AE275">
        <f>IF(OR('5-man'!AE$65="P",'5-man'!AE$65="R",AND('5-man'!AE$62&lt;=IF('5-man'!$BF$42="",999,'5-man'!$BF$42),OR('5-man'!AE$65="D",LEFT('5-man'!AE$65,3)="ST&gt;",OR(AND('5-man'!AE$63="ST&gt;3",AE252&gt;=100),AND('5-man'!AE$64="ST&gt;3",AE260&gt;=100),AND('5-man'!AE$66="ST&gt;3",AE276&gt;=100),AND('5-man'!AE$67="ST&gt;3",AE284&gt;=100))))),'5-man'!AE$62,0)</f>
        <v/>
      </c>
      <c r="AF275">
        <f>IF(OR('5-man'!AF$65="P",'5-man'!AF$65="R",AND('5-man'!AF$62&lt;=IF('5-man'!$BF$42="",999,'5-man'!$BF$42),OR('5-man'!AF$65="D",LEFT('5-man'!AF$65,3)="ST&gt;",OR(AND('5-man'!AF$63="ST&gt;3",AF252&gt;=100),AND('5-man'!AF$64="ST&gt;3",AF260&gt;=100),AND('5-man'!AF$66="ST&gt;3",AF276&gt;=100),AND('5-man'!AF$67="ST&gt;3",AF284&gt;=100))))),'5-man'!AF$62,0)</f>
        <v/>
      </c>
      <c r="AG275">
        <f>IF(OR('5-man'!AG$65="P",'5-man'!AG$65="R",AND('5-man'!AG$62&lt;=IF('5-man'!$BF$42="",999,'5-man'!$BF$42),OR('5-man'!AG$65="D",LEFT('5-man'!AG$65,3)="ST&gt;",OR(AND('5-man'!AG$63="ST&gt;3",AG252&gt;=100),AND('5-man'!AG$64="ST&gt;3",AG260&gt;=100),AND('5-man'!AG$66="ST&gt;3",AG276&gt;=100),AND('5-man'!AG$67="ST&gt;3",AG284&gt;=100))))),'5-man'!AG$62,0)</f>
        <v/>
      </c>
      <c r="AH275">
        <f>IF(OR('5-man'!AH$65="P",'5-man'!AH$65="R",AND('5-man'!AH$62&lt;=IF('5-man'!$BF$42="",999,'5-man'!$BF$42),OR('5-man'!AH$65="D",LEFT('5-man'!AH$65,3)="ST&gt;",OR(AND('5-man'!AH$63="ST&gt;3",AH252&gt;=100),AND('5-man'!AH$64="ST&gt;3",AH260&gt;=100),AND('5-man'!AH$66="ST&gt;3",AH276&gt;=100),AND('5-man'!AH$67="ST&gt;3",AH284&gt;=100))))),'5-man'!AH$62,0)</f>
        <v/>
      </c>
      <c r="AI275">
        <f>IF(OR('5-man'!AI$65="P",'5-man'!AI$65="R",AND('5-man'!AI$62&lt;=IF('5-man'!$BF$42="",999,'5-man'!$BF$42),OR('5-man'!AI$65="D",LEFT('5-man'!AI$65,3)="ST&gt;",OR(AND('5-man'!AI$63="ST&gt;3",AI252&gt;=100),AND('5-man'!AI$64="ST&gt;3",AI260&gt;=100),AND('5-man'!AI$66="ST&gt;3",AI276&gt;=100),AND('5-man'!AI$67="ST&gt;3",AI284&gt;=100))))),'5-man'!AI$62,0)</f>
        <v/>
      </c>
      <c r="AJ275">
        <f>IF(OR('5-man'!AJ$65="P",'5-man'!AJ$65="R",AND('5-man'!AJ$62&lt;=IF('5-man'!$BF$42="",999,'5-man'!$BF$42),OR('5-man'!AJ$65="D",LEFT('5-man'!AJ$65,3)="ST&gt;",OR(AND('5-man'!AJ$63="ST&gt;3",AJ252&gt;=100),AND('5-man'!AJ$64="ST&gt;3",AJ260&gt;=100),AND('5-man'!AJ$66="ST&gt;3",AJ276&gt;=100),AND('5-man'!AJ$67="ST&gt;3",AJ284&gt;=100))))),'5-man'!AJ$62,0)</f>
        <v/>
      </c>
      <c r="AK275">
        <f>IF(OR('5-man'!AK$65="P",'5-man'!AK$65="R",AND('5-man'!AK$62&lt;=IF('5-man'!$BF$42="",999,'5-man'!$BF$42),OR('5-man'!AK$65="D",LEFT('5-man'!AK$65,3)="ST&gt;",OR(AND('5-man'!AK$63="ST&gt;3",AK252&gt;=100),AND('5-man'!AK$64="ST&gt;3",AK260&gt;=100),AND('5-man'!AK$66="ST&gt;3",AK276&gt;=100),AND('5-man'!AK$67="ST&gt;3",AK284&gt;=100))))),'5-man'!AK$62,0)</f>
        <v/>
      </c>
      <c r="AL275">
        <f>IF(OR('5-man'!AL$65="P",'5-man'!AL$65="R",AND('5-man'!AL$62&lt;=IF('5-man'!$BF$42="",999,'5-man'!$BF$42),OR('5-man'!AL$65="D",LEFT('5-man'!AL$65,3)="ST&gt;",OR(AND('5-man'!AL$63="ST&gt;3",AL252&gt;=100),AND('5-man'!AL$64="ST&gt;3",AL260&gt;=100),AND('5-man'!AL$66="ST&gt;3",AL276&gt;=100),AND('5-man'!AL$67="ST&gt;3",AL284&gt;=100))))),'5-man'!AL$62,0)</f>
        <v/>
      </c>
      <c r="AM275">
        <f>IF(OR('5-man'!AM$65="P",'5-man'!AM$65="R",AND('5-man'!AM$62&lt;=IF('5-man'!$BF$42="",999,'5-man'!$BF$42),OR('5-man'!AM$65="D",LEFT('5-man'!AM$65,3)="ST&gt;",OR(AND('5-man'!AM$63="ST&gt;3",AM252&gt;=100),AND('5-man'!AM$64="ST&gt;3",AM260&gt;=100),AND('5-man'!AM$66="ST&gt;3",AM276&gt;=100),AND('5-man'!AM$67="ST&gt;3",AM284&gt;=100))))),'5-man'!AM$62,0)</f>
        <v/>
      </c>
      <c r="AN275">
        <f>IF(OR('5-man'!AN$65="P",'5-man'!AN$65="R",AND('5-man'!AN$62&lt;=IF('5-man'!$BF$42="",999,'5-man'!$BF$42),OR('5-man'!AN$65="D",LEFT('5-man'!AN$65,3)="ST&gt;",OR(AND('5-man'!AN$63="ST&gt;3",AN252&gt;=100),AND('5-man'!AN$64="ST&gt;3",AN260&gt;=100),AND('5-man'!AN$66="ST&gt;3",AN276&gt;=100),AND('5-man'!AN$67="ST&gt;3",AN284&gt;=100))))),'5-man'!AN$62,0)</f>
        <v/>
      </c>
      <c r="AO275">
        <f>IF(OR('5-man'!AO$65="P",'5-man'!AO$65="R",AND('5-man'!AO$62&lt;=IF('5-man'!$BF$42="",999,'5-man'!$BF$42),OR('5-man'!AO$65="D",LEFT('5-man'!AO$65,3)="ST&gt;",OR(AND('5-man'!AO$63="ST&gt;3",AO252&gt;=100),AND('5-man'!AO$64="ST&gt;3",AO260&gt;=100),AND('5-man'!AO$66="ST&gt;3",AO276&gt;=100),AND('5-man'!AO$67="ST&gt;3",AO284&gt;=100))))),'5-man'!AO$62,0)</f>
        <v/>
      </c>
      <c r="AP275">
        <f>IF(OR('5-man'!AP$65="P",'5-man'!AP$65="R",AND('5-man'!AP$62&lt;=IF('5-man'!$BF$42="",999,'5-man'!$BF$42),OR('5-man'!AP$65="D",LEFT('5-man'!AP$65,3)="ST&gt;",OR(AND('5-man'!AP$63="ST&gt;3",AP252&gt;=100),AND('5-man'!AP$64="ST&gt;3",AP260&gt;=100),AND('5-man'!AP$66="ST&gt;3",AP276&gt;=100),AND('5-man'!AP$67="ST&gt;3",AP284&gt;=100))))),'5-man'!AP$62,0)</f>
        <v/>
      </c>
      <c r="AQ275">
        <f>IF(OR('5-man'!AQ$65="P",'5-man'!AQ$65="R",AND('5-man'!AQ$62&lt;=IF('5-man'!$BF$42="",999,'5-man'!$BF$42),OR('5-man'!AQ$65="D",LEFT('5-man'!AQ$65,3)="ST&gt;",OR(AND('5-man'!AQ$63="ST&gt;3",AQ252&gt;=100),AND('5-man'!AQ$64="ST&gt;3",AQ260&gt;=100),AND('5-man'!AQ$66="ST&gt;3",AQ276&gt;=100),AND('5-man'!AQ$67="ST&gt;3",AQ284&gt;=100))))),'5-man'!AQ$62,0)</f>
        <v/>
      </c>
      <c r="AR275">
        <f>IF(OR('5-man'!AR$65="P",'5-man'!AR$65="R",AND('5-man'!AR$62&lt;=IF('5-man'!$BF$42="",999,'5-man'!$BF$42),OR('5-man'!AR$65="D",LEFT('5-man'!AR$65,3)="ST&gt;",OR(AND('5-man'!AR$63="ST&gt;3",AR252&gt;=100),AND('5-man'!AR$64="ST&gt;3",AR260&gt;=100),AND('5-man'!AR$66="ST&gt;3",AR276&gt;=100),AND('5-man'!AR$67="ST&gt;3",AR284&gt;=100))))),'5-man'!AR$62,0)</f>
        <v/>
      </c>
      <c r="AS275">
        <f>IF(OR('5-man'!AS$65="P",'5-man'!AS$65="R",AND('5-man'!AS$62&lt;=IF('5-man'!$BF$42="",999,'5-man'!$BF$42),OR('5-man'!AS$65="D",LEFT('5-man'!AS$65,3)="ST&gt;",OR(AND('5-man'!AS$63="ST&gt;3",AS252&gt;=100),AND('5-man'!AS$64="ST&gt;3",AS260&gt;=100),AND('5-man'!AS$66="ST&gt;3",AS276&gt;=100),AND('5-man'!AS$67="ST&gt;3",AS284&gt;=100))))),'5-man'!AS$62,0)</f>
        <v/>
      </c>
      <c r="AT275">
        <f>IF(OR('5-man'!AT$65="P",'5-man'!AT$65="R",AND('5-man'!AT$62&lt;=IF('5-man'!$BF$42="",999,'5-man'!$BF$42),OR('5-man'!AT$65="D",LEFT('5-man'!AT$65,3)="ST&gt;",OR(AND('5-man'!AT$63="ST&gt;3",AT252&gt;=100),AND('5-man'!AT$64="ST&gt;3",AT260&gt;=100),AND('5-man'!AT$66="ST&gt;3",AT276&gt;=100),AND('5-man'!AT$67="ST&gt;3",AT284&gt;=100))))),'5-man'!AT$62,0)</f>
        <v/>
      </c>
      <c r="AU275">
        <f>IF(OR('5-man'!AU$65="P",'5-man'!AU$65="R",AND('5-man'!AU$62&lt;=IF('5-man'!$BF$42="",999,'5-man'!$BF$42),OR('5-man'!AU$65="D",LEFT('5-man'!AU$65,3)="ST&gt;",OR(AND('5-man'!AU$63="ST&gt;3",AU252&gt;=100),AND('5-man'!AU$64="ST&gt;3",AU260&gt;=100),AND('5-man'!AU$66="ST&gt;3",AU276&gt;=100),AND('5-man'!AU$67="ST&gt;3",AU284&gt;=100))))),'5-man'!AU$62,0)</f>
        <v/>
      </c>
      <c r="AV275">
        <f>IF(OR('5-man'!AV$65="P",'5-man'!AV$65="R",AND('5-man'!AV$62&lt;=IF('5-man'!$BF$42="",999,'5-man'!$BF$42),OR('5-man'!AV$65="D",LEFT('5-man'!AV$65,3)="ST&gt;",OR(AND('5-man'!AV$63="ST&gt;3",AV252&gt;=100),AND('5-man'!AV$64="ST&gt;3",AV260&gt;=100),AND('5-man'!AV$66="ST&gt;3",AV276&gt;=100),AND('5-man'!AV$67="ST&gt;3",AV284&gt;=100))))),'5-man'!AV$62,0)</f>
        <v/>
      </c>
      <c r="AW275">
        <f>IF(OR('5-man'!AW$65="P",'5-man'!AW$65="R",AND('5-man'!AW$62&lt;=IF('5-man'!$BF$42="",999,'5-man'!$BF$42),OR('5-man'!AW$65="D",LEFT('5-man'!AW$65,3)="ST&gt;",OR(AND('5-man'!AW$63="ST&gt;3",AW252&gt;=100),AND('5-man'!AW$64="ST&gt;3",AW260&gt;=100),AND('5-man'!AW$66="ST&gt;3",AW276&gt;=100),AND('5-man'!AW$67="ST&gt;3",AW284&gt;=100))))),'5-man'!AW$62,0)</f>
        <v/>
      </c>
      <c r="AX275">
        <f>IF(OR('5-man'!AX$65="P",'5-man'!AX$65="R",AND('5-man'!AX$62&lt;=IF('5-man'!$BF$42="",999,'5-man'!$BF$42),OR('5-man'!AX$65="D",LEFT('5-man'!AX$65,3)="ST&gt;",OR(AND('5-man'!AX$63="ST&gt;3",AX252&gt;=100),AND('5-man'!AX$64="ST&gt;3",AX260&gt;=100),AND('5-man'!AX$66="ST&gt;3",AX276&gt;=100),AND('5-man'!AX$67="ST&gt;3",AX284&gt;=100))))),'5-man'!AX$62,0)</f>
        <v/>
      </c>
      <c r="AY275">
        <f>IF(OR('5-man'!AY$65="P",'5-man'!AY$65="R",AND('5-man'!AY$62&lt;=IF('5-man'!$BF$42="",999,'5-man'!$BF$42),OR('5-man'!AY$65="D",LEFT('5-man'!AY$65,3)="ST&gt;",OR(AND('5-man'!AY$63="ST&gt;3",AY252&gt;=100),AND('5-man'!AY$64="ST&gt;3",AY260&gt;=100),AND('5-man'!AY$66="ST&gt;3",AY276&gt;=100),AND('5-man'!AY$67="ST&gt;3",AY284&gt;=100))))),'5-man'!AY$62,0)</f>
        <v/>
      </c>
      <c r="AZ275">
        <f>IF(OR('5-man'!AZ$65="P",'5-man'!AZ$65="R",AND('5-man'!AZ$62&lt;=IF('5-man'!$BF$42="",999,'5-man'!$BF$42),OR('5-man'!AZ$65="D",LEFT('5-man'!AZ$65,3)="ST&gt;",OR(AND('5-man'!AZ$63="ST&gt;3",AZ252&gt;=100),AND('5-man'!AZ$64="ST&gt;3",AZ260&gt;=100),AND('5-man'!AZ$66="ST&gt;3",AZ276&gt;=100),AND('5-man'!AZ$67="ST&gt;3",AZ284&gt;=100))))),'5-man'!AZ$62,0)</f>
        <v/>
      </c>
      <c r="BA275">
        <f>IF(OR('5-man'!BA$65="P",'5-man'!BA$65="R",AND('5-man'!BA$62&lt;=IF('5-man'!$BF$42="",999,'5-man'!$BF$42),OR('5-man'!BA$65="D",LEFT('5-man'!BA$65,3)="ST&gt;",OR(AND('5-man'!BA$63="ST&gt;3",BA252&gt;=100),AND('5-man'!BA$64="ST&gt;3",BA260&gt;=100),AND('5-man'!BA$66="ST&gt;3",BA276&gt;=100),AND('5-man'!BA$67="ST&gt;3",BA284&gt;=100))))),'5-man'!BA$62,0)</f>
        <v/>
      </c>
      <c r="BB275">
        <f>IF(OR('5-man'!BB$65="P",'5-man'!BB$65="R",AND('5-man'!BB$62&lt;=IF('5-man'!$BF$42="",999,'5-man'!$BF$42),OR('5-man'!BB$65="D",LEFT('5-man'!BB$65,3)="ST&gt;",OR(AND('5-man'!BB$63="ST&gt;3",BB252&gt;=100),AND('5-man'!BB$64="ST&gt;3",BB260&gt;=100),AND('5-man'!BB$66="ST&gt;3",BB276&gt;=100),AND('5-man'!BB$67="ST&gt;3",BB284&gt;=100))))),'5-man'!BB$62,0)</f>
        <v/>
      </c>
      <c r="BC275">
        <f>IF(OR('5-man'!BC$65="P",'5-man'!BC$65="R",AND('5-man'!BC$62&lt;=IF('5-man'!$BF$42="",999,'5-man'!$BF$42),OR('5-man'!BC$65="D",LEFT('5-man'!BC$65,3)="ST&gt;",OR(AND('5-man'!BC$63="ST&gt;3",BC252&gt;=100),AND('5-man'!BC$64="ST&gt;3",BC260&gt;=100),AND('5-man'!BC$66="ST&gt;3",BC276&gt;=100),AND('5-man'!BC$67="ST&gt;3",BC284&gt;=100))))),'5-man'!BC$62,0)</f>
        <v/>
      </c>
      <c r="BD275">
        <f>IF(OR('5-man'!BD$65="P",'5-man'!BD$65="R",AND('5-man'!BD$62&lt;=IF('5-man'!$BF$42="",999,'5-man'!$BF$42),OR('5-man'!BD$65="D",LEFT('5-man'!BD$65,3)="ST&gt;",OR(AND('5-man'!BD$63="ST&gt;3",BD252&gt;=100),AND('5-man'!BD$64="ST&gt;3",BD260&gt;=100),AND('5-man'!BD$66="ST&gt;3",BD276&gt;=100),AND('5-man'!BD$67="ST&gt;3",BD284&gt;=100))))),'5-man'!BD$62,0)</f>
        <v/>
      </c>
      <c r="BE275">
        <f>IF(OR('5-man'!BE$65="P",'5-man'!BE$65="R",AND('5-man'!BE$62&lt;=IF('5-man'!$BF$42="",999,'5-man'!$BF$42),OR('5-man'!BE$65="D",LEFT('5-man'!BE$65,3)="ST&gt;",OR(AND('5-man'!BE$63="ST&gt;3",BE252&gt;=100),AND('5-man'!BE$64="ST&gt;3",BE260&gt;=100),AND('5-man'!BE$66="ST&gt;3",BE276&gt;=100),AND('5-man'!BE$67="ST&gt;3",BE284&gt;=100))))),'5-man'!BE$62,0)</f>
        <v/>
      </c>
      <c r="BF275">
        <f>IF(OR('5-man'!BF$65="P",'5-man'!BF$65="R",AND('5-man'!BF$62&lt;=IF('5-man'!$BF$42="",999,'5-man'!$BF$42),OR('5-man'!BF$65="D",LEFT('5-man'!BF$65,3)="ST&gt;",OR(AND('5-man'!BF$63="ST&gt;3",BF252&gt;=100),AND('5-man'!BF$64="ST&gt;3",BF260&gt;=100),AND('5-man'!BF$66="ST&gt;3",BF276&gt;=100),AND('5-man'!BF$67="ST&gt;3",BF284&gt;=100))))),'5-man'!BF$62,0)</f>
        <v/>
      </c>
      <c r="BG275">
        <f>IF(OR('5-man'!BG$65="P",'5-man'!BG$65="R",AND('5-man'!BG$62&lt;=IF('5-man'!$BF$42="",999,'5-man'!$BF$42),OR('5-man'!BG$65="D",LEFT('5-man'!BG$65,3)="ST&gt;",OR(AND('5-man'!BG$63="ST&gt;3",BG252&gt;=100),AND('5-man'!BG$64="ST&gt;3",BG260&gt;=100),AND('5-man'!BG$66="ST&gt;3",BG276&gt;=100),AND('5-man'!BG$67="ST&gt;3",BG284&gt;=100))))),'5-man'!BG$62,0)</f>
        <v/>
      </c>
      <c r="BH275">
        <f>IF(OR('5-man'!BH$65="P",'5-man'!BH$65="R",AND('5-man'!BH$62&lt;=IF('5-man'!$BF$42="",999,'5-man'!$BF$42),OR('5-man'!BH$65="D",LEFT('5-man'!BH$65,3)="ST&gt;",OR(AND('5-man'!BH$63="ST&gt;3",BH252&gt;=100),AND('5-man'!BH$64="ST&gt;3",BH260&gt;=100),AND('5-man'!BH$66="ST&gt;3",BH276&gt;=100),AND('5-man'!BH$67="ST&gt;3",BH284&gt;=100))))),'5-man'!BH$62,0)</f>
        <v/>
      </c>
      <c r="BI275">
        <f>IF(OR('5-man'!BI$65="P",'5-man'!BI$65="R",AND('5-man'!BI$62&lt;=IF('5-man'!$BF$42="",999,'5-man'!$BF$42),OR('5-man'!BI$65="D",LEFT('5-man'!BI$65,3)="ST&gt;",OR(AND('5-man'!BI$63="ST&gt;3",BI252&gt;=100),AND('5-man'!BI$64="ST&gt;3",BI260&gt;=100),AND('5-man'!BI$66="ST&gt;3",BI276&gt;=100),AND('5-man'!BI$67="ST&gt;3",BI284&gt;=100))))),'5-man'!BI$62,0)</f>
        <v/>
      </c>
      <c r="BJ275">
        <f>IF(OR('5-man'!BJ$65="P",'5-man'!BJ$65="R",AND('5-man'!BJ$62&lt;=IF('5-man'!$BF$42="",999,'5-man'!$BF$42),OR('5-man'!BJ$65="D",LEFT('5-man'!BJ$65,3)="ST&gt;",OR(AND('5-man'!BJ$63="ST&gt;3",BJ252&gt;=100),AND('5-man'!BJ$64="ST&gt;3",BJ260&gt;=100),AND('5-man'!BJ$66="ST&gt;3",BJ276&gt;=100),AND('5-man'!BJ$67="ST&gt;3",BJ284&gt;=100))))),'5-man'!BJ$62,0)</f>
        <v/>
      </c>
      <c r="BK275">
        <f>IF(OR('5-man'!BK$65="P",'5-man'!BK$65="R",AND('5-man'!BK$62&lt;=IF('5-man'!$BF$42="",999,'5-man'!$BF$42),OR('5-man'!BK$65="D",LEFT('5-man'!BK$65,3)="ST&gt;",OR(AND('5-man'!BK$63="ST&gt;3",BK252&gt;=100),AND('5-man'!BK$64="ST&gt;3",BK260&gt;=100),AND('5-man'!BK$66="ST&gt;3",BK276&gt;=100),AND('5-man'!BK$67="ST&gt;3",BK284&gt;=100))))),'5-man'!BK$62,0)</f>
        <v/>
      </c>
      <c r="BL275">
        <f>IF(OR('5-man'!BL$65="P",'5-man'!BL$65="R",AND('5-man'!BL$62&lt;=IF('5-man'!$BF$42="",999,'5-man'!$BF$42),OR('5-man'!BL$65="D",LEFT('5-man'!BL$65,3)="ST&gt;",OR(AND('5-man'!BL$63="ST&gt;3",BL252&gt;=100),AND('5-man'!BL$64="ST&gt;3",BL260&gt;=100),AND('5-man'!BL$66="ST&gt;3",BL276&gt;=100),AND('5-man'!BL$67="ST&gt;3",BL284&gt;=100))))),'5-man'!BL$62,0)</f>
        <v/>
      </c>
      <c r="BM275">
        <f>IF(OR('5-man'!BM$65="P",'5-man'!BM$65="R",AND('5-man'!BM$62&lt;=IF('5-man'!$BF$42="",999,'5-man'!$BF$42),OR('5-man'!BM$65="D",LEFT('5-man'!BM$65,3)="ST&gt;",OR(AND('5-man'!BM$63="ST&gt;3",BM252&gt;=100),AND('5-man'!BM$64="ST&gt;3",BM260&gt;=100),AND('5-man'!BM$66="ST&gt;3",BM276&gt;=100),AND('5-man'!BM$67="ST&gt;3",BM284&gt;=100))))),'5-man'!BM$62,0)</f>
        <v/>
      </c>
      <c r="BN275">
        <f>IF(OR('5-man'!BN$65="P",'5-man'!BN$65="R",AND('5-man'!BN$62&lt;=IF('5-man'!$BF$42="",999,'5-man'!$BF$42),OR('5-man'!BN$65="D",LEFT('5-man'!BN$65,3)="ST&gt;",OR(AND('5-man'!BN$63="ST&gt;3",BN252&gt;=100),AND('5-man'!BN$64="ST&gt;3",BN260&gt;=100),AND('5-man'!BN$66="ST&gt;3",BN276&gt;=100),AND('5-man'!BN$67="ST&gt;3",BN284&gt;=100))))),'5-man'!BN$62,0)</f>
        <v/>
      </c>
      <c r="BO275">
        <f>IF(OR('5-man'!BO$65="P",'5-man'!BO$65="R",AND('5-man'!BO$62&lt;=IF('5-man'!$BF$42="",999,'5-man'!$BF$42),OR('5-man'!BO$65="D",LEFT('5-man'!BO$65,3)="ST&gt;",OR(AND('5-man'!BO$63="ST&gt;3",BO252&gt;=100),AND('5-man'!BO$64="ST&gt;3",BO260&gt;=100),AND('5-man'!BO$66="ST&gt;3",BO276&gt;=100),AND('5-man'!BO$67="ST&gt;3",BO284&gt;=100))))),'5-man'!BO$62,0)</f>
        <v/>
      </c>
      <c r="BP275">
        <f>IF(OR('5-man'!BP$65="P",'5-man'!BP$65="R",AND('5-man'!BP$62&lt;=IF('5-man'!$BF$42="",999,'5-man'!$BF$42),OR('5-man'!BP$65="D",LEFT('5-man'!BP$65,3)="ST&gt;",OR(AND('5-man'!BP$63="ST&gt;3",BP252&gt;=100),AND('5-man'!BP$64="ST&gt;3",BP260&gt;=100),AND('5-man'!BP$66="ST&gt;3",BP276&gt;=100),AND('5-man'!BP$67="ST&gt;3",BP284&gt;=100))))),'5-man'!BP$62,0)</f>
        <v/>
      </c>
      <c r="BQ275">
        <f>IF(OR('5-man'!BQ$65="P",'5-man'!BQ$65="R",AND('5-man'!BQ$62&lt;=IF('5-man'!$BF$42="",999,'5-man'!$BF$42),OR('5-man'!BQ$65="D",LEFT('5-man'!BQ$65,3)="ST&gt;",OR(AND('5-man'!BQ$63="ST&gt;3",BQ252&gt;=100),AND('5-man'!BQ$64="ST&gt;3",BQ260&gt;=100),AND('5-man'!BQ$66="ST&gt;3",BQ276&gt;=100),AND('5-man'!BQ$67="ST&gt;3",BQ284&gt;=100))))),'5-man'!BQ$62,0)</f>
        <v/>
      </c>
      <c r="BR275">
        <f>IF(OR('5-man'!BR$65="P",'5-man'!BR$65="R",AND('5-man'!BR$62&lt;=IF('5-man'!$BF$42="",999,'5-man'!$BF$42),OR('5-man'!BR$65="D",LEFT('5-man'!BR$65,3)="ST&gt;",OR(AND('5-man'!BR$63="ST&gt;3",BR252&gt;=100),AND('5-man'!BR$64="ST&gt;3",BR260&gt;=100),AND('5-man'!BR$66="ST&gt;3",BR276&gt;=100),AND('5-man'!BR$67="ST&gt;3",BR284&gt;=100))))),'5-man'!BR$62,0)</f>
        <v/>
      </c>
      <c r="BS275">
        <f>IF(OR('5-man'!BS$65="P",'5-man'!BS$65="R",AND('5-man'!BS$62&lt;=IF('5-man'!$BF$42="",999,'5-man'!$BF$42),OR('5-man'!BS$65="D",LEFT('5-man'!BS$65,3)="ST&gt;",OR(AND('5-man'!BS$63="ST&gt;3",BS252&gt;=100),AND('5-man'!BS$64="ST&gt;3",BS260&gt;=100),AND('5-man'!BS$66="ST&gt;3",BS276&gt;=100),AND('5-man'!BS$67="ST&gt;3",BS284&gt;=100))))),'5-man'!BS$62,0)</f>
        <v/>
      </c>
      <c r="BT275">
        <f>IF(OR('5-man'!BT$65="P",'5-man'!BT$65="R",AND('5-man'!BT$62&lt;=IF('5-man'!$BF$42="",999,'5-man'!$BF$42),OR('5-man'!BT$65="D",LEFT('5-man'!BT$65,3)="ST&gt;",OR(AND('5-man'!BT$63="ST&gt;3",BT252&gt;=100),AND('5-man'!BT$64="ST&gt;3",BT260&gt;=100),AND('5-man'!BT$66="ST&gt;3",BT276&gt;=100),AND('5-man'!BT$67="ST&gt;3",BT284&gt;=100))))),'5-man'!BT$62,0)</f>
        <v/>
      </c>
      <c r="BU275">
        <f>IF(OR('5-man'!BU$65="P",'5-man'!BU$65="R",AND('5-man'!BU$62&lt;=IF('5-man'!$BF$42="",999,'5-man'!$BF$42),OR('5-man'!BU$65="D",LEFT('5-man'!BU$65,3)="ST&gt;",OR(AND('5-man'!BU$63="ST&gt;3",BU252&gt;=100),AND('5-man'!BU$64="ST&gt;3",BU260&gt;=100),AND('5-man'!BU$66="ST&gt;3",BU276&gt;=100),AND('5-man'!BU$67="ST&gt;3",BU284&gt;=100))))),'5-man'!BU$62,0)</f>
        <v/>
      </c>
      <c r="BV275">
        <f>IF(OR('5-man'!BV$65="P",'5-man'!BV$65="R",AND('5-man'!BV$62&lt;=IF('5-man'!$BF$42="",999,'5-man'!$BF$42),OR('5-man'!BV$65="D",LEFT('5-man'!BV$65,3)="ST&gt;",OR(AND('5-man'!BV$63="ST&gt;3",BV252&gt;=100),AND('5-man'!BV$64="ST&gt;3",BV260&gt;=100),AND('5-man'!BV$66="ST&gt;3",BV276&gt;=100),AND('5-man'!BV$67="ST&gt;3",BV284&gt;=100))))),'5-man'!BV$62,0)</f>
        <v/>
      </c>
      <c r="BW275">
        <f>IF(OR('5-man'!BW$65="P",'5-man'!BW$65="R",AND('5-man'!BW$62&lt;=IF('5-man'!$BF$42="",999,'5-man'!$BF$42),OR('5-man'!BW$65="D",LEFT('5-man'!BW$65,3)="ST&gt;",OR(AND('5-man'!BW$63="ST&gt;3",BW252&gt;=100),AND('5-man'!BW$64="ST&gt;3",BW260&gt;=100),AND('5-man'!BW$66="ST&gt;3",BW276&gt;=100),AND('5-man'!BW$67="ST&gt;3",BW284&gt;=100))))),'5-man'!BW$62,0)</f>
        <v/>
      </c>
      <c r="BX275">
        <f>IF(OR('5-man'!BX$65="P",'5-man'!BX$65="R",AND('5-man'!BX$62&lt;=IF('5-man'!$BF$42="",999,'5-man'!$BF$42),OR('5-man'!BX$65="D",LEFT('5-man'!BX$65,3)="ST&gt;",OR(AND('5-man'!BX$63="ST&gt;3",BX252&gt;=100),AND('5-man'!BX$64="ST&gt;3",BX260&gt;=100),AND('5-man'!BX$66="ST&gt;3",BX276&gt;=100),AND('5-man'!BX$67="ST&gt;3",BX284&gt;=100))))),'5-man'!BX$62,0)</f>
        <v/>
      </c>
      <c r="BY275">
        <f>IF(OR('5-man'!BY$65="P",'5-man'!BY$65="R",AND('5-man'!BY$62&lt;=IF('5-man'!$BF$42="",999,'5-man'!$BF$42),OR('5-man'!BY$65="D",LEFT('5-man'!BY$65,3)="ST&gt;",OR(AND('5-man'!BY$63="ST&gt;3",BY252&gt;=100),AND('5-man'!BY$64="ST&gt;3",BY260&gt;=100),AND('5-man'!BY$66="ST&gt;3",BY276&gt;=100),AND('5-man'!BY$67="ST&gt;3",BY284&gt;=100))))),'5-man'!BY$62,0)</f>
        <v/>
      </c>
      <c r="BZ275">
        <f>IF(OR('5-man'!BZ$65="P",'5-man'!BZ$65="R",AND('5-man'!BZ$62&lt;=IF('5-man'!$BF$42="",999,'5-man'!$BF$42),OR('5-man'!BZ$65="D",LEFT('5-man'!BZ$65,3)="ST&gt;",OR(AND('5-man'!BZ$63="ST&gt;3",BZ252&gt;=100),AND('5-man'!BZ$64="ST&gt;3",BZ260&gt;=100),AND('5-man'!BZ$66="ST&gt;3",BZ276&gt;=100),AND('5-man'!BZ$67="ST&gt;3",BZ284&gt;=100))))),'5-man'!BZ$62,0)</f>
        <v/>
      </c>
      <c r="CA275">
        <f>IF(OR('5-man'!CA$65="P",'5-man'!CA$65="R",AND('5-man'!CA$62&lt;=IF('5-man'!$BF$42="",999,'5-man'!$BF$42),OR('5-man'!CA$65="D",LEFT('5-man'!CA$65,3)="ST&gt;",OR(AND('5-man'!CA$63="ST&gt;3",CA252&gt;=100),AND('5-man'!CA$64="ST&gt;3",CA260&gt;=100),AND('5-man'!CA$66="ST&gt;3",CA276&gt;=100),AND('5-man'!CA$67="ST&gt;3",CA284&gt;=100))))),'5-man'!CA$62,0)</f>
        <v/>
      </c>
      <c r="CB275">
        <f>IF(OR('5-man'!CB$65="P",'5-man'!CB$65="R",AND('5-man'!CB$62&lt;=IF('5-man'!$BF$42="",999,'5-man'!$BF$42),OR('5-man'!CB$65="D",LEFT('5-man'!CB$65,3)="ST&gt;",OR(AND('5-man'!CB$63="ST&gt;3",CB252&gt;=100),AND('5-man'!CB$64="ST&gt;3",CB260&gt;=100),AND('5-man'!CB$66="ST&gt;3",CB276&gt;=100),AND('5-man'!CB$67="ST&gt;3",CB284&gt;=100))))),'5-man'!CB$62,0)</f>
        <v/>
      </c>
      <c r="CC275">
        <f>IF(OR('5-man'!CC$65="P",'5-man'!CC$65="R",AND('5-man'!CC$62&lt;=IF('5-man'!$BF$42="",999,'5-man'!$BF$42),OR('5-man'!CC$65="D",LEFT('5-man'!CC$65,3)="ST&gt;",OR(AND('5-man'!CC$63="ST&gt;3",CC252&gt;=100),AND('5-man'!CC$64="ST&gt;3",CC260&gt;=100),AND('5-man'!CC$66="ST&gt;3",CC276&gt;=100),AND('5-man'!CC$67="ST&gt;3",CC284&gt;=100))))),'5-man'!CC$62,0)</f>
        <v/>
      </c>
      <c r="CD275">
        <f>IF(OR('5-man'!CD$65="P",'5-man'!CD$65="R",AND('5-man'!CD$62&lt;=IF('5-man'!$BF$42="",999,'5-man'!$BF$42),OR('5-man'!CD$65="D",LEFT('5-man'!CD$65,3)="ST&gt;",OR(AND('5-man'!CD$63="ST&gt;3",CD252&gt;=100),AND('5-man'!CD$64="ST&gt;3",CD260&gt;=100),AND('5-man'!CD$66="ST&gt;3",CD276&gt;=100),AND('5-man'!CD$67="ST&gt;3",CD284&gt;=100))))),'5-man'!CD$62,0)</f>
        <v/>
      </c>
    </row>
    <row r="276">
      <c r="A276" t="inlineStr">
        <is>
          <t>P4 s1</t>
        </is>
      </c>
      <c r="C276">
        <f>MIN(100,B277+IF(AND(B277&lt;100,B278+1&gt;=IF(OR('5-man'!$F$45=TRUE,'5-man'!$F$45="TRUE",'5-man'!$F$45="Yes"),25,50)),10,0)+IF('5-man'!C$62=$Q$282,25,0))</f>
        <v/>
      </c>
      <c r="D276">
        <f>MIN(100,C277+IF(AND(C277&lt;100,C278+1&gt;=IF(OR('5-man'!$F$45=TRUE,'5-man'!$F$45="TRUE",'5-man'!$F$45="Yes"),25,50)),10,0)+IF('5-man'!D$62=$Q$282,25,0))</f>
        <v/>
      </c>
      <c r="E276">
        <f>MIN(100,D277+IF(AND(D277&lt;100,D278+1&gt;=IF(OR('5-man'!$F$45=TRUE,'5-man'!$F$45="TRUE",'5-man'!$F$45="Yes"),25,50)),10,0)+IF('5-man'!E$62=$Q$282,25,0))</f>
        <v/>
      </c>
      <c r="F276">
        <f>MIN(100,E277+IF(AND(E277&lt;100,E278+1&gt;=IF(OR('5-man'!$F$45=TRUE,'5-man'!$F$45="TRUE",'5-man'!$F$45="Yes"),25,50)),10,0)+IF('5-man'!F$62=$Q$282,25,0))</f>
        <v/>
      </c>
      <c r="G276">
        <f>MIN(100,F277+IF(AND(F277&lt;100,F278+1&gt;=IF(OR('5-man'!$F$45=TRUE,'5-man'!$F$45="TRUE",'5-man'!$F$45="Yes"),25,50)),10,0)+IF('5-man'!G$62=$Q$282,25,0))</f>
        <v/>
      </c>
      <c r="H276">
        <f>MIN(100,G277+IF(AND(G277&lt;100,G278+1&gt;=IF(OR('5-man'!$F$45=TRUE,'5-man'!$F$45="TRUE",'5-man'!$F$45="Yes"),25,50)),10,0)+IF('5-man'!H$62=$Q$282,25,0))</f>
        <v/>
      </c>
      <c r="I276">
        <f>MIN(100,H277+IF(AND(H277&lt;100,H278+1&gt;=IF(OR('5-man'!$F$45=TRUE,'5-man'!$F$45="TRUE",'5-man'!$F$45="Yes"),25,50)),10,0)+IF('5-man'!I$62=$Q$282,25,0))</f>
        <v/>
      </c>
      <c r="J276">
        <f>MIN(100,I277+IF(AND(I277&lt;100,I278+1&gt;=IF(OR('5-man'!$F$45=TRUE,'5-man'!$F$45="TRUE",'5-man'!$F$45="Yes"),25,50)),10,0)+IF('5-man'!J$62=$Q$282,25,0))</f>
        <v/>
      </c>
      <c r="K276">
        <f>MIN(100,J277+IF(AND(J277&lt;100,J278+1&gt;=IF(OR('5-man'!$F$45=TRUE,'5-man'!$F$45="TRUE",'5-man'!$F$45="Yes"),25,50)),10,0)+IF('5-man'!K$62=$Q$282,25,0))</f>
        <v/>
      </c>
      <c r="L276">
        <f>MIN(100,K277+IF(AND(K277&lt;100,K278+1&gt;=IF(OR('5-man'!$F$45=TRUE,'5-man'!$F$45="TRUE",'5-man'!$F$45="Yes"),25,50)),10,0)+IF('5-man'!L$62=$Q$282,25,0))</f>
        <v/>
      </c>
      <c r="M276">
        <f>MIN(100,L277+IF(AND(L277&lt;100,L278+1&gt;=IF(OR('5-man'!$F$45=TRUE,'5-man'!$F$45="TRUE",'5-man'!$F$45="Yes"),25,50)),10,0)+IF('5-man'!M$62=$Q$282,25,0))</f>
        <v/>
      </c>
      <c r="N276">
        <f>MIN(100,M277+IF(AND(M277&lt;100,M278+1&gt;=IF(OR('5-man'!$F$45=TRUE,'5-man'!$F$45="TRUE",'5-man'!$F$45="Yes"),25,50)),10,0)+IF('5-man'!N$62=$Q$282,25,0))</f>
        <v/>
      </c>
      <c r="O276">
        <f>MIN(100,N277+IF(AND(N277&lt;100,N278+1&gt;=IF(OR('5-man'!$F$45=TRUE,'5-man'!$F$45="TRUE",'5-man'!$F$45="Yes"),25,50)),10,0)+IF('5-man'!O$62=$Q$282,25,0))</f>
        <v/>
      </c>
      <c r="P276">
        <f>MIN(100,O277+IF(AND(O277&lt;100,O278+1&gt;=IF(OR('5-man'!$F$45=TRUE,'5-man'!$F$45="TRUE",'5-man'!$F$45="Yes"),25,50)),10,0)+IF('5-man'!P$62=$Q$282,25,0))</f>
        <v/>
      </c>
      <c r="Q276">
        <f>MIN(100,P277+IF(AND(P277&lt;100,P278+1&gt;=IF(OR('5-man'!$F$45=TRUE,'5-man'!$F$45="TRUE",'5-man'!$F$45="Yes"),25,50)),10,0)+IF('5-man'!Q$62=$Q$282,25,0))</f>
        <v/>
      </c>
      <c r="R276">
        <f>MIN(100,Q277+IF(AND(Q277&lt;100,Q278+1&gt;=IF(OR('5-man'!$F$45=TRUE,'5-man'!$F$45="TRUE",'5-man'!$F$45="Yes"),25,50)),10,0)+IF('5-man'!R$62=$Q$282,25,0))</f>
        <v/>
      </c>
      <c r="S276">
        <f>MIN(100,R277+IF(AND(R277&lt;100,R278+1&gt;=IF(OR('5-man'!$F$45=TRUE,'5-man'!$F$45="TRUE",'5-man'!$F$45="Yes"),25,50)),10,0)+IF('5-man'!S$62=$Q$282,25,0))</f>
        <v/>
      </c>
      <c r="T276">
        <f>MIN(100,S277+IF(AND(S277&lt;100,S278+1&gt;=IF(OR('5-man'!$F$45=TRUE,'5-man'!$F$45="TRUE",'5-man'!$F$45="Yes"),25,50)),10,0)+IF('5-man'!T$62=$Q$282,25,0))</f>
        <v/>
      </c>
      <c r="U276">
        <f>MIN(100,T277+IF(AND(T277&lt;100,T278+1&gt;=IF(OR('5-man'!$F$45=TRUE,'5-man'!$F$45="TRUE",'5-man'!$F$45="Yes"),25,50)),10,0)+IF('5-man'!U$62=$Q$282,25,0))</f>
        <v/>
      </c>
      <c r="V276">
        <f>MIN(100,U277+IF(AND(U277&lt;100,U278+1&gt;=IF(OR('5-man'!$F$45=TRUE,'5-man'!$F$45="TRUE",'5-man'!$F$45="Yes"),25,50)),10,0)+IF('5-man'!V$62=$Q$282,25,0))</f>
        <v/>
      </c>
      <c r="W276">
        <f>MIN(100,V277+IF(AND(V277&lt;100,V278+1&gt;=IF(OR('5-man'!$F$45=TRUE,'5-man'!$F$45="TRUE",'5-man'!$F$45="Yes"),25,50)),10,0)+IF('5-man'!W$62=$Q$282,25,0))</f>
        <v/>
      </c>
      <c r="X276">
        <f>MIN(100,W277+IF(AND(W277&lt;100,W278+1&gt;=IF(OR('5-man'!$F$45=TRUE,'5-man'!$F$45="TRUE",'5-man'!$F$45="Yes"),25,50)),10,0)+IF('5-man'!X$62=$Q$282,25,0))</f>
        <v/>
      </c>
      <c r="Y276">
        <f>MIN(100,X277+IF(AND(X277&lt;100,X278+1&gt;=IF(OR('5-man'!$F$45=TRUE,'5-man'!$F$45="TRUE",'5-man'!$F$45="Yes"),25,50)),10,0)+IF('5-man'!Y$62=$Q$282,25,0))</f>
        <v/>
      </c>
      <c r="Z276">
        <f>MIN(100,Y277+IF(AND(Y277&lt;100,Y278+1&gt;=IF(OR('5-man'!$F$45=TRUE,'5-man'!$F$45="TRUE",'5-man'!$F$45="Yes"),25,50)),10,0)+IF('5-man'!Z$62=$Q$282,25,0))</f>
        <v/>
      </c>
      <c r="AA276">
        <f>MIN(100,Z277+IF(AND(Z277&lt;100,Z278+1&gt;=IF(OR('5-man'!$F$45=TRUE,'5-man'!$F$45="TRUE",'5-man'!$F$45="Yes"),25,50)),10,0)+IF('5-man'!AA$62=$Q$282,25,0))</f>
        <v/>
      </c>
      <c r="AB276">
        <f>MIN(100,AA277+IF(AND(AA277&lt;100,AA278+1&gt;=IF(OR('5-man'!$F$45=TRUE,'5-man'!$F$45="TRUE",'5-man'!$F$45="Yes"),25,50)),10,0)+IF('5-man'!AB$62=$Q$282,25,0))</f>
        <v/>
      </c>
      <c r="AC276">
        <f>MIN(100,AB277+IF(AND(AB277&lt;100,AB278+1&gt;=IF(OR('5-man'!$F$45=TRUE,'5-man'!$F$45="TRUE",'5-man'!$F$45="Yes"),25,50)),10,0)+IF('5-man'!AC$62=$Q$282,25,0))</f>
        <v/>
      </c>
      <c r="AD276">
        <f>MIN(100,AC277+IF(AND(AC277&lt;100,AC278+1&gt;=IF(OR('5-man'!$F$45=TRUE,'5-man'!$F$45="TRUE",'5-man'!$F$45="Yes"),25,50)),10,0)+IF('5-man'!AD$62=$Q$282,25,0))</f>
        <v/>
      </c>
      <c r="AE276">
        <f>MIN(100,AD277+IF(AND(AD277&lt;100,AD278+1&gt;=IF(OR('5-man'!$F$45=TRUE,'5-man'!$F$45="TRUE",'5-man'!$F$45="Yes"),25,50)),10,0)+IF('5-man'!AE$62=$Q$282,25,0))</f>
        <v/>
      </c>
      <c r="AF276">
        <f>MIN(100,AE277+IF(AND(AE277&lt;100,AE278+1&gt;=IF(OR('5-man'!$F$45=TRUE,'5-man'!$F$45="TRUE",'5-man'!$F$45="Yes"),25,50)),10,0)+IF('5-man'!AF$62=$Q$282,25,0))</f>
        <v/>
      </c>
      <c r="AG276">
        <f>MIN(100,AF277+IF(AND(AF277&lt;100,AF278+1&gt;=IF(OR('5-man'!$F$45=TRUE,'5-man'!$F$45="TRUE",'5-man'!$F$45="Yes"),25,50)),10,0)+IF('5-man'!AG$62=$Q$282,25,0))</f>
        <v/>
      </c>
      <c r="AH276">
        <f>MIN(100,AG277+IF(AND(AG277&lt;100,AG278+1&gt;=IF(OR('5-man'!$F$45=TRUE,'5-man'!$F$45="TRUE",'5-man'!$F$45="Yes"),25,50)),10,0)+IF('5-man'!AH$62=$Q$282,25,0))</f>
        <v/>
      </c>
      <c r="AI276">
        <f>MIN(100,AH277+IF(AND(AH277&lt;100,AH278+1&gt;=IF(OR('5-man'!$F$45=TRUE,'5-man'!$F$45="TRUE",'5-man'!$F$45="Yes"),25,50)),10,0)+IF('5-man'!AI$62=$Q$282,25,0))</f>
        <v/>
      </c>
      <c r="AJ276">
        <f>MIN(100,AI277+IF(AND(AI277&lt;100,AI278+1&gt;=IF(OR('5-man'!$F$45=TRUE,'5-man'!$F$45="TRUE",'5-man'!$F$45="Yes"),25,50)),10,0)+IF('5-man'!AJ$62=$Q$282,25,0))</f>
        <v/>
      </c>
      <c r="AK276">
        <f>MIN(100,AJ277+IF(AND(AJ277&lt;100,AJ278+1&gt;=IF(OR('5-man'!$F$45=TRUE,'5-man'!$F$45="TRUE",'5-man'!$F$45="Yes"),25,50)),10,0)+IF('5-man'!AK$62=$Q$282,25,0))</f>
        <v/>
      </c>
      <c r="AL276">
        <f>MIN(100,AK277+IF(AND(AK277&lt;100,AK278+1&gt;=IF(OR('5-man'!$F$45=TRUE,'5-man'!$F$45="TRUE",'5-man'!$F$45="Yes"),25,50)),10,0)+IF('5-man'!AL$62=$Q$282,25,0))</f>
        <v/>
      </c>
      <c r="AM276">
        <f>MIN(100,AL277+IF(AND(AL277&lt;100,AL278+1&gt;=IF(OR('5-man'!$F$45=TRUE,'5-man'!$F$45="TRUE",'5-man'!$F$45="Yes"),25,50)),10,0)+IF('5-man'!AM$62=$Q$282,25,0))</f>
        <v/>
      </c>
      <c r="AN276">
        <f>MIN(100,AM277+IF(AND(AM277&lt;100,AM278+1&gt;=IF(OR('5-man'!$F$45=TRUE,'5-man'!$F$45="TRUE",'5-man'!$F$45="Yes"),25,50)),10,0)+IF('5-man'!AN$62=$Q$282,25,0))</f>
        <v/>
      </c>
      <c r="AO276">
        <f>MIN(100,AN277+IF(AND(AN277&lt;100,AN278+1&gt;=IF(OR('5-man'!$F$45=TRUE,'5-man'!$F$45="TRUE",'5-man'!$F$45="Yes"),25,50)),10,0)+IF('5-man'!AO$62=$Q$282,25,0))</f>
        <v/>
      </c>
      <c r="AP276">
        <f>MIN(100,AO277+IF(AND(AO277&lt;100,AO278+1&gt;=IF(OR('5-man'!$F$45=TRUE,'5-man'!$F$45="TRUE",'5-man'!$F$45="Yes"),25,50)),10,0)+IF('5-man'!AP$62=$Q$282,25,0))</f>
        <v/>
      </c>
      <c r="AQ276">
        <f>MIN(100,AP277+IF(AND(AP277&lt;100,AP278+1&gt;=IF(OR('5-man'!$F$45=TRUE,'5-man'!$F$45="TRUE",'5-man'!$F$45="Yes"),25,50)),10,0)+IF('5-man'!AQ$62=$Q$282,25,0))</f>
        <v/>
      </c>
      <c r="AR276">
        <f>MIN(100,AQ277+IF(AND(AQ277&lt;100,AQ278+1&gt;=IF(OR('5-man'!$F$45=TRUE,'5-man'!$F$45="TRUE",'5-man'!$F$45="Yes"),25,50)),10,0)+IF('5-man'!AR$62=$Q$282,25,0))</f>
        <v/>
      </c>
      <c r="AS276">
        <f>MIN(100,AR277+IF(AND(AR277&lt;100,AR278+1&gt;=IF(OR('5-man'!$F$45=TRUE,'5-man'!$F$45="TRUE",'5-man'!$F$45="Yes"),25,50)),10,0)+IF('5-man'!AS$62=$Q$282,25,0))</f>
        <v/>
      </c>
      <c r="AT276">
        <f>MIN(100,AS277+IF(AND(AS277&lt;100,AS278+1&gt;=IF(OR('5-man'!$F$45=TRUE,'5-man'!$F$45="TRUE",'5-man'!$F$45="Yes"),25,50)),10,0)+IF('5-man'!AT$62=$Q$282,25,0))</f>
        <v/>
      </c>
      <c r="AU276">
        <f>MIN(100,AT277+IF(AND(AT277&lt;100,AT278+1&gt;=IF(OR('5-man'!$F$45=TRUE,'5-man'!$F$45="TRUE",'5-man'!$F$45="Yes"),25,50)),10,0)+IF('5-man'!AU$62=$Q$282,25,0))</f>
        <v/>
      </c>
      <c r="AV276">
        <f>MIN(100,AU277+IF(AND(AU277&lt;100,AU278+1&gt;=IF(OR('5-man'!$F$45=TRUE,'5-man'!$F$45="TRUE",'5-man'!$F$45="Yes"),25,50)),10,0)+IF('5-man'!AV$62=$Q$282,25,0))</f>
        <v/>
      </c>
      <c r="AW276">
        <f>MIN(100,AV277+IF(AND(AV277&lt;100,AV278+1&gt;=IF(OR('5-man'!$F$45=TRUE,'5-man'!$F$45="TRUE",'5-man'!$F$45="Yes"),25,50)),10,0)+IF('5-man'!AW$62=$Q$282,25,0))</f>
        <v/>
      </c>
      <c r="AX276">
        <f>MIN(100,AW277+IF(AND(AW277&lt;100,AW278+1&gt;=IF(OR('5-man'!$F$45=TRUE,'5-man'!$F$45="TRUE",'5-man'!$F$45="Yes"),25,50)),10,0)+IF('5-man'!AX$62=$Q$282,25,0))</f>
        <v/>
      </c>
      <c r="AY276">
        <f>MIN(100,AX277+IF(AND(AX277&lt;100,AX278+1&gt;=IF(OR('5-man'!$F$45=TRUE,'5-man'!$F$45="TRUE",'5-man'!$F$45="Yes"),25,50)),10,0)+IF('5-man'!AY$62=$Q$282,25,0))</f>
        <v/>
      </c>
      <c r="AZ276">
        <f>MIN(100,AY277+IF(AND(AY277&lt;100,AY278+1&gt;=IF(OR('5-man'!$F$45=TRUE,'5-man'!$F$45="TRUE",'5-man'!$F$45="Yes"),25,50)),10,0)+IF('5-man'!AZ$62=$Q$282,25,0))</f>
        <v/>
      </c>
      <c r="BA276">
        <f>MIN(100,AZ277+IF(AND(AZ277&lt;100,AZ278+1&gt;=IF(OR('5-man'!$F$45=TRUE,'5-man'!$F$45="TRUE",'5-man'!$F$45="Yes"),25,50)),10,0)+IF('5-man'!BA$62=$Q$282,25,0))</f>
        <v/>
      </c>
      <c r="BB276">
        <f>MIN(100,BA277+IF(AND(BA277&lt;100,BA278+1&gt;=IF(OR('5-man'!$F$45=TRUE,'5-man'!$F$45="TRUE",'5-man'!$F$45="Yes"),25,50)),10,0)+IF('5-man'!BB$62=$Q$282,25,0))</f>
        <v/>
      </c>
      <c r="BC276">
        <f>MIN(100,BB277+IF(AND(BB277&lt;100,BB278+1&gt;=IF(OR('5-man'!$F$45=TRUE,'5-man'!$F$45="TRUE",'5-man'!$F$45="Yes"),25,50)),10,0)+IF('5-man'!BC$62=$Q$282,25,0))</f>
        <v/>
      </c>
      <c r="BD276">
        <f>MIN(100,BC277+IF(AND(BC277&lt;100,BC278+1&gt;=IF(OR('5-man'!$F$45=TRUE,'5-man'!$F$45="TRUE",'5-man'!$F$45="Yes"),25,50)),10,0)+IF('5-man'!BD$62=$Q$282,25,0))</f>
        <v/>
      </c>
      <c r="BE276">
        <f>MIN(100,BD277+IF(AND(BD277&lt;100,BD278+1&gt;=IF(OR('5-man'!$F$45=TRUE,'5-man'!$F$45="TRUE",'5-man'!$F$45="Yes"),25,50)),10,0)+IF('5-man'!BE$62=$Q$282,25,0))</f>
        <v/>
      </c>
      <c r="BF276">
        <f>MIN(100,BE277+IF(AND(BE277&lt;100,BE278+1&gt;=IF(OR('5-man'!$F$45=TRUE,'5-man'!$F$45="TRUE",'5-man'!$F$45="Yes"),25,50)),10,0)+IF('5-man'!BF$62=$Q$282,25,0))</f>
        <v/>
      </c>
      <c r="BG276">
        <f>MIN(100,BF277+IF(AND(BF277&lt;100,BF278+1&gt;=IF(OR('5-man'!$F$45=TRUE,'5-man'!$F$45="TRUE",'5-man'!$F$45="Yes"),25,50)),10,0)+IF('5-man'!BG$62=$Q$282,25,0))</f>
        <v/>
      </c>
      <c r="BH276">
        <f>MIN(100,BG277+IF(AND(BG277&lt;100,BG278+1&gt;=IF(OR('5-man'!$F$45=TRUE,'5-man'!$F$45="TRUE",'5-man'!$F$45="Yes"),25,50)),10,0)+IF('5-man'!BH$62=$Q$282,25,0))</f>
        <v/>
      </c>
      <c r="BI276">
        <f>MIN(100,BH277+IF(AND(BH277&lt;100,BH278+1&gt;=IF(OR('5-man'!$F$45=TRUE,'5-man'!$F$45="TRUE",'5-man'!$F$45="Yes"),25,50)),10,0)+IF('5-man'!BI$62=$Q$282,25,0))</f>
        <v/>
      </c>
      <c r="BJ276">
        <f>MIN(100,BI277+IF(AND(BI277&lt;100,BI278+1&gt;=IF(OR('5-man'!$F$45=TRUE,'5-man'!$F$45="TRUE",'5-man'!$F$45="Yes"),25,50)),10,0)+IF('5-man'!BJ$62=$Q$282,25,0))</f>
        <v/>
      </c>
      <c r="BK276">
        <f>MIN(100,BJ277+IF(AND(BJ277&lt;100,BJ278+1&gt;=IF(OR('5-man'!$F$45=TRUE,'5-man'!$F$45="TRUE",'5-man'!$F$45="Yes"),25,50)),10,0)+IF('5-man'!BK$62=$Q$282,25,0))</f>
        <v/>
      </c>
      <c r="BL276">
        <f>MIN(100,BK277+IF(AND(BK277&lt;100,BK278+1&gt;=IF(OR('5-man'!$F$45=TRUE,'5-man'!$F$45="TRUE",'5-man'!$F$45="Yes"),25,50)),10,0)+IF('5-man'!BL$62=$Q$282,25,0))</f>
        <v/>
      </c>
      <c r="BM276">
        <f>MIN(100,BL277+IF(AND(BL277&lt;100,BL278+1&gt;=IF(OR('5-man'!$F$45=TRUE,'5-man'!$F$45="TRUE",'5-man'!$F$45="Yes"),25,50)),10,0)+IF('5-man'!BM$62=$Q$282,25,0))</f>
        <v/>
      </c>
      <c r="BN276">
        <f>MIN(100,BM277+IF(AND(BM277&lt;100,BM278+1&gt;=IF(OR('5-man'!$F$45=TRUE,'5-man'!$F$45="TRUE",'5-man'!$F$45="Yes"),25,50)),10,0)+IF('5-man'!BN$62=$Q$282,25,0))</f>
        <v/>
      </c>
      <c r="BO276">
        <f>MIN(100,BN277+IF(AND(BN277&lt;100,BN278+1&gt;=IF(OR('5-man'!$F$45=TRUE,'5-man'!$F$45="TRUE",'5-man'!$F$45="Yes"),25,50)),10,0)+IF('5-man'!BO$62=$Q$282,25,0))</f>
        <v/>
      </c>
      <c r="BP276">
        <f>MIN(100,BO277+IF(AND(BO277&lt;100,BO278+1&gt;=IF(OR('5-man'!$F$45=TRUE,'5-man'!$F$45="TRUE",'5-man'!$F$45="Yes"),25,50)),10,0)+IF('5-man'!BP$62=$Q$282,25,0))</f>
        <v/>
      </c>
      <c r="BQ276">
        <f>MIN(100,BP277+IF(AND(BP277&lt;100,BP278+1&gt;=IF(OR('5-man'!$F$45=TRUE,'5-man'!$F$45="TRUE",'5-man'!$F$45="Yes"),25,50)),10,0)+IF('5-man'!BQ$62=$Q$282,25,0))</f>
        <v/>
      </c>
      <c r="BR276">
        <f>MIN(100,BQ277+IF(AND(BQ277&lt;100,BQ278+1&gt;=IF(OR('5-man'!$F$45=TRUE,'5-man'!$F$45="TRUE",'5-man'!$F$45="Yes"),25,50)),10,0)+IF('5-man'!BR$62=$Q$282,25,0))</f>
        <v/>
      </c>
      <c r="BS276">
        <f>MIN(100,BR277+IF(AND(BR277&lt;100,BR278+1&gt;=IF(OR('5-man'!$F$45=TRUE,'5-man'!$F$45="TRUE",'5-man'!$F$45="Yes"),25,50)),10,0)+IF('5-man'!BS$62=$Q$282,25,0))</f>
        <v/>
      </c>
      <c r="BT276">
        <f>MIN(100,BS277+IF(AND(BS277&lt;100,BS278+1&gt;=IF(OR('5-man'!$F$45=TRUE,'5-man'!$F$45="TRUE",'5-man'!$F$45="Yes"),25,50)),10,0)+IF('5-man'!BT$62=$Q$282,25,0))</f>
        <v/>
      </c>
      <c r="BU276">
        <f>MIN(100,BT277+IF(AND(BT277&lt;100,BT278+1&gt;=IF(OR('5-man'!$F$45=TRUE,'5-man'!$F$45="TRUE",'5-man'!$F$45="Yes"),25,50)),10,0)+IF('5-man'!BU$62=$Q$282,25,0))</f>
        <v/>
      </c>
      <c r="BV276">
        <f>MIN(100,BU277+IF(AND(BU277&lt;100,BU278+1&gt;=IF(OR('5-man'!$F$45=TRUE,'5-man'!$F$45="TRUE",'5-man'!$F$45="Yes"),25,50)),10,0)+IF('5-man'!BV$62=$Q$282,25,0))</f>
        <v/>
      </c>
      <c r="BW276">
        <f>MIN(100,BV277+IF(AND(BV277&lt;100,BV278+1&gt;=IF(OR('5-man'!$F$45=TRUE,'5-man'!$F$45="TRUE",'5-man'!$F$45="Yes"),25,50)),10,0)+IF('5-man'!BW$62=$Q$282,25,0))</f>
        <v/>
      </c>
      <c r="BX276">
        <f>MIN(100,BW277+IF(AND(BW277&lt;100,BW278+1&gt;=IF(OR('5-man'!$F$45=TRUE,'5-man'!$F$45="TRUE",'5-man'!$F$45="Yes"),25,50)),10,0)+IF('5-man'!BX$62=$Q$282,25,0))</f>
        <v/>
      </c>
      <c r="BY276">
        <f>MIN(100,BX277+IF(AND(BX277&lt;100,BX278+1&gt;=IF(OR('5-man'!$F$45=TRUE,'5-man'!$F$45="TRUE",'5-man'!$F$45="Yes"),25,50)),10,0)+IF('5-man'!BY$62=$Q$282,25,0))</f>
        <v/>
      </c>
      <c r="BZ276">
        <f>MIN(100,BY277+IF(AND(BY277&lt;100,BY278+1&gt;=IF(OR('5-man'!$F$45=TRUE,'5-man'!$F$45="TRUE",'5-man'!$F$45="Yes"),25,50)),10,0)+IF('5-man'!BZ$62=$Q$282,25,0))</f>
        <v/>
      </c>
      <c r="CA276">
        <f>MIN(100,BZ277+IF(AND(BZ277&lt;100,BZ278+1&gt;=IF(OR('5-man'!$F$45=TRUE,'5-man'!$F$45="TRUE",'5-man'!$F$45="Yes"),25,50)),10,0)+IF('5-man'!CA$62=$Q$282,25,0))</f>
        <v/>
      </c>
      <c r="CB276">
        <f>MIN(100,CA277+IF(AND(CA277&lt;100,CA278+1&gt;=IF(OR('5-man'!$F$45=TRUE,'5-man'!$F$45="TRUE",'5-man'!$F$45="Yes"),25,50)),10,0)+IF('5-man'!CB$62=$Q$282,25,0))</f>
        <v/>
      </c>
      <c r="CC276">
        <f>MIN(100,CB277+IF(AND(CB277&lt;100,CB278+1&gt;=IF(OR('5-man'!$F$45=TRUE,'5-man'!$F$45="TRUE",'5-man'!$F$45="Yes"),25,50)),10,0)+IF('5-man'!CC$62=$Q$282,25,0))</f>
        <v/>
      </c>
      <c r="CD276">
        <f>MIN(100,CC277+IF(AND(CC277&lt;100,CC278+1&gt;=IF(OR('5-man'!$F$45=TRUE,'5-man'!$F$45="TRUE",'5-man'!$F$45="Yes"),25,50)),10,0)+IF('5-man'!CD$62=$Q$282,25,0))</f>
        <v/>
      </c>
    </row>
    <row r="277">
      <c r="A277" t="inlineStr">
        <is>
          <t>P4 spec</t>
        </is>
      </c>
      <c r="B277">
        <f>IF('5-man'!$C$45="",100,'5-man'!$C$45)</f>
        <v/>
      </c>
      <c r="C277">
        <f>IF('5-man'!C$66="R",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5-man'!D$66="R",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5-man'!E$66="R",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5-man'!F$66="R",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5-man'!G$66="R",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5-man'!H$66="R",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5-man'!I$66="R",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5-man'!J$66="R",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5-man'!K$66="R",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5-man'!L$66="R",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5-man'!M$66="R",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5-man'!N$66="R",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5-man'!O$66="R",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5-man'!P$66="R",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5-man'!Q$66="R",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5-man'!R$66="R",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5-man'!S$66="R",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5-man'!T$66="R",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5-man'!U$66="R",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5-man'!V$66="R",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5-man'!W$66="R",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5-man'!X$66="R",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5-man'!Y$66="R",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5-man'!Z$66="R",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5-man'!AA$66="R",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5-man'!AB$66="R",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5-man'!AC$66="R",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5-man'!AD$66="R",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5-man'!AE$66="R",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5-man'!AF$66="R",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5-man'!AG$66="R",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5-man'!AH$66="R",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5-man'!AI$66="R",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5-man'!AJ$66="R",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5-man'!AK$66="R",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5-man'!AL$66="R",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5-man'!AM$66="R",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5-man'!AN$66="R",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5-man'!AO$66="R",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5-man'!AP$66="R",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5-man'!AQ$66="R",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5-man'!AR$66="R",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5-man'!AS$66="R",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5-man'!AT$66="R",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5-man'!AU$66="R",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5-man'!AV$66="R",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5-man'!AW$66="R",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5-man'!AX$66="R",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5-man'!AY$66="R",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5-man'!AZ$66="R",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5-man'!BA$66="R",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5-man'!BB$66="R",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5-man'!BC$66="R",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5-man'!BD$66="R",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5-man'!BE$66="R",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5-man'!BF$66="R",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5-man'!BG$66="R",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5-man'!BH$66="R",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5-man'!BI$66="R",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5-man'!BJ$66="R",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5-man'!BK$66="R",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5-man'!BL$66="R",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5-man'!BM$66="R",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5-man'!BN$66="R",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5-man'!BO$66="R",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5-man'!BP$66="R",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5-man'!BQ$66="R",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5-man'!BR$66="R",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5-man'!BS$66="R",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5-man'!BT$66="R",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5-man'!BU$66="R",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5-man'!BV$66="R",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5-man'!BW$66="R",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5-man'!BX$66="R",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5-man'!BY$66="R",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5-man'!BZ$66="R",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5-man'!CA$66="R",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5-man'!CB$66="R",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5-man'!CC$66="R",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5-man'!CD$66="R",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IF('5-man'!C$66="R",0,IF(B277&gt;=100,0,IF(B278+1&gt;=IF(OR('5-man'!$F$45=TRUE,'5-man'!$F$45="TRUE",'5-man'!$F$45="Yes"),25,50),0,B278+1)))</f>
        <v/>
      </c>
      <c r="D278">
        <f>IF('5-man'!D$66="R",0,IF(C277&gt;=100,0,IF(C278+1&gt;=IF(OR('5-man'!$F$45=TRUE,'5-man'!$F$45="TRUE",'5-man'!$F$45="Yes"),25,50),0,C278+1)))</f>
        <v/>
      </c>
      <c r="E278">
        <f>IF('5-man'!E$66="R",0,IF(D277&gt;=100,0,IF(D278+1&gt;=IF(OR('5-man'!$F$45=TRUE,'5-man'!$F$45="TRUE",'5-man'!$F$45="Yes"),25,50),0,D278+1)))</f>
        <v/>
      </c>
      <c r="F278">
        <f>IF('5-man'!F$66="R",0,IF(E277&gt;=100,0,IF(E278+1&gt;=IF(OR('5-man'!$F$45=TRUE,'5-man'!$F$45="TRUE",'5-man'!$F$45="Yes"),25,50),0,E278+1)))</f>
        <v/>
      </c>
      <c r="G278">
        <f>IF('5-man'!G$66="R",0,IF(F277&gt;=100,0,IF(F278+1&gt;=IF(OR('5-man'!$F$45=TRUE,'5-man'!$F$45="TRUE",'5-man'!$F$45="Yes"),25,50),0,F278+1)))</f>
        <v/>
      </c>
      <c r="H278">
        <f>IF('5-man'!H$66="R",0,IF(G277&gt;=100,0,IF(G278+1&gt;=IF(OR('5-man'!$F$45=TRUE,'5-man'!$F$45="TRUE",'5-man'!$F$45="Yes"),25,50),0,G278+1)))</f>
        <v/>
      </c>
      <c r="I278">
        <f>IF('5-man'!I$66="R",0,IF(H277&gt;=100,0,IF(H278+1&gt;=IF(OR('5-man'!$F$45=TRUE,'5-man'!$F$45="TRUE",'5-man'!$F$45="Yes"),25,50),0,H278+1)))</f>
        <v/>
      </c>
      <c r="J278">
        <f>IF('5-man'!J$66="R",0,IF(I277&gt;=100,0,IF(I278+1&gt;=IF(OR('5-man'!$F$45=TRUE,'5-man'!$F$45="TRUE",'5-man'!$F$45="Yes"),25,50),0,I278+1)))</f>
        <v/>
      </c>
      <c r="K278">
        <f>IF('5-man'!K$66="R",0,IF(J277&gt;=100,0,IF(J278+1&gt;=IF(OR('5-man'!$F$45=TRUE,'5-man'!$F$45="TRUE",'5-man'!$F$45="Yes"),25,50),0,J278+1)))</f>
        <v/>
      </c>
      <c r="L278">
        <f>IF('5-man'!L$66="R",0,IF(K277&gt;=100,0,IF(K278+1&gt;=IF(OR('5-man'!$F$45=TRUE,'5-man'!$F$45="TRUE",'5-man'!$F$45="Yes"),25,50),0,K278+1)))</f>
        <v/>
      </c>
      <c r="M278">
        <f>IF('5-man'!M$66="R",0,IF(L277&gt;=100,0,IF(L278+1&gt;=IF(OR('5-man'!$F$45=TRUE,'5-man'!$F$45="TRUE",'5-man'!$F$45="Yes"),25,50),0,L278+1)))</f>
        <v/>
      </c>
      <c r="N278">
        <f>IF('5-man'!N$66="R",0,IF(M277&gt;=100,0,IF(M278+1&gt;=IF(OR('5-man'!$F$45=TRUE,'5-man'!$F$45="TRUE",'5-man'!$F$45="Yes"),25,50),0,M278+1)))</f>
        <v/>
      </c>
      <c r="O278">
        <f>IF('5-man'!O$66="R",0,IF(N277&gt;=100,0,IF(N278+1&gt;=IF(OR('5-man'!$F$45=TRUE,'5-man'!$F$45="TRUE",'5-man'!$F$45="Yes"),25,50),0,N278+1)))</f>
        <v/>
      </c>
      <c r="P278">
        <f>IF('5-man'!P$66="R",0,IF(O277&gt;=100,0,IF(O278+1&gt;=IF(OR('5-man'!$F$45=TRUE,'5-man'!$F$45="TRUE",'5-man'!$F$45="Yes"),25,50),0,O278+1)))</f>
        <v/>
      </c>
      <c r="Q278">
        <f>IF('5-man'!Q$66="R",0,IF(P277&gt;=100,0,IF(P278+1&gt;=IF(OR('5-man'!$F$45=TRUE,'5-man'!$F$45="TRUE",'5-man'!$F$45="Yes"),25,50),0,P278+1)))</f>
        <v/>
      </c>
      <c r="R278">
        <f>IF('5-man'!R$66="R",0,IF(Q277&gt;=100,0,IF(Q278+1&gt;=IF(OR('5-man'!$F$45=TRUE,'5-man'!$F$45="TRUE",'5-man'!$F$45="Yes"),25,50),0,Q278+1)))</f>
        <v/>
      </c>
      <c r="S278">
        <f>IF('5-man'!S$66="R",0,IF(R277&gt;=100,0,IF(R278+1&gt;=IF(OR('5-man'!$F$45=TRUE,'5-man'!$F$45="TRUE",'5-man'!$F$45="Yes"),25,50),0,R278+1)))</f>
        <v/>
      </c>
      <c r="T278">
        <f>IF('5-man'!T$66="R",0,IF(S277&gt;=100,0,IF(S278+1&gt;=IF(OR('5-man'!$F$45=TRUE,'5-man'!$F$45="TRUE",'5-man'!$F$45="Yes"),25,50),0,S278+1)))</f>
        <v/>
      </c>
      <c r="U278">
        <f>IF('5-man'!U$66="R",0,IF(T277&gt;=100,0,IF(T278+1&gt;=IF(OR('5-man'!$F$45=TRUE,'5-man'!$F$45="TRUE",'5-man'!$F$45="Yes"),25,50),0,T278+1)))</f>
        <v/>
      </c>
      <c r="V278">
        <f>IF('5-man'!V$66="R",0,IF(U277&gt;=100,0,IF(U278+1&gt;=IF(OR('5-man'!$F$45=TRUE,'5-man'!$F$45="TRUE",'5-man'!$F$45="Yes"),25,50),0,U278+1)))</f>
        <v/>
      </c>
      <c r="W278">
        <f>IF('5-man'!W$66="R",0,IF(V277&gt;=100,0,IF(V278+1&gt;=IF(OR('5-man'!$F$45=TRUE,'5-man'!$F$45="TRUE",'5-man'!$F$45="Yes"),25,50),0,V278+1)))</f>
        <v/>
      </c>
      <c r="X278">
        <f>IF('5-man'!X$66="R",0,IF(W277&gt;=100,0,IF(W278+1&gt;=IF(OR('5-man'!$F$45=TRUE,'5-man'!$F$45="TRUE",'5-man'!$F$45="Yes"),25,50),0,W278+1)))</f>
        <v/>
      </c>
      <c r="Y278">
        <f>IF('5-man'!Y$66="R",0,IF(X277&gt;=100,0,IF(X278+1&gt;=IF(OR('5-man'!$F$45=TRUE,'5-man'!$F$45="TRUE",'5-man'!$F$45="Yes"),25,50),0,X278+1)))</f>
        <v/>
      </c>
      <c r="Z278">
        <f>IF('5-man'!Z$66="R",0,IF(Y277&gt;=100,0,IF(Y278+1&gt;=IF(OR('5-man'!$F$45=TRUE,'5-man'!$F$45="TRUE",'5-man'!$F$45="Yes"),25,50),0,Y278+1)))</f>
        <v/>
      </c>
      <c r="AA278">
        <f>IF('5-man'!AA$66="R",0,IF(Z277&gt;=100,0,IF(Z278+1&gt;=IF(OR('5-man'!$F$45=TRUE,'5-man'!$F$45="TRUE",'5-man'!$F$45="Yes"),25,50),0,Z278+1)))</f>
        <v/>
      </c>
      <c r="AB278">
        <f>IF('5-man'!AB$66="R",0,IF(AA277&gt;=100,0,IF(AA278+1&gt;=IF(OR('5-man'!$F$45=TRUE,'5-man'!$F$45="TRUE",'5-man'!$F$45="Yes"),25,50),0,AA278+1)))</f>
        <v/>
      </c>
      <c r="AC278">
        <f>IF('5-man'!AC$66="R",0,IF(AB277&gt;=100,0,IF(AB278+1&gt;=IF(OR('5-man'!$F$45=TRUE,'5-man'!$F$45="TRUE",'5-man'!$F$45="Yes"),25,50),0,AB278+1)))</f>
        <v/>
      </c>
      <c r="AD278">
        <f>IF('5-man'!AD$66="R",0,IF(AC277&gt;=100,0,IF(AC278+1&gt;=IF(OR('5-man'!$F$45=TRUE,'5-man'!$F$45="TRUE",'5-man'!$F$45="Yes"),25,50),0,AC278+1)))</f>
        <v/>
      </c>
      <c r="AE278">
        <f>IF('5-man'!AE$66="R",0,IF(AD277&gt;=100,0,IF(AD278+1&gt;=IF(OR('5-man'!$F$45=TRUE,'5-man'!$F$45="TRUE",'5-man'!$F$45="Yes"),25,50),0,AD278+1)))</f>
        <v/>
      </c>
      <c r="AF278">
        <f>IF('5-man'!AF$66="R",0,IF(AE277&gt;=100,0,IF(AE278+1&gt;=IF(OR('5-man'!$F$45=TRUE,'5-man'!$F$45="TRUE",'5-man'!$F$45="Yes"),25,50),0,AE278+1)))</f>
        <v/>
      </c>
      <c r="AG278">
        <f>IF('5-man'!AG$66="R",0,IF(AF277&gt;=100,0,IF(AF278+1&gt;=IF(OR('5-man'!$F$45=TRUE,'5-man'!$F$45="TRUE",'5-man'!$F$45="Yes"),25,50),0,AF278+1)))</f>
        <v/>
      </c>
      <c r="AH278">
        <f>IF('5-man'!AH$66="R",0,IF(AG277&gt;=100,0,IF(AG278+1&gt;=IF(OR('5-man'!$F$45=TRUE,'5-man'!$F$45="TRUE",'5-man'!$F$45="Yes"),25,50),0,AG278+1)))</f>
        <v/>
      </c>
      <c r="AI278">
        <f>IF('5-man'!AI$66="R",0,IF(AH277&gt;=100,0,IF(AH278+1&gt;=IF(OR('5-man'!$F$45=TRUE,'5-man'!$F$45="TRUE",'5-man'!$F$45="Yes"),25,50),0,AH278+1)))</f>
        <v/>
      </c>
      <c r="AJ278">
        <f>IF('5-man'!AJ$66="R",0,IF(AI277&gt;=100,0,IF(AI278+1&gt;=IF(OR('5-man'!$F$45=TRUE,'5-man'!$F$45="TRUE",'5-man'!$F$45="Yes"),25,50),0,AI278+1)))</f>
        <v/>
      </c>
      <c r="AK278">
        <f>IF('5-man'!AK$66="R",0,IF(AJ277&gt;=100,0,IF(AJ278+1&gt;=IF(OR('5-man'!$F$45=TRUE,'5-man'!$F$45="TRUE",'5-man'!$F$45="Yes"),25,50),0,AJ278+1)))</f>
        <v/>
      </c>
      <c r="AL278">
        <f>IF('5-man'!AL$66="R",0,IF(AK277&gt;=100,0,IF(AK278+1&gt;=IF(OR('5-man'!$F$45=TRUE,'5-man'!$F$45="TRUE",'5-man'!$F$45="Yes"),25,50),0,AK278+1)))</f>
        <v/>
      </c>
      <c r="AM278">
        <f>IF('5-man'!AM$66="R",0,IF(AL277&gt;=100,0,IF(AL278+1&gt;=IF(OR('5-man'!$F$45=TRUE,'5-man'!$F$45="TRUE",'5-man'!$F$45="Yes"),25,50),0,AL278+1)))</f>
        <v/>
      </c>
      <c r="AN278">
        <f>IF('5-man'!AN$66="R",0,IF(AM277&gt;=100,0,IF(AM278+1&gt;=IF(OR('5-man'!$F$45=TRUE,'5-man'!$F$45="TRUE",'5-man'!$F$45="Yes"),25,50),0,AM278+1)))</f>
        <v/>
      </c>
      <c r="AO278">
        <f>IF('5-man'!AO$66="R",0,IF(AN277&gt;=100,0,IF(AN278+1&gt;=IF(OR('5-man'!$F$45=TRUE,'5-man'!$F$45="TRUE",'5-man'!$F$45="Yes"),25,50),0,AN278+1)))</f>
        <v/>
      </c>
      <c r="AP278">
        <f>IF('5-man'!AP$66="R",0,IF(AO277&gt;=100,0,IF(AO278+1&gt;=IF(OR('5-man'!$F$45=TRUE,'5-man'!$F$45="TRUE",'5-man'!$F$45="Yes"),25,50),0,AO278+1)))</f>
        <v/>
      </c>
      <c r="AQ278">
        <f>IF('5-man'!AQ$66="R",0,IF(AP277&gt;=100,0,IF(AP278+1&gt;=IF(OR('5-man'!$F$45=TRUE,'5-man'!$F$45="TRUE",'5-man'!$F$45="Yes"),25,50),0,AP278+1)))</f>
        <v/>
      </c>
      <c r="AR278">
        <f>IF('5-man'!AR$66="R",0,IF(AQ277&gt;=100,0,IF(AQ278+1&gt;=IF(OR('5-man'!$F$45=TRUE,'5-man'!$F$45="TRUE",'5-man'!$F$45="Yes"),25,50),0,AQ278+1)))</f>
        <v/>
      </c>
      <c r="AS278">
        <f>IF('5-man'!AS$66="R",0,IF(AR277&gt;=100,0,IF(AR278+1&gt;=IF(OR('5-man'!$F$45=TRUE,'5-man'!$F$45="TRUE",'5-man'!$F$45="Yes"),25,50),0,AR278+1)))</f>
        <v/>
      </c>
      <c r="AT278">
        <f>IF('5-man'!AT$66="R",0,IF(AS277&gt;=100,0,IF(AS278+1&gt;=IF(OR('5-man'!$F$45=TRUE,'5-man'!$F$45="TRUE",'5-man'!$F$45="Yes"),25,50),0,AS278+1)))</f>
        <v/>
      </c>
      <c r="AU278">
        <f>IF('5-man'!AU$66="R",0,IF(AT277&gt;=100,0,IF(AT278+1&gt;=IF(OR('5-man'!$F$45=TRUE,'5-man'!$F$45="TRUE",'5-man'!$F$45="Yes"),25,50),0,AT278+1)))</f>
        <v/>
      </c>
      <c r="AV278">
        <f>IF('5-man'!AV$66="R",0,IF(AU277&gt;=100,0,IF(AU278+1&gt;=IF(OR('5-man'!$F$45=TRUE,'5-man'!$F$45="TRUE",'5-man'!$F$45="Yes"),25,50),0,AU278+1)))</f>
        <v/>
      </c>
      <c r="AW278">
        <f>IF('5-man'!AW$66="R",0,IF(AV277&gt;=100,0,IF(AV278+1&gt;=IF(OR('5-man'!$F$45=TRUE,'5-man'!$F$45="TRUE",'5-man'!$F$45="Yes"),25,50),0,AV278+1)))</f>
        <v/>
      </c>
      <c r="AX278">
        <f>IF('5-man'!AX$66="R",0,IF(AW277&gt;=100,0,IF(AW278+1&gt;=IF(OR('5-man'!$F$45=TRUE,'5-man'!$F$45="TRUE",'5-man'!$F$45="Yes"),25,50),0,AW278+1)))</f>
        <v/>
      </c>
      <c r="AY278">
        <f>IF('5-man'!AY$66="R",0,IF(AX277&gt;=100,0,IF(AX278+1&gt;=IF(OR('5-man'!$F$45=TRUE,'5-man'!$F$45="TRUE",'5-man'!$F$45="Yes"),25,50),0,AX278+1)))</f>
        <v/>
      </c>
      <c r="AZ278">
        <f>IF('5-man'!AZ$66="R",0,IF(AY277&gt;=100,0,IF(AY278+1&gt;=IF(OR('5-man'!$F$45=TRUE,'5-man'!$F$45="TRUE",'5-man'!$F$45="Yes"),25,50),0,AY278+1)))</f>
        <v/>
      </c>
      <c r="BA278">
        <f>IF('5-man'!BA$66="R",0,IF(AZ277&gt;=100,0,IF(AZ278+1&gt;=IF(OR('5-man'!$F$45=TRUE,'5-man'!$F$45="TRUE",'5-man'!$F$45="Yes"),25,50),0,AZ278+1)))</f>
        <v/>
      </c>
      <c r="BB278">
        <f>IF('5-man'!BB$66="R",0,IF(BA277&gt;=100,0,IF(BA278+1&gt;=IF(OR('5-man'!$F$45=TRUE,'5-man'!$F$45="TRUE",'5-man'!$F$45="Yes"),25,50),0,BA278+1)))</f>
        <v/>
      </c>
      <c r="BC278">
        <f>IF('5-man'!BC$66="R",0,IF(BB277&gt;=100,0,IF(BB278+1&gt;=IF(OR('5-man'!$F$45=TRUE,'5-man'!$F$45="TRUE",'5-man'!$F$45="Yes"),25,50),0,BB278+1)))</f>
        <v/>
      </c>
      <c r="BD278">
        <f>IF('5-man'!BD$66="R",0,IF(BC277&gt;=100,0,IF(BC278+1&gt;=IF(OR('5-man'!$F$45=TRUE,'5-man'!$F$45="TRUE",'5-man'!$F$45="Yes"),25,50),0,BC278+1)))</f>
        <v/>
      </c>
      <c r="BE278">
        <f>IF('5-man'!BE$66="R",0,IF(BD277&gt;=100,0,IF(BD278+1&gt;=IF(OR('5-man'!$F$45=TRUE,'5-man'!$F$45="TRUE",'5-man'!$F$45="Yes"),25,50),0,BD278+1)))</f>
        <v/>
      </c>
      <c r="BF278">
        <f>IF('5-man'!BF$66="R",0,IF(BE277&gt;=100,0,IF(BE278+1&gt;=IF(OR('5-man'!$F$45=TRUE,'5-man'!$F$45="TRUE",'5-man'!$F$45="Yes"),25,50),0,BE278+1)))</f>
        <v/>
      </c>
      <c r="BG278">
        <f>IF('5-man'!BG$66="R",0,IF(BF277&gt;=100,0,IF(BF278+1&gt;=IF(OR('5-man'!$F$45=TRUE,'5-man'!$F$45="TRUE",'5-man'!$F$45="Yes"),25,50),0,BF278+1)))</f>
        <v/>
      </c>
      <c r="BH278">
        <f>IF('5-man'!BH$66="R",0,IF(BG277&gt;=100,0,IF(BG278+1&gt;=IF(OR('5-man'!$F$45=TRUE,'5-man'!$F$45="TRUE",'5-man'!$F$45="Yes"),25,50),0,BG278+1)))</f>
        <v/>
      </c>
      <c r="BI278">
        <f>IF('5-man'!BI$66="R",0,IF(BH277&gt;=100,0,IF(BH278+1&gt;=IF(OR('5-man'!$F$45=TRUE,'5-man'!$F$45="TRUE",'5-man'!$F$45="Yes"),25,50),0,BH278+1)))</f>
        <v/>
      </c>
      <c r="BJ278">
        <f>IF('5-man'!BJ$66="R",0,IF(BI277&gt;=100,0,IF(BI278+1&gt;=IF(OR('5-man'!$F$45=TRUE,'5-man'!$F$45="TRUE",'5-man'!$F$45="Yes"),25,50),0,BI278+1)))</f>
        <v/>
      </c>
      <c r="BK278">
        <f>IF('5-man'!BK$66="R",0,IF(BJ277&gt;=100,0,IF(BJ278+1&gt;=IF(OR('5-man'!$F$45=TRUE,'5-man'!$F$45="TRUE",'5-man'!$F$45="Yes"),25,50),0,BJ278+1)))</f>
        <v/>
      </c>
      <c r="BL278">
        <f>IF('5-man'!BL$66="R",0,IF(BK277&gt;=100,0,IF(BK278+1&gt;=IF(OR('5-man'!$F$45=TRUE,'5-man'!$F$45="TRUE",'5-man'!$F$45="Yes"),25,50),0,BK278+1)))</f>
        <v/>
      </c>
      <c r="BM278">
        <f>IF('5-man'!BM$66="R",0,IF(BL277&gt;=100,0,IF(BL278+1&gt;=IF(OR('5-man'!$F$45=TRUE,'5-man'!$F$45="TRUE",'5-man'!$F$45="Yes"),25,50),0,BL278+1)))</f>
        <v/>
      </c>
      <c r="BN278">
        <f>IF('5-man'!BN$66="R",0,IF(BM277&gt;=100,0,IF(BM278+1&gt;=IF(OR('5-man'!$F$45=TRUE,'5-man'!$F$45="TRUE",'5-man'!$F$45="Yes"),25,50),0,BM278+1)))</f>
        <v/>
      </c>
      <c r="BO278">
        <f>IF('5-man'!BO$66="R",0,IF(BN277&gt;=100,0,IF(BN278+1&gt;=IF(OR('5-man'!$F$45=TRUE,'5-man'!$F$45="TRUE",'5-man'!$F$45="Yes"),25,50),0,BN278+1)))</f>
        <v/>
      </c>
      <c r="BP278">
        <f>IF('5-man'!BP$66="R",0,IF(BO277&gt;=100,0,IF(BO278+1&gt;=IF(OR('5-man'!$F$45=TRUE,'5-man'!$F$45="TRUE",'5-man'!$F$45="Yes"),25,50),0,BO278+1)))</f>
        <v/>
      </c>
      <c r="BQ278">
        <f>IF('5-man'!BQ$66="R",0,IF(BP277&gt;=100,0,IF(BP278+1&gt;=IF(OR('5-man'!$F$45=TRUE,'5-man'!$F$45="TRUE",'5-man'!$F$45="Yes"),25,50),0,BP278+1)))</f>
        <v/>
      </c>
      <c r="BR278">
        <f>IF('5-man'!BR$66="R",0,IF(BQ277&gt;=100,0,IF(BQ278+1&gt;=IF(OR('5-man'!$F$45=TRUE,'5-man'!$F$45="TRUE",'5-man'!$F$45="Yes"),25,50),0,BQ278+1)))</f>
        <v/>
      </c>
      <c r="BS278">
        <f>IF('5-man'!BS$66="R",0,IF(BR277&gt;=100,0,IF(BR278+1&gt;=IF(OR('5-man'!$F$45=TRUE,'5-man'!$F$45="TRUE",'5-man'!$F$45="Yes"),25,50),0,BR278+1)))</f>
        <v/>
      </c>
      <c r="BT278">
        <f>IF('5-man'!BT$66="R",0,IF(BS277&gt;=100,0,IF(BS278+1&gt;=IF(OR('5-man'!$F$45=TRUE,'5-man'!$F$45="TRUE",'5-man'!$F$45="Yes"),25,50),0,BS278+1)))</f>
        <v/>
      </c>
      <c r="BU278">
        <f>IF('5-man'!BU$66="R",0,IF(BT277&gt;=100,0,IF(BT278+1&gt;=IF(OR('5-man'!$F$45=TRUE,'5-man'!$F$45="TRUE",'5-man'!$F$45="Yes"),25,50),0,BT278+1)))</f>
        <v/>
      </c>
      <c r="BV278">
        <f>IF('5-man'!BV$66="R",0,IF(BU277&gt;=100,0,IF(BU278+1&gt;=IF(OR('5-man'!$F$45=TRUE,'5-man'!$F$45="TRUE",'5-man'!$F$45="Yes"),25,50),0,BU278+1)))</f>
        <v/>
      </c>
      <c r="BW278">
        <f>IF('5-man'!BW$66="R",0,IF(BV277&gt;=100,0,IF(BV278+1&gt;=IF(OR('5-man'!$F$45=TRUE,'5-man'!$F$45="TRUE",'5-man'!$F$45="Yes"),25,50),0,BV278+1)))</f>
        <v/>
      </c>
      <c r="BX278">
        <f>IF('5-man'!BX$66="R",0,IF(BW277&gt;=100,0,IF(BW278+1&gt;=IF(OR('5-man'!$F$45=TRUE,'5-man'!$F$45="TRUE",'5-man'!$F$45="Yes"),25,50),0,BW278+1)))</f>
        <v/>
      </c>
      <c r="BY278">
        <f>IF('5-man'!BY$66="R",0,IF(BX277&gt;=100,0,IF(BX278+1&gt;=IF(OR('5-man'!$F$45=TRUE,'5-man'!$F$45="TRUE",'5-man'!$F$45="Yes"),25,50),0,BX278+1)))</f>
        <v/>
      </c>
      <c r="BZ278">
        <f>IF('5-man'!BZ$66="R",0,IF(BY277&gt;=100,0,IF(BY278+1&gt;=IF(OR('5-man'!$F$45=TRUE,'5-man'!$F$45="TRUE",'5-man'!$F$45="Yes"),25,50),0,BY278+1)))</f>
        <v/>
      </c>
      <c r="CA278">
        <f>IF('5-man'!CA$66="R",0,IF(BZ277&gt;=100,0,IF(BZ278+1&gt;=IF(OR('5-man'!$F$45=TRUE,'5-man'!$F$45="TRUE",'5-man'!$F$45="Yes"),25,50),0,BZ278+1)))</f>
        <v/>
      </c>
      <c r="CB278">
        <f>IF('5-man'!CB$66="R",0,IF(CA277&gt;=100,0,IF(CA278+1&gt;=IF(OR('5-man'!$F$45=TRUE,'5-man'!$F$45="TRUE",'5-man'!$F$45="Yes"),25,50),0,CA278+1)))</f>
        <v/>
      </c>
      <c r="CC278">
        <f>IF('5-man'!CC$66="R",0,IF(CB277&gt;=100,0,IF(CB278+1&gt;=IF(OR('5-man'!$F$45=TRUE,'5-man'!$F$45="TRUE",'5-man'!$F$45="Yes"),25,50),0,CB278+1)))</f>
        <v/>
      </c>
      <c r="CD278">
        <f>IF('5-man'!CD$66="R",0,IF(CC277&gt;=100,0,IF(CC278+1&gt;=IF(OR('5-man'!$F$45=TRUE,'5-man'!$F$45="TRUE",'5-man'!$F$45="Yes"),25,50),0,CC278+1)))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row>
    <row r="283">
      <c r="A283" t="inlineStr">
        <is>
          <t>P4 act</t>
        </is>
      </c>
      <c r="C283">
        <f>IF(OR('5-man'!C$66="P",'5-man'!C$66="R",AND('5-man'!C$62&lt;=IF('5-man'!$BF$42="",999,'5-man'!$BF$42),OR('5-man'!C$66="D",LEFT('5-man'!C$66,3)="ST&gt;",OR(AND('5-man'!C$63="ST&gt;4",C252&gt;=100),AND('5-man'!C$64="ST&gt;4",C260&gt;=100),AND('5-man'!C$65="ST&gt;4",C268&gt;=100),AND('5-man'!C$67="ST&gt;4",C284&gt;=100))))),'5-man'!C$62,0)</f>
        <v/>
      </c>
      <c r="D283">
        <f>IF(OR('5-man'!D$66="P",'5-man'!D$66="R",AND('5-man'!D$62&lt;=IF('5-man'!$BF$42="",999,'5-man'!$BF$42),OR('5-man'!D$66="D",LEFT('5-man'!D$66,3)="ST&gt;",OR(AND('5-man'!D$63="ST&gt;4",D252&gt;=100),AND('5-man'!D$64="ST&gt;4",D260&gt;=100),AND('5-man'!D$65="ST&gt;4",D268&gt;=100),AND('5-man'!D$67="ST&gt;4",D284&gt;=100))))),'5-man'!D$62,0)</f>
        <v/>
      </c>
      <c r="E283">
        <f>IF(OR('5-man'!E$66="P",'5-man'!E$66="R",AND('5-man'!E$62&lt;=IF('5-man'!$BF$42="",999,'5-man'!$BF$42),OR('5-man'!E$66="D",LEFT('5-man'!E$66,3)="ST&gt;",OR(AND('5-man'!E$63="ST&gt;4",E252&gt;=100),AND('5-man'!E$64="ST&gt;4",E260&gt;=100),AND('5-man'!E$65="ST&gt;4",E268&gt;=100),AND('5-man'!E$67="ST&gt;4",E284&gt;=100))))),'5-man'!E$62,0)</f>
        <v/>
      </c>
      <c r="F283">
        <f>IF(OR('5-man'!F$66="P",'5-man'!F$66="R",AND('5-man'!F$62&lt;=IF('5-man'!$BF$42="",999,'5-man'!$BF$42),OR('5-man'!F$66="D",LEFT('5-man'!F$66,3)="ST&gt;",OR(AND('5-man'!F$63="ST&gt;4",F252&gt;=100),AND('5-man'!F$64="ST&gt;4",F260&gt;=100),AND('5-man'!F$65="ST&gt;4",F268&gt;=100),AND('5-man'!F$67="ST&gt;4",F284&gt;=100))))),'5-man'!F$62,0)</f>
        <v/>
      </c>
      <c r="G283">
        <f>IF(OR('5-man'!G$66="P",'5-man'!G$66="R",AND('5-man'!G$62&lt;=IF('5-man'!$BF$42="",999,'5-man'!$BF$42),OR('5-man'!G$66="D",LEFT('5-man'!G$66,3)="ST&gt;",OR(AND('5-man'!G$63="ST&gt;4",G252&gt;=100),AND('5-man'!G$64="ST&gt;4",G260&gt;=100),AND('5-man'!G$65="ST&gt;4",G268&gt;=100),AND('5-man'!G$67="ST&gt;4",G284&gt;=100))))),'5-man'!G$62,0)</f>
        <v/>
      </c>
      <c r="H283">
        <f>IF(OR('5-man'!H$66="P",'5-man'!H$66="R",AND('5-man'!H$62&lt;=IF('5-man'!$BF$42="",999,'5-man'!$BF$42),OR('5-man'!H$66="D",LEFT('5-man'!H$66,3)="ST&gt;",OR(AND('5-man'!H$63="ST&gt;4",H252&gt;=100),AND('5-man'!H$64="ST&gt;4",H260&gt;=100),AND('5-man'!H$65="ST&gt;4",H268&gt;=100),AND('5-man'!H$67="ST&gt;4",H284&gt;=100))))),'5-man'!H$62,0)</f>
        <v/>
      </c>
      <c r="I283">
        <f>IF(OR('5-man'!I$66="P",'5-man'!I$66="R",AND('5-man'!I$62&lt;=IF('5-man'!$BF$42="",999,'5-man'!$BF$42),OR('5-man'!I$66="D",LEFT('5-man'!I$66,3)="ST&gt;",OR(AND('5-man'!I$63="ST&gt;4",I252&gt;=100),AND('5-man'!I$64="ST&gt;4",I260&gt;=100),AND('5-man'!I$65="ST&gt;4",I268&gt;=100),AND('5-man'!I$67="ST&gt;4",I284&gt;=100))))),'5-man'!I$62,0)</f>
        <v/>
      </c>
      <c r="J283">
        <f>IF(OR('5-man'!J$66="P",'5-man'!J$66="R",AND('5-man'!J$62&lt;=IF('5-man'!$BF$42="",999,'5-man'!$BF$42),OR('5-man'!J$66="D",LEFT('5-man'!J$66,3)="ST&gt;",OR(AND('5-man'!J$63="ST&gt;4",J252&gt;=100),AND('5-man'!J$64="ST&gt;4",J260&gt;=100),AND('5-man'!J$65="ST&gt;4",J268&gt;=100),AND('5-man'!J$67="ST&gt;4",J284&gt;=100))))),'5-man'!J$62,0)</f>
        <v/>
      </c>
      <c r="K283">
        <f>IF(OR('5-man'!K$66="P",'5-man'!K$66="R",AND('5-man'!K$62&lt;=IF('5-man'!$BF$42="",999,'5-man'!$BF$42),OR('5-man'!K$66="D",LEFT('5-man'!K$66,3)="ST&gt;",OR(AND('5-man'!K$63="ST&gt;4",K252&gt;=100),AND('5-man'!K$64="ST&gt;4",K260&gt;=100),AND('5-man'!K$65="ST&gt;4",K268&gt;=100),AND('5-man'!K$67="ST&gt;4",K284&gt;=100))))),'5-man'!K$62,0)</f>
        <v/>
      </c>
      <c r="L283">
        <f>IF(OR('5-man'!L$66="P",'5-man'!L$66="R",AND('5-man'!L$62&lt;=IF('5-man'!$BF$42="",999,'5-man'!$BF$42),OR('5-man'!L$66="D",LEFT('5-man'!L$66,3)="ST&gt;",OR(AND('5-man'!L$63="ST&gt;4",L252&gt;=100),AND('5-man'!L$64="ST&gt;4",L260&gt;=100),AND('5-man'!L$65="ST&gt;4",L268&gt;=100),AND('5-man'!L$67="ST&gt;4",L284&gt;=100))))),'5-man'!L$62,0)</f>
        <v/>
      </c>
      <c r="M283">
        <f>IF(OR('5-man'!M$66="P",'5-man'!M$66="R",AND('5-man'!M$62&lt;=IF('5-man'!$BF$42="",999,'5-man'!$BF$42),OR('5-man'!M$66="D",LEFT('5-man'!M$66,3)="ST&gt;",OR(AND('5-man'!M$63="ST&gt;4",M252&gt;=100),AND('5-man'!M$64="ST&gt;4",M260&gt;=100),AND('5-man'!M$65="ST&gt;4",M268&gt;=100),AND('5-man'!M$67="ST&gt;4",M284&gt;=100))))),'5-man'!M$62,0)</f>
        <v/>
      </c>
      <c r="N283">
        <f>IF(OR('5-man'!N$66="P",'5-man'!N$66="R",AND('5-man'!N$62&lt;=IF('5-man'!$BF$42="",999,'5-man'!$BF$42),OR('5-man'!N$66="D",LEFT('5-man'!N$66,3)="ST&gt;",OR(AND('5-man'!N$63="ST&gt;4",N252&gt;=100),AND('5-man'!N$64="ST&gt;4",N260&gt;=100),AND('5-man'!N$65="ST&gt;4",N268&gt;=100),AND('5-man'!N$67="ST&gt;4",N284&gt;=100))))),'5-man'!N$62,0)</f>
        <v/>
      </c>
      <c r="O283">
        <f>IF(OR('5-man'!O$66="P",'5-man'!O$66="R",AND('5-man'!O$62&lt;=IF('5-man'!$BF$42="",999,'5-man'!$BF$42),OR('5-man'!O$66="D",LEFT('5-man'!O$66,3)="ST&gt;",OR(AND('5-man'!O$63="ST&gt;4",O252&gt;=100),AND('5-man'!O$64="ST&gt;4",O260&gt;=100),AND('5-man'!O$65="ST&gt;4",O268&gt;=100),AND('5-man'!O$67="ST&gt;4",O284&gt;=100))))),'5-man'!O$62,0)</f>
        <v/>
      </c>
      <c r="P283">
        <f>IF(OR('5-man'!P$66="P",'5-man'!P$66="R",AND('5-man'!P$62&lt;=IF('5-man'!$BF$42="",999,'5-man'!$BF$42),OR('5-man'!P$66="D",LEFT('5-man'!P$66,3)="ST&gt;",OR(AND('5-man'!P$63="ST&gt;4",P252&gt;=100),AND('5-man'!P$64="ST&gt;4",P260&gt;=100),AND('5-man'!P$65="ST&gt;4",P268&gt;=100),AND('5-man'!P$67="ST&gt;4",P284&gt;=100))))),'5-man'!P$62,0)</f>
        <v/>
      </c>
      <c r="Q283">
        <f>IF(OR('5-man'!Q$66="P",'5-man'!Q$66="R",AND('5-man'!Q$62&lt;=IF('5-man'!$BF$42="",999,'5-man'!$BF$42),OR('5-man'!Q$66="D",LEFT('5-man'!Q$66,3)="ST&gt;",OR(AND('5-man'!Q$63="ST&gt;4",Q252&gt;=100),AND('5-man'!Q$64="ST&gt;4",Q260&gt;=100),AND('5-man'!Q$65="ST&gt;4",Q268&gt;=100),AND('5-man'!Q$67="ST&gt;4",Q284&gt;=100))))),'5-man'!Q$62,0)</f>
        <v/>
      </c>
      <c r="R283">
        <f>IF(OR('5-man'!R$66="P",'5-man'!R$66="R",AND('5-man'!R$62&lt;=IF('5-man'!$BF$42="",999,'5-man'!$BF$42),OR('5-man'!R$66="D",LEFT('5-man'!R$66,3)="ST&gt;",OR(AND('5-man'!R$63="ST&gt;4",R252&gt;=100),AND('5-man'!R$64="ST&gt;4",R260&gt;=100),AND('5-man'!R$65="ST&gt;4",R268&gt;=100),AND('5-man'!R$67="ST&gt;4",R284&gt;=100))))),'5-man'!R$62,0)</f>
        <v/>
      </c>
      <c r="S283">
        <f>IF(OR('5-man'!S$66="P",'5-man'!S$66="R",AND('5-man'!S$62&lt;=IF('5-man'!$BF$42="",999,'5-man'!$BF$42),OR('5-man'!S$66="D",LEFT('5-man'!S$66,3)="ST&gt;",OR(AND('5-man'!S$63="ST&gt;4",S252&gt;=100),AND('5-man'!S$64="ST&gt;4",S260&gt;=100),AND('5-man'!S$65="ST&gt;4",S268&gt;=100),AND('5-man'!S$67="ST&gt;4",S284&gt;=100))))),'5-man'!S$62,0)</f>
        <v/>
      </c>
      <c r="T283">
        <f>IF(OR('5-man'!T$66="P",'5-man'!T$66="R",AND('5-man'!T$62&lt;=IF('5-man'!$BF$42="",999,'5-man'!$BF$42),OR('5-man'!T$66="D",LEFT('5-man'!T$66,3)="ST&gt;",OR(AND('5-man'!T$63="ST&gt;4",T252&gt;=100),AND('5-man'!T$64="ST&gt;4",T260&gt;=100),AND('5-man'!T$65="ST&gt;4",T268&gt;=100),AND('5-man'!T$67="ST&gt;4",T284&gt;=100))))),'5-man'!T$62,0)</f>
        <v/>
      </c>
      <c r="U283">
        <f>IF(OR('5-man'!U$66="P",'5-man'!U$66="R",AND('5-man'!U$62&lt;=IF('5-man'!$BF$42="",999,'5-man'!$BF$42),OR('5-man'!U$66="D",LEFT('5-man'!U$66,3)="ST&gt;",OR(AND('5-man'!U$63="ST&gt;4",U252&gt;=100),AND('5-man'!U$64="ST&gt;4",U260&gt;=100),AND('5-man'!U$65="ST&gt;4",U268&gt;=100),AND('5-man'!U$67="ST&gt;4",U284&gt;=100))))),'5-man'!U$62,0)</f>
        <v/>
      </c>
      <c r="V283">
        <f>IF(OR('5-man'!V$66="P",'5-man'!V$66="R",AND('5-man'!V$62&lt;=IF('5-man'!$BF$42="",999,'5-man'!$BF$42),OR('5-man'!V$66="D",LEFT('5-man'!V$66,3)="ST&gt;",OR(AND('5-man'!V$63="ST&gt;4",V252&gt;=100),AND('5-man'!V$64="ST&gt;4",V260&gt;=100),AND('5-man'!V$65="ST&gt;4",V268&gt;=100),AND('5-man'!V$67="ST&gt;4",V284&gt;=100))))),'5-man'!V$62,0)</f>
        <v/>
      </c>
      <c r="W283">
        <f>IF(OR('5-man'!W$66="P",'5-man'!W$66="R",AND('5-man'!W$62&lt;=IF('5-man'!$BF$42="",999,'5-man'!$BF$42),OR('5-man'!W$66="D",LEFT('5-man'!W$66,3)="ST&gt;",OR(AND('5-man'!W$63="ST&gt;4",W252&gt;=100),AND('5-man'!W$64="ST&gt;4",W260&gt;=100),AND('5-man'!W$65="ST&gt;4",W268&gt;=100),AND('5-man'!W$67="ST&gt;4",W284&gt;=100))))),'5-man'!W$62,0)</f>
        <v/>
      </c>
      <c r="X283">
        <f>IF(OR('5-man'!X$66="P",'5-man'!X$66="R",AND('5-man'!X$62&lt;=IF('5-man'!$BF$42="",999,'5-man'!$BF$42),OR('5-man'!X$66="D",LEFT('5-man'!X$66,3)="ST&gt;",OR(AND('5-man'!X$63="ST&gt;4",X252&gt;=100),AND('5-man'!X$64="ST&gt;4",X260&gt;=100),AND('5-man'!X$65="ST&gt;4",X268&gt;=100),AND('5-man'!X$67="ST&gt;4",X284&gt;=100))))),'5-man'!X$62,0)</f>
        <v/>
      </c>
      <c r="Y283">
        <f>IF(OR('5-man'!Y$66="P",'5-man'!Y$66="R",AND('5-man'!Y$62&lt;=IF('5-man'!$BF$42="",999,'5-man'!$BF$42),OR('5-man'!Y$66="D",LEFT('5-man'!Y$66,3)="ST&gt;",OR(AND('5-man'!Y$63="ST&gt;4",Y252&gt;=100),AND('5-man'!Y$64="ST&gt;4",Y260&gt;=100),AND('5-man'!Y$65="ST&gt;4",Y268&gt;=100),AND('5-man'!Y$67="ST&gt;4",Y284&gt;=100))))),'5-man'!Y$62,0)</f>
        <v/>
      </c>
      <c r="Z283">
        <f>IF(OR('5-man'!Z$66="P",'5-man'!Z$66="R",AND('5-man'!Z$62&lt;=IF('5-man'!$BF$42="",999,'5-man'!$BF$42),OR('5-man'!Z$66="D",LEFT('5-man'!Z$66,3)="ST&gt;",OR(AND('5-man'!Z$63="ST&gt;4",Z252&gt;=100),AND('5-man'!Z$64="ST&gt;4",Z260&gt;=100),AND('5-man'!Z$65="ST&gt;4",Z268&gt;=100),AND('5-man'!Z$67="ST&gt;4",Z284&gt;=100))))),'5-man'!Z$62,0)</f>
        <v/>
      </c>
      <c r="AA283">
        <f>IF(OR('5-man'!AA$66="P",'5-man'!AA$66="R",AND('5-man'!AA$62&lt;=IF('5-man'!$BF$42="",999,'5-man'!$BF$42),OR('5-man'!AA$66="D",LEFT('5-man'!AA$66,3)="ST&gt;",OR(AND('5-man'!AA$63="ST&gt;4",AA252&gt;=100),AND('5-man'!AA$64="ST&gt;4",AA260&gt;=100),AND('5-man'!AA$65="ST&gt;4",AA268&gt;=100),AND('5-man'!AA$67="ST&gt;4",AA284&gt;=100))))),'5-man'!AA$62,0)</f>
        <v/>
      </c>
      <c r="AB283">
        <f>IF(OR('5-man'!AB$66="P",'5-man'!AB$66="R",AND('5-man'!AB$62&lt;=IF('5-man'!$BF$42="",999,'5-man'!$BF$42),OR('5-man'!AB$66="D",LEFT('5-man'!AB$66,3)="ST&gt;",OR(AND('5-man'!AB$63="ST&gt;4",AB252&gt;=100),AND('5-man'!AB$64="ST&gt;4",AB260&gt;=100),AND('5-man'!AB$65="ST&gt;4",AB268&gt;=100),AND('5-man'!AB$67="ST&gt;4",AB284&gt;=100))))),'5-man'!AB$62,0)</f>
        <v/>
      </c>
      <c r="AC283">
        <f>IF(OR('5-man'!AC$66="P",'5-man'!AC$66="R",AND('5-man'!AC$62&lt;=IF('5-man'!$BF$42="",999,'5-man'!$BF$42),OR('5-man'!AC$66="D",LEFT('5-man'!AC$66,3)="ST&gt;",OR(AND('5-man'!AC$63="ST&gt;4",AC252&gt;=100),AND('5-man'!AC$64="ST&gt;4",AC260&gt;=100),AND('5-man'!AC$65="ST&gt;4",AC268&gt;=100),AND('5-man'!AC$67="ST&gt;4",AC284&gt;=100))))),'5-man'!AC$62,0)</f>
        <v/>
      </c>
      <c r="AD283">
        <f>IF(OR('5-man'!AD$66="P",'5-man'!AD$66="R",AND('5-man'!AD$62&lt;=IF('5-man'!$BF$42="",999,'5-man'!$BF$42),OR('5-man'!AD$66="D",LEFT('5-man'!AD$66,3)="ST&gt;",OR(AND('5-man'!AD$63="ST&gt;4",AD252&gt;=100),AND('5-man'!AD$64="ST&gt;4",AD260&gt;=100),AND('5-man'!AD$65="ST&gt;4",AD268&gt;=100),AND('5-man'!AD$67="ST&gt;4",AD284&gt;=100))))),'5-man'!AD$62,0)</f>
        <v/>
      </c>
      <c r="AE283">
        <f>IF(OR('5-man'!AE$66="P",'5-man'!AE$66="R",AND('5-man'!AE$62&lt;=IF('5-man'!$BF$42="",999,'5-man'!$BF$42),OR('5-man'!AE$66="D",LEFT('5-man'!AE$66,3)="ST&gt;",OR(AND('5-man'!AE$63="ST&gt;4",AE252&gt;=100),AND('5-man'!AE$64="ST&gt;4",AE260&gt;=100),AND('5-man'!AE$65="ST&gt;4",AE268&gt;=100),AND('5-man'!AE$67="ST&gt;4",AE284&gt;=100))))),'5-man'!AE$62,0)</f>
        <v/>
      </c>
      <c r="AF283">
        <f>IF(OR('5-man'!AF$66="P",'5-man'!AF$66="R",AND('5-man'!AF$62&lt;=IF('5-man'!$BF$42="",999,'5-man'!$BF$42),OR('5-man'!AF$66="D",LEFT('5-man'!AF$66,3)="ST&gt;",OR(AND('5-man'!AF$63="ST&gt;4",AF252&gt;=100),AND('5-man'!AF$64="ST&gt;4",AF260&gt;=100),AND('5-man'!AF$65="ST&gt;4",AF268&gt;=100),AND('5-man'!AF$67="ST&gt;4",AF284&gt;=100))))),'5-man'!AF$62,0)</f>
        <v/>
      </c>
      <c r="AG283">
        <f>IF(OR('5-man'!AG$66="P",'5-man'!AG$66="R",AND('5-man'!AG$62&lt;=IF('5-man'!$BF$42="",999,'5-man'!$BF$42),OR('5-man'!AG$66="D",LEFT('5-man'!AG$66,3)="ST&gt;",OR(AND('5-man'!AG$63="ST&gt;4",AG252&gt;=100),AND('5-man'!AG$64="ST&gt;4",AG260&gt;=100),AND('5-man'!AG$65="ST&gt;4",AG268&gt;=100),AND('5-man'!AG$67="ST&gt;4",AG284&gt;=100))))),'5-man'!AG$62,0)</f>
        <v/>
      </c>
      <c r="AH283">
        <f>IF(OR('5-man'!AH$66="P",'5-man'!AH$66="R",AND('5-man'!AH$62&lt;=IF('5-man'!$BF$42="",999,'5-man'!$BF$42),OR('5-man'!AH$66="D",LEFT('5-man'!AH$66,3)="ST&gt;",OR(AND('5-man'!AH$63="ST&gt;4",AH252&gt;=100),AND('5-man'!AH$64="ST&gt;4",AH260&gt;=100),AND('5-man'!AH$65="ST&gt;4",AH268&gt;=100),AND('5-man'!AH$67="ST&gt;4",AH284&gt;=100))))),'5-man'!AH$62,0)</f>
        <v/>
      </c>
      <c r="AI283">
        <f>IF(OR('5-man'!AI$66="P",'5-man'!AI$66="R",AND('5-man'!AI$62&lt;=IF('5-man'!$BF$42="",999,'5-man'!$BF$42),OR('5-man'!AI$66="D",LEFT('5-man'!AI$66,3)="ST&gt;",OR(AND('5-man'!AI$63="ST&gt;4",AI252&gt;=100),AND('5-man'!AI$64="ST&gt;4",AI260&gt;=100),AND('5-man'!AI$65="ST&gt;4",AI268&gt;=100),AND('5-man'!AI$67="ST&gt;4",AI284&gt;=100))))),'5-man'!AI$62,0)</f>
        <v/>
      </c>
      <c r="AJ283">
        <f>IF(OR('5-man'!AJ$66="P",'5-man'!AJ$66="R",AND('5-man'!AJ$62&lt;=IF('5-man'!$BF$42="",999,'5-man'!$BF$42),OR('5-man'!AJ$66="D",LEFT('5-man'!AJ$66,3)="ST&gt;",OR(AND('5-man'!AJ$63="ST&gt;4",AJ252&gt;=100),AND('5-man'!AJ$64="ST&gt;4",AJ260&gt;=100),AND('5-man'!AJ$65="ST&gt;4",AJ268&gt;=100),AND('5-man'!AJ$67="ST&gt;4",AJ284&gt;=100))))),'5-man'!AJ$62,0)</f>
        <v/>
      </c>
      <c r="AK283">
        <f>IF(OR('5-man'!AK$66="P",'5-man'!AK$66="R",AND('5-man'!AK$62&lt;=IF('5-man'!$BF$42="",999,'5-man'!$BF$42),OR('5-man'!AK$66="D",LEFT('5-man'!AK$66,3)="ST&gt;",OR(AND('5-man'!AK$63="ST&gt;4",AK252&gt;=100),AND('5-man'!AK$64="ST&gt;4",AK260&gt;=100),AND('5-man'!AK$65="ST&gt;4",AK268&gt;=100),AND('5-man'!AK$67="ST&gt;4",AK284&gt;=100))))),'5-man'!AK$62,0)</f>
        <v/>
      </c>
      <c r="AL283">
        <f>IF(OR('5-man'!AL$66="P",'5-man'!AL$66="R",AND('5-man'!AL$62&lt;=IF('5-man'!$BF$42="",999,'5-man'!$BF$42),OR('5-man'!AL$66="D",LEFT('5-man'!AL$66,3)="ST&gt;",OR(AND('5-man'!AL$63="ST&gt;4",AL252&gt;=100),AND('5-man'!AL$64="ST&gt;4",AL260&gt;=100),AND('5-man'!AL$65="ST&gt;4",AL268&gt;=100),AND('5-man'!AL$67="ST&gt;4",AL284&gt;=100))))),'5-man'!AL$62,0)</f>
        <v/>
      </c>
      <c r="AM283">
        <f>IF(OR('5-man'!AM$66="P",'5-man'!AM$66="R",AND('5-man'!AM$62&lt;=IF('5-man'!$BF$42="",999,'5-man'!$BF$42),OR('5-man'!AM$66="D",LEFT('5-man'!AM$66,3)="ST&gt;",OR(AND('5-man'!AM$63="ST&gt;4",AM252&gt;=100),AND('5-man'!AM$64="ST&gt;4",AM260&gt;=100),AND('5-man'!AM$65="ST&gt;4",AM268&gt;=100),AND('5-man'!AM$67="ST&gt;4",AM284&gt;=100))))),'5-man'!AM$62,0)</f>
        <v/>
      </c>
      <c r="AN283">
        <f>IF(OR('5-man'!AN$66="P",'5-man'!AN$66="R",AND('5-man'!AN$62&lt;=IF('5-man'!$BF$42="",999,'5-man'!$BF$42),OR('5-man'!AN$66="D",LEFT('5-man'!AN$66,3)="ST&gt;",OR(AND('5-man'!AN$63="ST&gt;4",AN252&gt;=100),AND('5-man'!AN$64="ST&gt;4",AN260&gt;=100),AND('5-man'!AN$65="ST&gt;4",AN268&gt;=100),AND('5-man'!AN$67="ST&gt;4",AN284&gt;=100))))),'5-man'!AN$62,0)</f>
        <v/>
      </c>
      <c r="AO283">
        <f>IF(OR('5-man'!AO$66="P",'5-man'!AO$66="R",AND('5-man'!AO$62&lt;=IF('5-man'!$BF$42="",999,'5-man'!$BF$42),OR('5-man'!AO$66="D",LEFT('5-man'!AO$66,3)="ST&gt;",OR(AND('5-man'!AO$63="ST&gt;4",AO252&gt;=100),AND('5-man'!AO$64="ST&gt;4",AO260&gt;=100),AND('5-man'!AO$65="ST&gt;4",AO268&gt;=100),AND('5-man'!AO$67="ST&gt;4",AO284&gt;=100))))),'5-man'!AO$62,0)</f>
        <v/>
      </c>
      <c r="AP283">
        <f>IF(OR('5-man'!AP$66="P",'5-man'!AP$66="R",AND('5-man'!AP$62&lt;=IF('5-man'!$BF$42="",999,'5-man'!$BF$42),OR('5-man'!AP$66="D",LEFT('5-man'!AP$66,3)="ST&gt;",OR(AND('5-man'!AP$63="ST&gt;4",AP252&gt;=100),AND('5-man'!AP$64="ST&gt;4",AP260&gt;=100),AND('5-man'!AP$65="ST&gt;4",AP268&gt;=100),AND('5-man'!AP$67="ST&gt;4",AP284&gt;=100))))),'5-man'!AP$62,0)</f>
        <v/>
      </c>
      <c r="AQ283">
        <f>IF(OR('5-man'!AQ$66="P",'5-man'!AQ$66="R",AND('5-man'!AQ$62&lt;=IF('5-man'!$BF$42="",999,'5-man'!$BF$42),OR('5-man'!AQ$66="D",LEFT('5-man'!AQ$66,3)="ST&gt;",OR(AND('5-man'!AQ$63="ST&gt;4",AQ252&gt;=100),AND('5-man'!AQ$64="ST&gt;4",AQ260&gt;=100),AND('5-man'!AQ$65="ST&gt;4",AQ268&gt;=100),AND('5-man'!AQ$67="ST&gt;4",AQ284&gt;=100))))),'5-man'!AQ$62,0)</f>
        <v/>
      </c>
      <c r="AR283">
        <f>IF(OR('5-man'!AR$66="P",'5-man'!AR$66="R",AND('5-man'!AR$62&lt;=IF('5-man'!$BF$42="",999,'5-man'!$BF$42),OR('5-man'!AR$66="D",LEFT('5-man'!AR$66,3)="ST&gt;",OR(AND('5-man'!AR$63="ST&gt;4",AR252&gt;=100),AND('5-man'!AR$64="ST&gt;4",AR260&gt;=100),AND('5-man'!AR$65="ST&gt;4",AR268&gt;=100),AND('5-man'!AR$67="ST&gt;4",AR284&gt;=100))))),'5-man'!AR$62,0)</f>
        <v/>
      </c>
      <c r="AS283">
        <f>IF(OR('5-man'!AS$66="P",'5-man'!AS$66="R",AND('5-man'!AS$62&lt;=IF('5-man'!$BF$42="",999,'5-man'!$BF$42),OR('5-man'!AS$66="D",LEFT('5-man'!AS$66,3)="ST&gt;",OR(AND('5-man'!AS$63="ST&gt;4",AS252&gt;=100),AND('5-man'!AS$64="ST&gt;4",AS260&gt;=100),AND('5-man'!AS$65="ST&gt;4",AS268&gt;=100),AND('5-man'!AS$67="ST&gt;4",AS284&gt;=100))))),'5-man'!AS$62,0)</f>
        <v/>
      </c>
      <c r="AT283">
        <f>IF(OR('5-man'!AT$66="P",'5-man'!AT$66="R",AND('5-man'!AT$62&lt;=IF('5-man'!$BF$42="",999,'5-man'!$BF$42),OR('5-man'!AT$66="D",LEFT('5-man'!AT$66,3)="ST&gt;",OR(AND('5-man'!AT$63="ST&gt;4",AT252&gt;=100),AND('5-man'!AT$64="ST&gt;4",AT260&gt;=100),AND('5-man'!AT$65="ST&gt;4",AT268&gt;=100),AND('5-man'!AT$67="ST&gt;4",AT284&gt;=100))))),'5-man'!AT$62,0)</f>
        <v/>
      </c>
      <c r="AU283">
        <f>IF(OR('5-man'!AU$66="P",'5-man'!AU$66="R",AND('5-man'!AU$62&lt;=IF('5-man'!$BF$42="",999,'5-man'!$BF$42),OR('5-man'!AU$66="D",LEFT('5-man'!AU$66,3)="ST&gt;",OR(AND('5-man'!AU$63="ST&gt;4",AU252&gt;=100),AND('5-man'!AU$64="ST&gt;4",AU260&gt;=100),AND('5-man'!AU$65="ST&gt;4",AU268&gt;=100),AND('5-man'!AU$67="ST&gt;4",AU284&gt;=100))))),'5-man'!AU$62,0)</f>
        <v/>
      </c>
      <c r="AV283">
        <f>IF(OR('5-man'!AV$66="P",'5-man'!AV$66="R",AND('5-man'!AV$62&lt;=IF('5-man'!$BF$42="",999,'5-man'!$BF$42),OR('5-man'!AV$66="D",LEFT('5-man'!AV$66,3)="ST&gt;",OR(AND('5-man'!AV$63="ST&gt;4",AV252&gt;=100),AND('5-man'!AV$64="ST&gt;4",AV260&gt;=100),AND('5-man'!AV$65="ST&gt;4",AV268&gt;=100),AND('5-man'!AV$67="ST&gt;4",AV284&gt;=100))))),'5-man'!AV$62,0)</f>
        <v/>
      </c>
      <c r="AW283">
        <f>IF(OR('5-man'!AW$66="P",'5-man'!AW$66="R",AND('5-man'!AW$62&lt;=IF('5-man'!$BF$42="",999,'5-man'!$BF$42),OR('5-man'!AW$66="D",LEFT('5-man'!AW$66,3)="ST&gt;",OR(AND('5-man'!AW$63="ST&gt;4",AW252&gt;=100),AND('5-man'!AW$64="ST&gt;4",AW260&gt;=100),AND('5-man'!AW$65="ST&gt;4",AW268&gt;=100),AND('5-man'!AW$67="ST&gt;4",AW284&gt;=100))))),'5-man'!AW$62,0)</f>
        <v/>
      </c>
      <c r="AX283">
        <f>IF(OR('5-man'!AX$66="P",'5-man'!AX$66="R",AND('5-man'!AX$62&lt;=IF('5-man'!$BF$42="",999,'5-man'!$BF$42),OR('5-man'!AX$66="D",LEFT('5-man'!AX$66,3)="ST&gt;",OR(AND('5-man'!AX$63="ST&gt;4",AX252&gt;=100),AND('5-man'!AX$64="ST&gt;4",AX260&gt;=100),AND('5-man'!AX$65="ST&gt;4",AX268&gt;=100),AND('5-man'!AX$67="ST&gt;4",AX284&gt;=100))))),'5-man'!AX$62,0)</f>
        <v/>
      </c>
      <c r="AY283">
        <f>IF(OR('5-man'!AY$66="P",'5-man'!AY$66="R",AND('5-man'!AY$62&lt;=IF('5-man'!$BF$42="",999,'5-man'!$BF$42),OR('5-man'!AY$66="D",LEFT('5-man'!AY$66,3)="ST&gt;",OR(AND('5-man'!AY$63="ST&gt;4",AY252&gt;=100),AND('5-man'!AY$64="ST&gt;4",AY260&gt;=100),AND('5-man'!AY$65="ST&gt;4",AY268&gt;=100),AND('5-man'!AY$67="ST&gt;4",AY284&gt;=100))))),'5-man'!AY$62,0)</f>
        <v/>
      </c>
      <c r="AZ283">
        <f>IF(OR('5-man'!AZ$66="P",'5-man'!AZ$66="R",AND('5-man'!AZ$62&lt;=IF('5-man'!$BF$42="",999,'5-man'!$BF$42),OR('5-man'!AZ$66="D",LEFT('5-man'!AZ$66,3)="ST&gt;",OR(AND('5-man'!AZ$63="ST&gt;4",AZ252&gt;=100),AND('5-man'!AZ$64="ST&gt;4",AZ260&gt;=100),AND('5-man'!AZ$65="ST&gt;4",AZ268&gt;=100),AND('5-man'!AZ$67="ST&gt;4",AZ284&gt;=100))))),'5-man'!AZ$62,0)</f>
        <v/>
      </c>
      <c r="BA283">
        <f>IF(OR('5-man'!BA$66="P",'5-man'!BA$66="R",AND('5-man'!BA$62&lt;=IF('5-man'!$BF$42="",999,'5-man'!$BF$42),OR('5-man'!BA$66="D",LEFT('5-man'!BA$66,3)="ST&gt;",OR(AND('5-man'!BA$63="ST&gt;4",BA252&gt;=100),AND('5-man'!BA$64="ST&gt;4",BA260&gt;=100),AND('5-man'!BA$65="ST&gt;4",BA268&gt;=100),AND('5-man'!BA$67="ST&gt;4",BA284&gt;=100))))),'5-man'!BA$62,0)</f>
        <v/>
      </c>
      <c r="BB283">
        <f>IF(OR('5-man'!BB$66="P",'5-man'!BB$66="R",AND('5-man'!BB$62&lt;=IF('5-man'!$BF$42="",999,'5-man'!$BF$42),OR('5-man'!BB$66="D",LEFT('5-man'!BB$66,3)="ST&gt;",OR(AND('5-man'!BB$63="ST&gt;4",BB252&gt;=100),AND('5-man'!BB$64="ST&gt;4",BB260&gt;=100),AND('5-man'!BB$65="ST&gt;4",BB268&gt;=100),AND('5-man'!BB$67="ST&gt;4",BB284&gt;=100))))),'5-man'!BB$62,0)</f>
        <v/>
      </c>
      <c r="BC283">
        <f>IF(OR('5-man'!BC$66="P",'5-man'!BC$66="R",AND('5-man'!BC$62&lt;=IF('5-man'!$BF$42="",999,'5-man'!$BF$42),OR('5-man'!BC$66="D",LEFT('5-man'!BC$66,3)="ST&gt;",OR(AND('5-man'!BC$63="ST&gt;4",BC252&gt;=100),AND('5-man'!BC$64="ST&gt;4",BC260&gt;=100),AND('5-man'!BC$65="ST&gt;4",BC268&gt;=100),AND('5-man'!BC$67="ST&gt;4",BC284&gt;=100))))),'5-man'!BC$62,0)</f>
        <v/>
      </c>
      <c r="BD283">
        <f>IF(OR('5-man'!BD$66="P",'5-man'!BD$66="R",AND('5-man'!BD$62&lt;=IF('5-man'!$BF$42="",999,'5-man'!$BF$42),OR('5-man'!BD$66="D",LEFT('5-man'!BD$66,3)="ST&gt;",OR(AND('5-man'!BD$63="ST&gt;4",BD252&gt;=100),AND('5-man'!BD$64="ST&gt;4",BD260&gt;=100),AND('5-man'!BD$65="ST&gt;4",BD268&gt;=100),AND('5-man'!BD$67="ST&gt;4",BD284&gt;=100))))),'5-man'!BD$62,0)</f>
        <v/>
      </c>
      <c r="BE283">
        <f>IF(OR('5-man'!BE$66="P",'5-man'!BE$66="R",AND('5-man'!BE$62&lt;=IF('5-man'!$BF$42="",999,'5-man'!$BF$42),OR('5-man'!BE$66="D",LEFT('5-man'!BE$66,3)="ST&gt;",OR(AND('5-man'!BE$63="ST&gt;4",BE252&gt;=100),AND('5-man'!BE$64="ST&gt;4",BE260&gt;=100),AND('5-man'!BE$65="ST&gt;4",BE268&gt;=100),AND('5-man'!BE$67="ST&gt;4",BE284&gt;=100))))),'5-man'!BE$62,0)</f>
        <v/>
      </c>
      <c r="BF283">
        <f>IF(OR('5-man'!BF$66="P",'5-man'!BF$66="R",AND('5-man'!BF$62&lt;=IF('5-man'!$BF$42="",999,'5-man'!$BF$42),OR('5-man'!BF$66="D",LEFT('5-man'!BF$66,3)="ST&gt;",OR(AND('5-man'!BF$63="ST&gt;4",BF252&gt;=100),AND('5-man'!BF$64="ST&gt;4",BF260&gt;=100),AND('5-man'!BF$65="ST&gt;4",BF268&gt;=100),AND('5-man'!BF$67="ST&gt;4",BF284&gt;=100))))),'5-man'!BF$62,0)</f>
        <v/>
      </c>
      <c r="BG283">
        <f>IF(OR('5-man'!BG$66="P",'5-man'!BG$66="R",AND('5-man'!BG$62&lt;=IF('5-man'!$BF$42="",999,'5-man'!$BF$42),OR('5-man'!BG$66="D",LEFT('5-man'!BG$66,3)="ST&gt;",OR(AND('5-man'!BG$63="ST&gt;4",BG252&gt;=100),AND('5-man'!BG$64="ST&gt;4",BG260&gt;=100),AND('5-man'!BG$65="ST&gt;4",BG268&gt;=100),AND('5-man'!BG$67="ST&gt;4",BG284&gt;=100))))),'5-man'!BG$62,0)</f>
        <v/>
      </c>
      <c r="BH283">
        <f>IF(OR('5-man'!BH$66="P",'5-man'!BH$66="R",AND('5-man'!BH$62&lt;=IF('5-man'!$BF$42="",999,'5-man'!$BF$42),OR('5-man'!BH$66="D",LEFT('5-man'!BH$66,3)="ST&gt;",OR(AND('5-man'!BH$63="ST&gt;4",BH252&gt;=100),AND('5-man'!BH$64="ST&gt;4",BH260&gt;=100),AND('5-man'!BH$65="ST&gt;4",BH268&gt;=100),AND('5-man'!BH$67="ST&gt;4",BH284&gt;=100))))),'5-man'!BH$62,0)</f>
        <v/>
      </c>
      <c r="BI283">
        <f>IF(OR('5-man'!BI$66="P",'5-man'!BI$66="R",AND('5-man'!BI$62&lt;=IF('5-man'!$BF$42="",999,'5-man'!$BF$42),OR('5-man'!BI$66="D",LEFT('5-man'!BI$66,3)="ST&gt;",OR(AND('5-man'!BI$63="ST&gt;4",BI252&gt;=100),AND('5-man'!BI$64="ST&gt;4",BI260&gt;=100),AND('5-man'!BI$65="ST&gt;4",BI268&gt;=100),AND('5-man'!BI$67="ST&gt;4",BI284&gt;=100))))),'5-man'!BI$62,0)</f>
        <v/>
      </c>
      <c r="BJ283">
        <f>IF(OR('5-man'!BJ$66="P",'5-man'!BJ$66="R",AND('5-man'!BJ$62&lt;=IF('5-man'!$BF$42="",999,'5-man'!$BF$42),OR('5-man'!BJ$66="D",LEFT('5-man'!BJ$66,3)="ST&gt;",OR(AND('5-man'!BJ$63="ST&gt;4",BJ252&gt;=100),AND('5-man'!BJ$64="ST&gt;4",BJ260&gt;=100),AND('5-man'!BJ$65="ST&gt;4",BJ268&gt;=100),AND('5-man'!BJ$67="ST&gt;4",BJ284&gt;=100))))),'5-man'!BJ$62,0)</f>
        <v/>
      </c>
      <c r="BK283">
        <f>IF(OR('5-man'!BK$66="P",'5-man'!BK$66="R",AND('5-man'!BK$62&lt;=IF('5-man'!$BF$42="",999,'5-man'!$BF$42),OR('5-man'!BK$66="D",LEFT('5-man'!BK$66,3)="ST&gt;",OR(AND('5-man'!BK$63="ST&gt;4",BK252&gt;=100),AND('5-man'!BK$64="ST&gt;4",BK260&gt;=100),AND('5-man'!BK$65="ST&gt;4",BK268&gt;=100),AND('5-man'!BK$67="ST&gt;4",BK284&gt;=100))))),'5-man'!BK$62,0)</f>
        <v/>
      </c>
      <c r="BL283">
        <f>IF(OR('5-man'!BL$66="P",'5-man'!BL$66="R",AND('5-man'!BL$62&lt;=IF('5-man'!$BF$42="",999,'5-man'!$BF$42),OR('5-man'!BL$66="D",LEFT('5-man'!BL$66,3)="ST&gt;",OR(AND('5-man'!BL$63="ST&gt;4",BL252&gt;=100),AND('5-man'!BL$64="ST&gt;4",BL260&gt;=100),AND('5-man'!BL$65="ST&gt;4",BL268&gt;=100),AND('5-man'!BL$67="ST&gt;4",BL284&gt;=100))))),'5-man'!BL$62,0)</f>
        <v/>
      </c>
      <c r="BM283">
        <f>IF(OR('5-man'!BM$66="P",'5-man'!BM$66="R",AND('5-man'!BM$62&lt;=IF('5-man'!$BF$42="",999,'5-man'!$BF$42),OR('5-man'!BM$66="D",LEFT('5-man'!BM$66,3)="ST&gt;",OR(AND('5-man'!BM$63="ST&gt;4",BM252&gt;=100),AND('5-man'!BM$64="ST&gt;4",BM260&gt;=100),AND('5-man'!BM$65="ST&gt;4",BM268&gt;=100),AND('5-man'!BM$67="ST&gt;4",BM284&gt;=100))))),'5-man'!BM$62,0)</f>
        <v/>
      </c>
      <c r="BN283">
        <f>IF(OR('5-man'!BN$66="P",'5-man'!BN$66="R",AND('5-man'!BN$62&lt;=IF('5-man'!$BF$42="",999,'5-man'!$BF$42),OR('5-man'!BN$66="D",LEFT('5-man'!BN$66,3)="ST&gt;",OR(AND('5-man'!BN$63="ST&gt;4",BN252&gt;=100),AND('5-man'!BN$64="ST&gt;4",BN260&gt;=100),AND('5-man'!BN$65="ST&gt;4",BN268&gt;=100),AND('5-man'!BN$67="ST&gt;4",BN284&gt;=100))))),'5-man'!BN$62,0)</f>
        <v/>
      </c>
      <c r="BO283">
        <f>IF(OR('5-man'!BO$66="P",'5-man'!BO$66="R",AND('5-man'!BO$62&lt;=IF('5-man'!$BF$42="",999,'5-man'!$BF$42),OR('5-man'!BO$66="D",LEFT('5-man'!BO$66,3)="ST&gt;",OR(AND('5-man'!BO$63="ST&gt;4",BO252&gt;=100),AND('5-man'!BO$64="ST&gt;4",BO260&gt;=100),AND('5-man'!BO$65="ST&gt;4",BO268&gt;=100),AND('5-man'!BO$67="ST&gt;4",BO284&gt;=100))))),'5-man'!BO$62,0)</f>
        <v/>
      </c>
      <c r="BP283">
        <f>IF(OR('5-man'!BP$66="P",'5-man'!BP$66="R",AND('5-man'!BP$62&lt;=IF('5-man'!$BF$42="",999,'5-man'!$BF$42),OR('5-man'!BP$66="D",LEFT('5-man'!BP$66,3)="ST&gt;",OR(AND('5-man'!BP$63="ST&gt;4",BP252&gt;=100),AND('5-man'!BP$64="ST&gt;4",BP260&gt;=100),AND('5-man'!BP$65="ST&gt;4",BP268&gt;=100),AND('5-man'!BP$67="ST&gt;4",BP284&gt;=100))))),'5-man'!BP$62,0)</f>
        <v/>
      </c>
      <c r="BQ283">
        <f>IF(OR('5-man'!BQ$66="P",'5-man'!BQ$66="R",AND('5-man'!BQ$62&lt;=IF('5-man'!$BF$42="",999,'5-man'!$BF$42),OR('5-man'!BQ$66="D",LEFT('5-man'!BQ$66,3)="ST&gt;",OR(AND('5-man'!BQ$63="ST&gt;4",BQ252&gt;=100),AND('5-man'!BQ$64="ST&gt;4",BQ260&gt;=100),AND('5-man'!BQ$65="ST&gt;4",BQ268&gt;=100),AND('5-man'!BQ$67="ST&gt;4",BQ284&gt;=100))))),'5-man'!BQ$62,0)</f>
        <v/>
      </c>
      <c r="BR283">
        <f>IF(OR('5-man'!BR$66="P",'5-man'!BR$66="R",AND('5-man'!BR$62&lt;=IF('5-man'!$BF$42="",999,'5-man'!$BF$42),OR('5-man'!BR$66="D",LEFT('5-man'!BR$66,3)="ST&gt;",OR(AND('5-man'!BR$63="ST&gt;4",BR252&gt;=100),AND('5-man'!BR$64="ST&gt;4",BR260&gt;=100),AND('5-man'!BR$65="ST&gt;4",BR268&gt;=100),AND('5-man'!BR$67="ST&gt;4",BR284&gt;=100))))),'5-man'!BR$62,0)</f>
        <v/>
      </c>
      <c r="BS283">
        <f>IF(OR('5-man'!BS$66="P",'5-man'!BS$66="R",AND('5-man'!BS$62&lt;=IF('5-man'!$BF$42="",999,'5-man'!$BF$42),OR('5-man'!BS$66="D",LEFT('5-man'!BS$66,3)="ST&gt;",OR(AND('5-man'!BS$63="ST&gt;4",BS252&gt;=100),AND('5-man'!BS$64="ST&gt;4",BS260&gt;=100),AND('5-man'!BS$65="ST&gt;4",BS268&gt;=100),AND('5-man'!BS$67="ST&gt;4",BS284&gt;=100))))),'5-man'!BS$62,0)</f>
        <v/>
      </c>
      <c r="BT283">
        <f>IF(OR('5-man'!BT$66="P",'5-man'!BT$66="R",AND('5-man'!BT$62&lt;=IF('5-man'!$BF$42="",999,'5-man'!$BF$42),OR('5-man'!BT$66="D",LEFT('5-man'!BT$66,3)="ST&gt;",OR(AND('5-man'!BT$63="ST&gt;4",BT252&gt;=100),AND('5-man'!BT$64="ST&gt;4",BT260&gt;=100),AND('5-man'!BT$65="ST&gt;4",BT268&gt;=100),AND('5-man'!BT$67="ST&gt;4",BT284&gt;=100))))),'5-man'!BT$62,0)</f>
        <v/>
      </c>
      <c r="BU283">
        <f>IF(OR('5-man'!BU$66="P",'5-man'!BU$66="R",AND('5-man'!BU$62&lt;=IF('5-man'!$BF$42="",999,'5-man'!$BF$42),OR('5-man'!BU$66="D",LEFT('5-man'!BU$66,3)="ST&gt;",OR(AND('5-man'!BU$63="ST&gt;4",BU252&gt;=100),AND('5-man'!BU$64="ST&gt;4",BU260&gt;=100),AND('5-man'!BU$65="ST&gt;4",BU268&gt;=100),AND('5-man'!BU$67="ST&gt;4",BU284&gt;=100))))),'5-man'!BU$62,0)</f>
        <v/>
      </c>
      <c r="BV283">
        <f>IF(OR('5-man'!BV$66="P",'5-man'!BV$66="R",AND('5-man'!BV$62&lt;=IF('5-man'!$BF$42="",999,'5-man'!$BF$42),OR('5-man'!BV$66="D",LEFT('5-man'!BV$66,3)="ST&gt;",OR(AND('5-man'!BV$63="ST&gt;4",BV252&gt;=100),AND('5-man'!BV$64="ST&gt;4",BV260&gt;=100),AND('5-man'!BV$65="ST&gt;4",BV268&gt;=100),AND('5-man'!BV$67="ST&gt;4",BV284&gt;=100))))),'5-man'!BV$62,0)</f>
        <v/>
      </c>
      <c r="BW283">
        <f>IF(OR('5-man'!BW$66="P",'5-man'!BW$66="R",AND('5-man'!BW$62&lt;=IF('5-man'!$BF$42="",999,'5-man'!$BF$42),OR('5-man'!BW$66="D",LEFT('5-man'!BW$66,3)="ST&gt;",OR(AND('5-man'!BW$63="ST&gt;4",BW252&gt;=100),AND('5-man'!BW$64="ST&gt;4",BW260&gt;=100),AND('5-man'!BW$65="ST&gt;4",BW268&gt;=100),AND('5-man'!BW$67="ST&gt;4",BW284&gt;=100))))),'5-man'!BW$62,0)</f>
        <v/>
      </c>
      <c r="BX283">
        <f>IF(OR('5-man'!BX$66="P",'5-man'!BX$66="R",AND('5-man'!BX$62&lt;=IF('5-man'!$BF$42="",999,'5-man'!$BF$42),OR('5-man'!BX$66="D",LEFT('5-man'!BX$66,3)="ST&gt;",OR(AND('5-man'!BX$63="ST&gt;4",BX252&gt;=100),AND('5-man'!BX$64="ST&gt;4",BX260&gt;=100),AND('5-man'!BX$65="ST&gt;4",BX268&gt;=100),AND('5-man'!BX$67="ST&gt;4",BX284&gt;=100))))),'5-man'!BX$62,0)</f>
        <v/>
      </c>
      <c r="BY283">
        <f>IF(OR('5-man'!BY$66="P",'5-man'!BY$66="R",AND('5-man'!BY$62&lt;=IF('5-man'!$BF$42="",999,'5-man'!$BF$42),OR('5-man'!BY$66="D",LEFT('5-man'!BY$66,3)="ST&gt;",OR(AND('5-man'!BY$63="ST&gt;4",BY252&gt;=100),AND('5-man'!BY$64="ST&gt;4",BY260&gt;=100),AND('5-man'!BY$65="ST&gt;4",BY268&gt;=100),AND('5-man'!BY$67="ST&gt;4",BY284&gt;=100))))),'5-man'!BY$62,0)</f>
        <v/>
      </c>
      <c r="BZ283">
        <f>IF(OR('5-man'!BZ$66="P",'5-man'!BZ$66="R",AND('5-man'!BZ$62&lt;=IF('5-man'!$BF$42="",999,'5-man'!$BF$42),OR('5-man'!BZ$66="D",LEFT('5-man'!BZ$66,3)="ST&gt;",OR(AND('5-man'!BZ$63="ST&gt;4",BZ252&gt;=100),AND('5-man'!BZ$64="ST&gt;4",BZ260&gt;=100),AND('5-man'!BZ$65="ST&gt;4",BZ268&gt;=100),AND('5-man'!BZ$67="ST&gt;4",BZ284&gt;=100))))),'5-man'!BZ$62,0)</f>
        <v/>
      </c>
      <c r="CA283">
        <f>IF(OR('5-man'!CA$66="P",'5-man'!CA$66="R",AND('5-man'!CA$62&lt;=IF('5-man'!$BF$42="",999,'5-man'!$BF$42),OR('5-man'!CA$66="D",LEFT('5-man'!CA$66,3)="ST&gt;",OR(AND('5-man'!CA$63="ST&gt;4",CA252&gt;=100),AND('5-man'!CA$64="ST&gt;4",CA260&gt;=100),AND('5-man'!CA$65="ST&gt;4",CA268&gt;=100),AND('5-man'!CA$67="ST&gt;4",CA284&gt;=100))))),'5-man'!CA$62,0)</f>
        <v/>
      </c>
      <c r="CB283">
        <f>IF(OR('5-man'!CB$66="P",'5-man'!CB$66="R",AND('5-man'!CB$62&lt;=IF('5-man'!$BF$42="",999,'5-man'!$BF$42),OR('5-man'!CB$66="D",LEFT('5-man'!CB$66,3)="ST&gt;",OR(AND('5-man'!CB$63="ST&gt;4",CB252&gt;=100),AND('5-man'!CB$64="ST&gt;4",CB260&gt;=100),AND('5-man'!CB$65="ST&gt;4",CB268&gt;=100),AND('5-man'!CB$67="ST&gt;4",CB284&gt;=100))))),'5-man'!CB$62,0)</f>
        <v/>
      </c>
      <c r="CC283">
        <f>IF(OR('5-man'!CC$66="P",'5-man'!CC$66="R",AND('5-man'!CC$62&lt;=IF('5-man'!$BF$42="",999,'5-man'!$BF$42),OR('5-man'!CC$66="D",LEFT('5-man'!CC$66,3)="ST&gt;",OR(AND('5-man'!CC$63="ST&gt;4",CC252&gt;=100),AND('5-man'!CC$64="ST&gt;4",CC260&gt;=100),AND('5-man'!CC$65="ST&gt;4",CC268&gt;=100),AND('5-man'!CC$67="ST&gt;4",CC284&gt;=100))))),'5-man'!CC$62,0)</f>
        <v/>
      </c>
      <c r="CD283">
        <f>IF(OR('5-man'!CD$66="P",'5-man'!CD$66="R",AND('5-man'!CD$62&lt;=IF('5-man'!$BF$42="",999,'5-man'!$BF$42),OR('5-man'!CD$66="D",LEFT('5-man'!CD$66,3)="ST&gt;",OR(AND('5-man'!CD$63="ST&gt;4",CD252&gt;=100),AND('5-man'!CD$64="ST&gt;4",CD260&gt;=100),AND('5-man'!CD$65="ST&gt;4",CD268&gt;=100),AND('5-man'!CD$67="ST&gt;4",CD284&gt;=100))))),'5-man'!CD$62,0)</f>
        <v/>
      </c>
    </row>
    <row r="284">
      <c r="A284" t="inlineStr">
        <is>
          <t>P5 s1</t>
        </is>
      </c>
      <c r="C284">
        <f>MIN(100,B285+IF(AND(B285&lt;100,B286+1&gt;=IF(OR('5-man'!$F$46=TRUE,'5-man'!$F$46="TRUE",'5-man'!$F$46="Yes"),25,50)),10,0)+IF('5-man'!C$62=$Q$290,25,0))</f>
        <v/>
      </c>
      <c r="D284">
        <f>MIN(100,C285+IF(AND(C285&lt;100,C286+1&gt;=IF(OR('5-man'!$F$46=TRUE,'5-man'!$F$46="TRUE",'5-man'!$F$46="Yes"),25,50)),10,0)+IF('5-man'!D$62=$Q$290,25,0))</f>
        <v/>
      </c>
      <c r="E284">
        <f>MIN(100,D285+IF(AND(D285&lt;100,D286+1&gt;=IF(OR('5-man'!$F$46=TRUE,'5-man'!$F$46="TRUE",'5-man'!$F$46="Yes"),25,50)),10,0)+IF('5-man'!E$62=$Q$290,25,0))</f>
        <v/>
      </c>
      <c r="F284">
        <f>MIN(100,E285+IF(AND(E285&lt;100,E286+1&gt;=IF(OR('5-man'!$F$46=TRUE,'5-man'!$F$46="TRUE",'5-man'!$F$46="Yes"),25,50)),10,0)+IF('5-man'!F$62=$Q$290,25,0))</f>
        <v/>
      </c>
      <c r="G284">
        <f>MIN(100,F285+IF(AND(F285&lt;100,F286+1&gt;=IF(OR('5-man'!$F$46=TRUE,'5-man'!$F$46="TRUE",'5-man'!$F$46="Yes"),25,50)),10,0)+IF('5-man'!G$62=$Q$290,25,0))</f>
        <v/>
      </c>
      <c r="H284">
        <f>MIN(100,G285+IF(AND(G285&lt;100,G286+1&gt;=IF(OR('5-man'!$F$46=TRUE,'5-man'!$F$46="TRUE",'5-man'!$F$46="Yes"),25,50)),10,0)+IF('5-man'!H$62=$Q$290,25,0))</f>
        <v/>
      </c>
      <c r="I284">
        <f>MIN(100,H285+IF(AND(H285&lt;100,H286+1&gt;=IF(OR('5-man'!$F$46=TRUE,'5-man'!$F$46="TRUE",'5-man'!$F$46="Yes"),25,50)),10,0)+IF('5-man'!I$62=$Q$290,25,0))</f>
        <v/>
      </c>
      <c r="J284">
        <f>MIN(100,I285+IF(AND(I285&lt;100,I286+1&gt;=IF(OR('5-man'!$F$46=TRUE,'5-man'!$F$46="TRUE",'5-man'!$F$46="Yes"),25,50)),10,0)+IF('5-man'!J$62=$Q$290,25,0))</f>
        <v/>
      </c>
      <c r="K284">
        <f>MIN(100,J285+IF(AND(J285&lt;100,J286+1&gt;=IF(OR('5-man'!$F$46=TRUE,'5-man'!$F$46="TRUE",'5-man'!$F$46="Yes"),25,50)),10,0)+IF('5-man'!K$62=$Q$290,25,0))</f>
        <v/>
      </c>
      <c r="L284">
        <f>MIN(100,K285+IF(AND(K285&lt;100,K286+1&gt;=IF(OR('5-man'!$F$46=TRUE,'5-man'!$F$46="TRUE",'5-man'!$F$46="Yes"),25,50)),10,0)+IF('5-man'!L$62=$Q$290,25,0))</f>
        <v/>
      </c>
      <c r="M284">
        <f>MIN(100,L285+IF(AND(L285&lt;100,L286+1&gt;=IF(OR('5-man'!$F$46=TRUE,'5-man'!$F$46="TRUE",'5-man'!$F$46="Yes"),25,50)),10,0)+IF('5-man'!M$62=$Q$290,25,0))</f>
        <v/>
      </c>
      <c r="N284">
        <f>MIN(100,M285+IF(AND(M285&lt;100,M286+1&gt;=IF(OR('5-man'!$F$46=TRUE,'5-man'!$F$46="TRUE",'5-man'!$F$46="Yes"),25,50)),10,0)+IF('5-man'!N$62=$Q$290,25,0))</f>
        <v/>
      </c>
      <c r="O284">
        <f>MIN(100,N285+IF(AND(N285&lt;100,N286+1&gt;=IF(OR('5-man'!$F$46=TRUE,'5-man'!$F$46="TRUE",'5-man'!$F$46="Yes"),25,50)),10,0)+IF('5-man'!O$62=$Q$290,25,0))</f>
        <v/>
      </c>
      <c r="P284">
        <f>MIN(100,O285+IF(AND(O285&lt;100,O286+1&gt;=IF(OR('5-man'!$F$46=TRUE,'5-man'!$F$46="TRUE",'5-man'!$F$46="Yes"),25,50)),10,0)+IF('5-man'!P$62=$Q$290,25,0))</f>
        <v/>
      </c>
      <c r="Q284">
        <f>MIN(100,P285+IF(AND(P285&lt;100,P286+1&gt;=IF(OR('5-man'!$F$46=TRUE,'5-man'!$F$46="TRUE",'5-man'!$F$46="Yes"),25,50)),10,0)+IF('5-man'!Q$62=$Q$290,25,0))</f>
        <v/>
      </c>
      <c r="R284">
        <f>MIN(100,Q285+IF(AND(Q285&lt;100,Q286+1&gt;=IF(OR('5-man'!$F$46=TRUE,'5-man'!$F$46="TRUE",'5-man'!$F$46="Yes"),25,50)),10,0)+IF('5-man'!R$62=$Q$290,25,0))</f>
        <v/>
      </c>
      <c r="S284">
        <f>MIN(100,R285+IF(AND(R285&lt;100,R286+1&gt;=IF(OR('5-man'!$F$46=TRUE,'5-man'!$F$46="TRUE",'5-man'!$F$46="Yes"),25,50)),10,0)+IF('5-man'!S$62=$Q$290,25,0))</f>
        <v/>
      </c>
      <c r="T284">
        <f>MIN(100,S285+IF(AND(S285&lt;100,S286+1&gt;=IF(OR('5-man'!$F$46=TRUE,'5-man'!$F$46="TRUE",'5-man'!$F$46="Yes"),25,50)),10,0)+IF('5-man'!T$62=$Q$290,25,0))</f>
        <v/>
      </c>
      <c r="U284">
        <f>MIN(100,T285+IF(AND(T285&lt;100,T286+1&gt;=IF(OR('5-man'!$F$46=TRUE,'5-man'!$F$46="TRUE",'5-man'!$F$46="Yes"),25,50)),10,0)+IF('5-man'!U$62=$Q$290,25,0))</f>
        <v/>
      </c>
      <c r="V284">
        <f>MIN(100,U285+IF(AND(U285&lt;100,U286+1&gt;=IF(OR('5-man'!$F$46=TRUE,'5-man'!$F$46="TRUE",'5-man'!$F$46="Yes"),25,50)),10,0)+IF('5-man'!V$62=$Q$290,25,0))</f>
        <v/>
      </c>
      <c r="W284">
        <f>MIN(100,V285+IF(AND(V285&lt;100,V286+1&gt;=IF(OR('5-man'!$F$46=TRUE,'5-man'!$F$46="TRUE",'5-man'!$F$46="Yes"),25,50)),10,0)+IF('5-man'!W$62=$Q$290,25,0))</f>
        <v/>
      </c>
      <c r="X284">
        <f>MIN(100,W285+IF(AND(W285&lt;100,W286+1&gt;=IF(OR('5-man'!$F$46=TRUE,'5-man'!$F$46="TRUE",'5-man'!$F$46="Yes"),25,50)),10,0)+IF('5-man'!X$62=$Q$290,25,0))</f>
        <v/>
      </c>
      <c r="Y284">
        <f>MIN(100,X285+IF(AND(X285&lt;100,X286+1&gt;=IF(OR('5-man'!$F$46=TRUE,'5-man'!$F$46="TRUE",'5-man'!$F$46="Yes"),25,50)),10,0)+IF('5-man'!Y$62=$Q$290,25,0))</f>
        <v/>
      </c>
      <c r="Z284">
        <f>MIN(100,Y285+IF(AND(Y285&lt;100,Y286+1&gt;=IF(OR('5-man'!$F$46=TRUE,'5-man'!$F$46="TRUE",'5-man'!$F$46="Yes"),25,50)),10,0)+IF('5-man'!Z$62=$Q$290,25,0))</f>
        <v/>
      </c>
      <c r="AA284">
        <f>MIN(100,Z285+IF(AND(Z285&lt;100,Z286+1&gt;=IF(OR('5-man'!$F$46=TRUE,'5-man'!$F$46="TRUE",'5-man'!$F$46="Yes"),25,50)),10,0)+IF('5-man'!AA$62=$Q$290,25,0))</f>
        <v/>
      </c>
      <c r="AB284">
        <f>MIN(100,AA285+IF(AND(AA285&lt;100,AA286+1&gt;=IF(OR('5-man'!$F$46=TRUE,'5-man'!$F$46="TRUE",'5-man'!$F$46="Yes"),25,50)),10,0)+IF('5-man'!AB$62=$Q$290,25,0))</f>
        <v/>
      </c>
      <c r="AC284">
        <f>MIN(100,AB285+IF(AND(AB285&lt;100,AB286+1&gt;=IF(OR('5-man'!$F$46=TRUE,'5-man'!$F$46="TRUE",'5-man'!$F$46="Yes"),25,50)),10,0)+IF('5-man'!AC$62=$Q$290,25,0))</f>
        <v/>
      </c>
      <c r="AD284">
        <f>MIN(100,AC285+IF(AND(AC285&lt;100,AC286+1&gt;=IF(OR('5-man'!$F$46=TRUE,'5-man'!$F$46="TRUE",'5-man'!$F$46="Yes"),25,50)),10,0)+IF('5-man'!AD$62=$Q$290,25,0))</f>
        <v/>
      </c>
      <c r="AE284">
        <f>MIN(100,AD285+IF(AND(AD285&lt;100,AD286+1&gt;=IF(OR('5-man'!$F$46=TRUE,'5-man'!$F$46="TRUE",'5-man'!$F$46="Yes"),25,50)),10,0)+IF('5-man'!AE$62=$Q$290,25,0))</f>
        <v/>
      </c>
      <c r="AF284">
        <f>MIN(100,AE285+IF(AND(AE285&lt;100,AE286+1&gt;=IF(OR('5-man'!$F$46=TRUE,'5-man'!$F$46="TRUE",'5-man'!$F$46="Yes"),25,50)),10,0)+IF('5-man'!AF$62=$Q$290,25,0))</f>
        <v/>
      </c>
      <c r="AG284">
        <f>MIN(100,AF285+IF(AND(AF285&lt;100,AF286+1&gt;=IF(OR('5-man'!$F$46=TRUE,'5-man'!$F$46="TRUE",'5-man'!$F$46="Yes"),25,50)),10,0)+IF('5-man'!AG$62=$Q$290,25,0))</f>
        <v/>
      </c>
      <c r="AH284">
        <f>MIN(100,AG285+IF(AND(AG285&lt;100,AG286+1&gt;=IF(OR('5-man'!$F$46=TRUE,'5-man'!$F$46="TRUE",'5-man'!$F$46="Yes"),25,50)),10,0)+IF('5-man'!AH$62=$Q$290,25,0))</f>
        <v/>
      </c>
      <c r="AI284">
        <f>MIN(100,AH285+IF(AND(AH285&lt;100,AH286+1&gt;=IF(OR('5-man'!$F$46=TRUE,'5-man'!$F$46="TRUE",'5-man'!$F$46="Yes"),25,50)),10,0)+IF('5-man'!AI$62=$Q$290,25,0))</f>
        <v/>
      </c>
      <c r="AJ284">
        <f>MIN(100,AI285+IF(AND(AI285&lt;100,AI286+1&gt;=IF(OR('5-man'!$F$46=TRUE,'5-man'!$F$46="TRUE",'5-man'!$F$46="Yes"),25,50)),10,0)+IF('5-man'!AJ$62=$Q$290,25,0))</f>
        <v/>
      </c>
      <c r="AK284">
        <f>MIN(100,AJ285+IF(AND(AJ285&lt;100,AJ286+1&gt;=IF(OR('5-man'!$F$46=TRUE,'5-man'!$F$46="TRUE",'5-man'!$F$46="Yes"),25,50)),10,0)+IF('5-man'!AK$62=$Q$290,25,0))</f>
        <v/>
      </c>
      <c r="AL284">
        <f>MIN(100,AK285+IF(AND(AK285&lt;100,AK286+1&gt;=IF(OR('5-man'!$F$46=TRUE,'5-man'!$F$46="TRUE",'5-man'!$F$46="Yes"),25,50)),10,0)+IF('5-man'!AL$62=$Q$290,25,0))</f>
        <v/>
      </c>
      <c r="AM284">
        <f>MIN(100,AL285+IF(AND(AL285&lt;100,AL286+1&gt;=IF(OR('5-man'!$F$46=TRUE,'5-man'!$F$46="TRUE",'5-man'!$F$46="Yes"),25,50)),10,0)+IF('5-man'!AM$62=$Q$290,25,0))</f>
        <v/>
      </c>
      <c r="AN284">
        <f>MIN(100,AM285+IF(AND(AM285&lt;100,AM286+1&gt;=IF(OR('5-man'!$F$46=TRUE,'5-man'!$F$46="TRUE",'5-man'!$F$46="Yes"),25,50)),10,0)+IF('5-man'!AN$62=$Q$290,25,0))</f>
        <v/>
      </c>
      <c r="AO284">
        <f>MIN(100,AN285+IF(AND(AN285&lt;100,AN286+1&gt;=IF(OR('5-man'!$F$46=TRUE,'5-man'!$F$46="TRUE",'5-man'!$F$46="Yes"),25,50)),10,0)+IF('5-man'!AO$62=$Q$290,25,0))</f>
        <v/>
      </c>
      <c r="AP284">
        <f>MIN(100,AO285+IF(AND(AO285&lt;100,AO286+1&gt;=IF(OR('5-man'!$F$46=TRUE,'5-man'!$F$46="TRUE",'5-man'!$F$46="Yes"),25,50)),10,0)+IF('5-man'!AP$62=$Q$290,25,0))</f>
        <v/>
      </c>
      <c r="AQ284">
        <f>MIN(100,AP285+IF(AND(AP285&lt;100,AP286+1&gt;=IF(OR('5-man'!$F$46=TRUE,'5-man'!$F$46="TRUE",'5-man'!$F$46="Yes"),25,50)),10,0)+IF('5-man'!AQ$62=$Q$290,25,0))</f>
        <v/>
      </c>
      <c r="AR284">
        <f>MIN(100,AQ285+IF(AND(AQ285&lt;100,AQ286+1&gt;=IF(OR('5-man'!$F$46=TRUE,'5-man'!$F$46="TRUE",'5-man'!$F$46="Yes"),25,50)),10,0)+IF('5-man'!AR$62=$Q$290,25,0))</f>
        <v/>
      </c>
      <c r="AS284">
        <f>MIN(100,AR285+IF(AND(AR285&lt;100,AR286+1&gt;=IF(OR('5-man'!$F$46=TRUE,'5-man'!$F$46="TRUE",'5-man'!$F$46="Yes"),25,50)),10,0)+IF('5-man'!AS$62=$Q$290,25,0))</f>
        <v/>
      </c>
      <c r="AT284">
        <f>MIN(100,AS285+IF(AND(AS285&lt;100,AS286+1&gt;=IF(OR('5-man'!$F$46=TRUE,'5-man'!$F$46="TRUE",'5-man'!$F$46="Yes"),25,50)),10,0)+IF('5-man'!AT$62=$Q$290,25,0))</f>
        <v/>
      </c>
      <c r="AU284">
        <f>MIN(100,AT285+IF(AND(AT285&lt;100,AT286+1&gt;=IF(OR('5-man'!$F$46=TRUE,'5-man'!$F$46="TRUE",'5-man'!$F$46="Yes"),25,50)),10,0)+IF('5-man'!AU$62=$Q$290,25,0))</f>
        <v/>
      </c>
      <c r="AV284">
        <f>MIN(100,AU285+IF(AND(AU285&lt;100,AU286+1&gt;=IF(OR('5-man'!$F$46=TRUE,'5-man'!$F$46="TRUE",'5-man'!$F$46="Yes"),25,50)),10,0)+IF('5-man'!AV$62=$Q$290,25,0))</f>
        <v/>
      </c>
      <c r="AW284">
        <f>MIN(100,AV285+IF(AND(AV285&lt;100,AV286+1&gt;=IF(OR('5-man'!$F$46=TRUE,'5-man'!$F$46="TRUE",'5-man'!$F$46="Yes"),25,50)),10,0)+IF('5-man'!AW$62=$Q$290,25,0))</f>
        <v/>
      </c>
      <c r="AX284">
        <f>MIN(100,AW285+IF(AND(AW285&lt;100,AW286+1&gt;=IF(OR('5-man'!$F$46=TRUE,'5-man'!$F$46="TRUE",'5-man'!$F$46="Yes"),25,50)),10,0)+IF('5-man'!AX$62=$Q$290,25,0))</f>
        <v/>
      </c>
      <c r="AY284">
        <f>MIN(100,AX285+IF(AND(AX285&lt;100,AX286+1&gt;=IF(OR('5-man'!$F$46=TRUE,'5-man'!$F$46="TRUE",'5-man'!$F$46="Yes"),25,50)),10,0)+IF('5-man'!AY$62=$Q$290,25,0))</f>
        <v/>
      </c>
      <c r="AZ284">
        <f>MIN(100,AY285+IF(AND(AY285&lt;100,AY286+1&gt;=IF(OR('5-man'!$F$46=TRUE,'5-man'!$F$46="TRUE",'5-man'!$F$46="Yes"),25,50)),10,0)+IF('5-man'!AZ$62=$Q$290,25,0))</f>
        <v/>
      </c>
      <c r="BA284">
        <f>MIN(100,AZ285+IF(AND(AZ285&lt;100,AZ286+1&gt;=IF(OR('5-man'!$F$46=TRUE,'5-man'!$F$46="TRUE",'5-man'!$F$46="Yes"),25,50)),10,0)+IF('5-man'!BA$62=$Q$290,25,0))</f>
        <v/>
      </c>
      <c r="BB284">
        <f>MIN(100,BA285+IF(AND(BA285&lt;100,BA286+1&gt;=IF(OR('5-man'!$F$46=TRUE,'5-man'!$F$46="TRUE",'5-man'!$F$46="Yes"),25,50)),10,0)+IF('5-man'!BB$62=$Q$290,25,0))</f>
        <v/>
      </c>
      <c r="BC284">
        <f>MIN(100,BB285+IF(AND(BB285&lt;100,BB286+1&gt;=IF(OR('5-man'!$F$46=TRUE,'5-man'!$F$46="TRUE",'5-man'!$F$46="Yes"),25,50)),10,0)+IF('5-man'!BC$62=$Q$290,25,0))</f>
        <v/>
      </c>
      <c r="BD284">
        <f>MIN(100,BC285+IF(AND(BC285&lt;100,BC286+1&gt;=IF(OR('5-man'!$F$46=TRUE,'5-man'!$F$46="TRUE",'5-man'!$F$46="Yes"),25,50)),10,0)+IF('5-man'!BD$62=$Q$290,25,0))</f>
        <v/>
      </c>
      <c r="BE284">
        <f>MIN(100,BD285+IF(AND(BD285&lt;100,BD286+1&gt;=IF(OR('5-man'!$F$46=TRUE,'5-man'!$F$46="TRUE",'5-man'!$F$46="Yes"),25,50)),10,0)+IF('5-man'!BE$62=$Q$290,25,0))</f>
        <v/>
      </c>
      <c r="BF284">
        <f>MIN(100,BE285+IF(AND(BE285&lt;100,BE286+1&gt;=IF(OR('5-man'!$F$46=TRUE,'5-man'!$F$46="TRUE",'5-man'!$F$46="Yes"),25,50)),10,0)+IF('5-man'!BF$62=$Q$290,25,0))</f>
        <v/>
      </c>
      <c r="BG284">
        <f>MIN(100,BF285+IF(AND(BF285&lt;100,BF286+1&gt;=IF(OR('5-man'!$F$46=TRUE,'5-man'!$F$46="TRUE",'5-man'!$F$46="Yes"),25,50)),10,0)+IF('5-man'!BG$62=$Q$290,25,0))</f>
        <v/>
      </c>
      <c r="BH284">
        <f>MIN(100,BG285+IF(AND(BG285&lt;100,BG286+1&gt;=IF(OR('5-man'!$F$46=TRUE,'5-man'!$F$46="TRUE",'5-man'!$F$46="Yes"),25,50)),10,0)+IF('5-man'!BH$62=$Q$290,25,0))</f>
        <v/>
      </c>
      <c r="BI284">
        <f>MIN(100,BH285+IF(AND(BH285&lt;100,BH286+1&gt;=IF(OR('5-man'!$F$46=TRUE,'5-man'!$F$46="TRUE",'5-man'!$F$46="Yes"),25,50)),10,0)+IF('5-man'!BI$62=$Q$290,25,0))</f>
        <v/>
      </c>
      <c r="BJ284">
        <f>MIN(100,BI285+IF(AND(BI285&lt;100,BI286+1&gt;=IF(OR('5-man'!$F$46=TRUE,'5-man'!$F$46="TRUE",'5-man'!$F$46="Yes"),25,50)),10,0)+IF('5-man'!BJ$62=$Q$290,25,0))</f>
        <v/>
      </c>
      <c r="BK284">
        <f>MIN(100,BJ285+IF(AND(BJ285&lt;100,BJ286+1&gt;=IF(OR('5-man'!$F$46=TRUE,'5-man'!$F$46="TRUE",'5-man'!$F$46="Yes"),25,50)),10,0)+IF('5-man'!BK$62=$Q$290,25,0))</f>
        <v/>
      </c>
      <c r="BL284">
        <f>MIN(100,BK285+IF(AND(BK285&lt;100,BK286+1&gt;=IF(OR('5-man'!$F$46=TRUE,'5-man'!$F$46="TRUE",'5-man'!$F$46="Yes"),25,50)),10,0)+IF('5-man'!BL$62=$Q$290,25,0))</f>
        <v/>
      </c>
      <c r="BM284">
        <f>MIN(100,BL285+IF(AND(BL285&lt;100,BL286+1&gt;=IF(OR('5-man'!$F$46=TRUE,'5-man'!$F$46="TRUE",'5-man'!$F$46="Yes"),25,50)),10,0)+IF('5-man'!BM$62=$Q$290,25,0))</f>
        <v/>
      </c>
      <c r="BN284">
        <f>MIN(100,BM285+IF(AND(BM285&lt;100,BM286+1&gt;=IF(OR('5-man'!$F$46=TRUE,'5-man'!$F$46="TRUE",'5-man'!$F$46="Yes"),25,50)),10,0)+IF('5-man'!BN$62=$Q$290,25,0))</f>
        <v/>
      </c>
      <c r="BO284">
        <f>MIN(100,BN285+IF(AND(BN285&lt;100,BN286+1&gt;=IF(OR('5-man'!$F$46=TRUE,'5-man'!$F$46="TRUE",'5-man'!$F$46="Yes"),25,50)),10,0)+IF('5-man'!BO$62=$Q$290,25,0))</f>
        <v/>
      </c>
      <c r="BP284">
        <f>MIN(100,BO285+IF(AND(BO285&lt;100,BO286+1&gt;=IF(OR('5-man'!$F$46=TRUE,'5-man'!$F$46="TRUE",'5-man'!$F$46="Yes"),25,50)),10,0)+IF('5-man'!BP$62=$Q$290,25,0))</f>
        <v/>
      </c>
      <c r="BQ284">
        <f>MIN(100,BP285+IF(AND(BP285&lt;100,BP286+1&gt;=IF(OR('5-man'!$F$46=TRUE,'5-man'!$F$46="TRUE",'5-man'!$F$46="Yes"),25,50)),10,0)+IF('5-man'!BQ$62=$Q$290,25,0))</f>
        <v/>
      </c>
      <c r="BR284">
        <f>MIN(100,BQ285+IF(AND(BQ285&lt;100,BQ286+1&gt;=IF(OR('5-man'!$F$46=TRUE,'5-man'!$F$46="TRUE",'5-man'!$F$46="Yes"),25,50)),10,0)+IF('5-man'!BR$62=$Q$290,25,0))</f>
        <v/>
      </c>
      <c r="BS284">
        <f>MIN(100,BR285+IF(AND(BR285&lt;100,BR286+1&gt;=IF(OR('5-man'!$F$46=TRUE,'5-man'!$F$46="TRUE",'5-man'!$F$46="Yes"),25,50)),10,0)+IF('5-man'!BS$62=$Q$290,25,0))</f>
        <v/>
      </c>
      <c r="BT284">
        <f>MIN(100,BS285+IF(AND(BS285&lt;100,BS286+1&gt;=IF(OR('5-man'!$F$46=TRUE,'5-man'!$F$46="TRUE",'5-man'!$F$46="Yes"),25,50)),10,0)+IF('5-man'!BT$62=$Q$290,25,0))</f>
        <v/>
      </c>
      <c r="BU284">
        <f>MIN(100,BT285+IF(AND(BT285&lt;100,BT286+1&gt;=IF(OR('5-man'!$F$46=TRUE,'5-man'!$F$46="TRUE",'5-man'!$F$46="Yes"),25,50)),10,0)+IF('5-man'!BU$62=$Q$290,25,0))</f>
        <v/>
      </c>
      <c r="BV284">
        <f>MIN(100,BU285+IF(AND(BU285&lt;100,BU286+1&gt;=IF(OR('5-man'!$F$46=TRUE,'5-man'!$F$46="TRUE",'5-man'!$F$46="Yes"),25,50)),10,0)+IF('5-man'!BV$62=$Q$290,25,0))</f>
        <v/>
      </c>
      <c r="BW284">
        <f>MIN(100,BV285+IF(AND(BV285&lt;100,BV286+1&gt;=IF(OR('5-man'!$F$46=TRUE,'5-man'!$F$46="TRUE",'5-man'!$F$46="Yes"),25,50)),10,0)+IF('5-man'!BW$62=$Q$290,25,0))</f>
        <v/>
      </c>
      <c r="BX284">
        <f>MIN(100,BW285+IF(AND(BW285&lt;100,BW286+1&gt;=IF(OR('5-man'!$F$46=TRUE,'5-man'!$F$46="TRUE",'5-man'!$F$46="Yes"),25,50)),10,0)+IF('5-man'!BX$62=$Q$290,25,0))</f>
        <v/>
      </c>
      <c r="BY284">
        <f>MIN(100,BX285+IF(AND(BX285&lt;100,BX286+1&gt;=IF(OR('5-man'!$F$46=TRUE,'5-man'!$F$46="TRUE",'5-man'!$F$46="Yes"),25,50)),10,0)+IF('5-man'!BY$62=$Q$290,25,0))</f>
        <v/>
      </c>
      <c r="BZ284">
        <f>MIN(100,BY285+IF(AND(BY285&lt;100,BY286+1&gt;=IF(OR('5-man'!$F$46=TRUE,'5-man'!$F$46="TRUE",'5-man'!$F$46="Yes"),25,50)),10,0)+IF('5-man'!BZ$62=$Q$290,25,0))</f>
        <v/>
      </c>
      <c r="CA284">
        <f>MIN(100,BZ285+IF(AND(BZ285&lt;100,BZ286+1&gt;=IF(OR('5-man'!$F$46=TRUE,'5-man'!$F$46="TRUE",'5-man'!$F$46="Yes"),25,50)),10,0)+IF('5-man'!CA$62=$Q$290,25,0))</f>
        <v/>
      </c>
      <c r="CB284">
        <f>MIN(100,CA285+IF(AND(CA285&lt;100,CA286+1&gt;=IF(OR('5-man'!$F$46=TRUE,'5-man'!$F$46="TRUE",'5-man'!$F$46="Yes"),25,50)),10,0)+IF('5-man'!CB$62=$Q$290,25,0))</f>
        <v/>
      </c>
      <c r="CC284">
        <f>MIN(100,CB285+IF(AND(CB285&lt;100,CB286+1&gt;=IF(OR('5-man'!$F$46=TRUE,'5-man'!$F$46="TRUE",'5-man'!$F$46="Yes"),25,50)),10,0)+IF('5-man'!CC$62=$Q$290,25,0))</f>
        <v/>
      </c>
      <c r="CD284">
        <f>MIN(100,CC285+IF(AND(CC285&lt;100,CC286+1&gt;=IF(OR('5-man'!$F$46=TRUE,'5-man'!$F$46="TRUE",'5-man'!$F$46="Yes"),25,50)),10,0)+IF('5-man'!CD$62=$Q$290,25,0))</f>
        <v/>
      </c>
    </row>
    <row r="285">
      <c r="A285" t="inlineStr">
        <is>
          <t>P5 spec</t>
        </is>
      </c>
      <c r="B285">
        <f>IF('5-man'!$C$46="",100,'5-man'!$C$46)</f>
        <v/>
      </c>
      <c r="C285">
        <f>IF('5-man'!C$67="R",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5-man'!D$67="R",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5-man'!E$67="R",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5-man'!F$67="R",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5-man'!G$67="R",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5-man'!H$67="R",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5-man'!I$67="R",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5-man'!J$67="R",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5-man'!K$67="R",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5-man'!L$67="R",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5-man'!M$67="R",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5-man'!N$67="R",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5-man'!O$67="R",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5-man'!P$67="R",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5-man'!Q$67="R",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5-man'!R$67="R",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5-man'!S$67="R",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5-man'!T$67="R",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5-man'!U$67="R",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5-man'!V$67="R",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5-man'!W$67="R",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5-man'!X$67="R",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5-man'!Y$67="R",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5-man'!Z$67="R",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5-man'!AA$67="R",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5-man'!AB$67="R",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5-man'!AC$67="R",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5-man'!AD$67="R",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5-man'!AE$67="R",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5-man'!AF$67="R",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5-man'!AG$67="R",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5-man'!AH$67="R",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5-man'!AI$67="R",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5-man'!AJ$67="R",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5-man'!AK$67="R",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5-man'!AL$67="R",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5-man'!AM$67="R",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5-man'!AN$67="R",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5-man'!AO$67="R",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5-man'!AP$67="R",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5-man'!AQ$67="R",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5-man'!AR$67="R",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5-man'!AS$67="R",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5-man'!AT$67="R",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5-man'!AU$67="R",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5-man'!AV$67="R",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5-man'!AW$67="R",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5-man'!AX$67="R",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5-man'!AY$67="R",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5-man'!AZ$67="R",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5-man'!BA$67="R",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5-man'!BB$67="R",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5-man'!BC$67="R",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5-man'!BD$67="R",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5-man'!BE$67="R",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5-man'!BF$67="R",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5-man'!BG$67="R",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5-man'!BH$67="R",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5-man'!BI$67="R",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5-man'!BJ$67="R",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5-man'!BK$67="R",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5-man'!BL$67="R",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5-man'!BM$67="R",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5-man'!BN$67="R",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5-man'!BO$67="R",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5-man'!BP$67="R",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5-man'!BQ$67="R",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5-man'!BR$67="R",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5-man'!BS$67="R",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5-man'!BT$67="R",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5-man'!BU$67="R",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5-man'!BV$67="R",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5-man'!BW$67="R",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5-man'!BX$67="R",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5-man'!BY$67="R",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5-man'!BZ$67="R",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5-man'!CA$67="R",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5-man'!CB$67="R",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5-man'!CC$67="R",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5-man'!CD$67="R",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IF('5-man'!C$67="R",0,IF(B285&gt;=100,0,IF(B286+1&gt;=IF(OR('5-man'!$F$46=TRUE,'5-man'!$F$46="TRUE",'5-man'!$F$46="Yes"),25,50),0,B286+1)))</f>
        <v/>
      </c>
      <c r="D286">
        <f>IF('5-man'!D$67="R",0,IF(C285&gt;=100,0,IF(C286+1&gt;=IF(OR('5-man'!$F$46=TRUE,'5-man'!$F$46="TRUE",'5-man'!$F$46="Yes"),25,50),0,C286+1)))</f>
        <v/>
      </c>
      <c r="E286">
        <f>IF('5-man'!E$67="R",0,IF(D285&gt;=100,0,IF(D286+1&gt;=IF(OR('5-man'!$F$46=TRUE,'5-man'!$F$46="TRUE",'5-man'!$F$46="Yes"),25,50),0,D286+1)))</f>
        <v/>
      </c>
      <c r="F286">
        <f>IF('5-man'!F$67="R",0,IF(E285&gt;=100,0,IF(E286+1&gt;=IF(OR('5-man'!$F$46=TRUE,'5-man'!$F$46="TRUE",'5-man'!$F$46="Yes"),25,50),0,E286+1)))</f>
        <v/>
      </c>
      <c r="G286">
        <f>IF('5-man'!G$67="R",0,IF(F285&gt;=100,0,IF(F286+1&gt;=IF(OR('5-man'!$F$46=TRUE,'5-man'!$F$46="TRUE",'5-man'!$F$46="Yes"),25,50),0,F286+1)))</f>
        <v/>
      </c>
      <c r="H286">
        <f>IF('5-man'!H$67="R",0,IF(G285&gt;=100,0,IF(G286+1&gt;=IF(OR('5-man'!$F$46=TRUE,'5-man'!$F$46="TRUE",'5-man'!$F$46="Yes"),25,50),0,G286+1)))</f>
        <v/>
      </c>
      <c r="I286">
        <f>IF('5-man'!I$67="R",0,IF(H285&gt;=100,0,IF(H286+1&gt;=IF(OR('5-man'!$F$46=TRUE,'5-man'!$F$46="TRUE",'5-man'!$F$46="Yes"),25,50),0,H286+1)))</f>
        <v/>
      </c>
      <c r="J286">
        <f>IF('5-man'!J$67="R",0,IF(I285&gt;=100,0,IF(I286+1&gt;=IF(OR('5-man'!$F$46=TRUE,'5-man'!$F$46="TRUE",'5-man'!$F$46="Yes"),25,50),0,I286+1)))</f>
        <v/>
      </c>
      <c r="K286">
        <f>IF('5-man'!K$67="R",0,IF(J285&gt;=100,0,IF(J286+1&gt;=IF(OR('5-man'!$F$46=TRUE,'5-man'!$F$46="TRUE",'5-man'!$F$46="Yes"),25,50),0,J286+1)))</f>
        <v/>
      </c>
      <c r="L286">
        <f>IF('5-man'!L$67="R",0,IF(K285&gt;=100,0,IF(K286+1&gt;=IF(OR('5-man'!$F$46=TRUE,'5-man'!$F$46="TRUE",'5-man'!$F$46="Yes"),25,50),0,K286+1)))</f>
        <v/>
      </c>
      <c r="M286">
        <f>IF('5-man'!M$67="R",0,IF(L285&gt;=100,0,IF(L286+1&gt;=IF(OR('5-man'!$F$46=TRUE,'5-man'!$F$46="TRUE",'5-man'!$F$46="Yes"),25,50),0,L286+1)))</f>
        <v/>
      </c>
      <c r="N286">
        <f>IF('5-man'!N$67="R",0,IF(M285&gt;=100,0,IF(M286+1&gt;=IF(OR('5-man'!$F$46=TRUE,'5-man'!$F$46="TRUE",'5-man'!$F$46="Yes"),25,50),0,M286+1)))</f>
        <v/>
      </c>
      <c r="O286">
        <f>IF('5-man'!O$67="R",0,IF(N285&gt;=100,0,IF(N286+1&gt;=IF(OR('5-man'!$F$46=TRUE,'5-man'!$F$46="TRUE",'5-man'!$F$46="Yes"),25,50),0,N286+1)))</f>
        <v/>
      </c>
      <c r="P286">
        <f>IF('5-man'!P$67="R",0,IF(O285&gt;=100,0,IF(O286+1&gt;=IF(OR('5-man'!$F$46=TRUE,'5-man'!$F$46="TRUE",'5-man'!$F$46="Yes"),25,50),0,O286+1)))</f>
        <v/>
      </c>
      <c r="Q286">
        <f>IF('5-man'!Q$67="R",0,IF(P285&gt;=100,0,IF(P286+1&gt;=IF(OR('5-man'!$F$46=TRUE,'5-man'!$F$46="TRUE",'5-man'!$F$46="Yes"),25,50),0,P286+1)))</f>
        <v/>
      </c>
      <c r="R286">
        <f>IF('5-man'!R$67="R",0,IF(Q285&gt;=100,0,IF(Q286+1&gt;=IF(OR('5-man'!$F$46=TRUE,'5-man'!$F$46="TRUE",'5-man'!$F$46="Yes"),25,50),0,Q286+1)))</f>
        <v/>
      </c>
      <c r="S286">
        <f>IF('5-man'!S$67="R",0,IF(R285&gt;=100,0,IF(R286+1&gt;=IF(OR('5-man'!$F$46=TRUE,'5-man'!$F$46="TRUE",'5-man'!$F$46="Yes"),25,50),0,R286+1)))</f>
        <v/>
      </c>
      <c r="T286">
        <f>IF('5-man'!T$67="R",0,IF(S285&gt;=100,0,IF(S286+1&gt;=IF(OR('5-man'!$F$46=TRUE,'5-man'!$F$46="TRUE",'5-man'!$F$46="Yes"),25,50),0,S286+1)))</f>
        <v/>
      </c>
      <c r="U286">
        <f>IF('5-man'!U$67="R",0,IF(T285&gt;=100,0,IF(T286+1&gt;=IF(OR('5-man'!$F$46=TRUE,'5-man'!$F$46="TRUE",'5-man'!$F$46="Yes"),25,50),0,T286+1)))</f>
        <v/>
      </c>
      <c r="V286">
        <f>IF('5-man'!V$67="R",0,IF(U285&gt;=100,0,IF(U286+1&gt;=IF(OR('5-man'!$F$46=TRUE,'5-man'!$F$46="TRUE",'5-man'!$F$46="Yes"),25,50),0,U286+1)))</f>
        <v/>
      </c>
      <c r="W286">
        <f>IF('5-man'!W$67="R",0,IF(V285&gt;=100,0,IF(V286+1&gt;=IF(OR('5-man'!$F$46=TRUE,'5-man'!$F$46="TRUE",'5-man'!$F$46="Yes"),25,50),0,V286+1)))</f>
        <v/>
      </c>
      <c r="X286">
        <f>IF('5-man'!X$67="R",0,IF(W285&gt;=100,0,IF(W286+1&gt;=IF(OR('5-man'!$F$46=TRUE,'5-man'!$F$46="TRUE",'5-man'!$F$46="Yes"),25,50),0,W286+1)))</f>
        <v/>
      </c>
      <c r="Y286">
        <f>IF('5-man'!Y$67="R",0,IF(X285&gt;=100,0,IF(X286+1&gt;=IF(OR('5-man'!$F$46=TRUE,'5-man'!$F$46="TRUE",'5-man'!$F$46="Yes"),25,50),0,X286+1)))</f>
        <v/>
      </c>
      <c r="Z286">
        <f>IF('5-man'!Z$67="R",0,IF(Y285&gt;=100,0,IF(Y286+1&gt;=IF(OR('5-man'!$F$46=TRUE,'5-man'!$F$46="TRUE",'5-man'!$F$46="Yes"),25,50),0,Y286+1)))</f>
        <v/>
      </c>
      <c r="AA286">
        <f>IF('5-man'!AA$67="R",0,IF(Z285&gt;=100,0,IF(Z286+1&gt;=IF(OR('5-man'!$F$46=TRUE,'5-man'!$F$46="TRUE",'5-man'!$F$46="Yes"),25,50),0,Z286+1)))</f>
        <v/>
      </c>
      <c r="AB286">
        <f>IF('5-man'!AB$67="R",0,IF(AA285&gt;=100,0,IF(AA286+1&gt;=IF(OR('5-man'!$F$46=TRUE,'5-man'!$F$46="TRUE",'5-man'!$F$46="Yes"),25,50),0,AA286+1)))</f>
        <v/>
      </c>
      <c r="AC286">
        <f>IF('5-man'!AC$67="R",0,IF(AB285&gt;=100,0,IF(AB286+1&gt;=IF(OR('5-man'!$F$46=TRUE,'5-man'!$F$46="TRUE",'5-man'!$F$46="Yes"),25,50),0,AB286+1)))</f>
        <v/>
      </c>
      <c r="AD286">
        <f>IF('5-man'!AD$67="R",0,IF(AC285&gt;=100,0,IF(AC286+1&gt;=IF(OR('5-man'!$F$46=TRUE,'5-man'!$F$46="TRUE",'5-man'!$F$46="Yes"),25,50),0,AC286+1)))</f>
        <v/>
      </c>
      <c r="AE286">
        <f>IF('5-man'!AE$67="R",0,IF(AD285&gt;=100,0,IF(AD286+1&gt;=IF(OR('5-man'!$F$46=TRUE,'5-man'!$F$46="TRUE",'5-man'!$F$46="Yes"),25,50),0,AD286+1)))</f>
        <v/>
      </c>
      <c r="AF286">
        <f>IF('5-man'!AF$67="R",0,IF(AE285&gt;=100,0,IF(AE286+1&gt;=IF(OR('5-man'!$F$46=TRUE,'5-man'!$F$46="TRUE",'5-man'!$F$46="Yes"),25,50),0,AE286+1)))</f>
        <v/>
      </c>
      <c r="AG286">
        <f>IF('5-man'!AG$67="R",0,IF(AF285&gt;=100,0,IF(AF286+1&gt;=IF(OR('5-man'!$F$46=TRUE,'5-man'!$F$46="TRUE",'5-man'!$F$46="Yes"),25,50),0,AF286+1)))</f>
        <v/>
      </c>
      <c r="AH286">
        <f>IF('5-man'!AH$67="R",0,IF(AG285&gt;=100,0,IF(AG286+1&gt;=IF(OR('5-man'!$F$46=TRUE,'5-man'!$F$46="TRUE",'5-man'!$F$46="Yes"),25,50),0,AG286+1)))</f>
        <v/>
      </c>
      <c r="AI286">
        <f>IF('5-man'!AI$67="R",0,IF(AH285&gt;=100,0,IF(AH286+1&gt;=IF(OR('5-man'!$F$46=TRUE,'5-man'!$F$46="TRUE",'5-man'!$F$46="Yes"),25,50),0,AH286+1)))</f>
        <v/>
      </c>
      <c r="AJ286">
        <f>IF('5-man'!AJ$67="R",0,IF(AI285&gt;=100,0,IF(AI286+1&gt;=IF(OR('5-man'!$F$46=TRUE,'5-man'!$F$46="TRUE",'5-man'!$F$46="Yes"),25,50),0,AI286+1)))</f>
        <v/>
      </c>
      <c r="AK286">
        <f>IF('5-man'!AK$67="R",0,IF(AJ285&gt;=100,0,IF(AJ286+1&gt;=IF(OR('5-man'!$F$46=TRUE,'5-man'!$F$46="TRUE",'5-man'!$F$46="Yes"),25,50),0,AJ286+1)))</f>
        <v/>
      </c>
      <c r="AL286">
        <f>IF('5-man'!AL$67="R",0,IF(AK285&gt;=100,0,IF(AK286+1&gt;=IF(OR('5-man'!$F$46=TRUE,'5-man'!$F$46="TRUE",'5-man'!$F$46="Yes"),25,50),0,AK286+1)))</f>
        <v/>
      </c>
      <c r="AM286">
        <f>IF('5-man'!AM$67="R",0,IF(AL285&gt;=100,0,IF(AL286+1&gt;=IF(OR('5-man'!$F$46=TRUE,'5-man'!$F$46="TRUE",'5-man'!$F$46="Yes"),25,50),0,AL286+1)))</f>
        <v/>
      </c>
      <c r="AN286">
        <f>IF('5-man'!AN$67="R",0,IF(AM285&gt;=100,0,IF(AM286+1&gt;=IF(OR('5-man'!$F$46=TRUE,'5-man'!$F$46="TRUE",'5-man'!$F$46="Yes"),25,50),0,AM286+1)))</f>
        <v/>
      </c>
      <c r="AO286">
        <f>IF('5-man'!AO$67="R",0,IF(AN285&gt;=100,0,IF(AN286+1&gt;=IF(OR('5-man'!$F$46=TRUE,'5-man'!$F$46="TRUE",'5-man'!$F$46="Yes"),25,50),0,AN286+1)))</f>
        <v/>
      </c>
      <c r="AP286">
        <f>IF('5-man'!AP$67="R",0,IF(AO285&gt;=100,0,IF(AO286+1&gt;=IF(OR('5-man'!$F$46=TRUE,'5-man'!$F$46="TRUE",'5-man'!$F$46="Yes"),25,50),0,AO286+1)))</f>
        <v/>
      </c>
      <c r="AQ286">
        <f>IF('5-man'!AQ$67="R",0,IF(AP285&gt;=100,0,IF(AP286+1&gt;=IF(OR('5-man'!$F$46=TRUE,'5-man'!$F$46="TRUE",'5-man'!$F$46="Yes"),25,50),0,AP286+1)))</f>
        <v/>
      </c>
      <c r="AR286">
        <f>IF('5-man'!AR$67="R",0,IF(AQ285&gt;=100,0,IF(AQ286+1&gt;=IF(OR('5-man'!$F$46=TRUE,'5-man'!$F$46="TRUE",'5-man'!$F$46="Yes"),25,50),0,AQ286+1)))</f>
        <v/>
      </c>
      <c r="AS286">
        <f>IF('5-man'!AS$67="R",0,IF(AR285&gt;=100,0,IF(AR286+1&gt;=IF(OR('5-man'!$F$46=TRUE,'5-man'!$F$46="TRUE",'5-man'!$F$46="Yes"),25,50),0,AR286+1)))</f>
        <v/>
      </c>
      <c r="AT286">
        <f>IF('5-man'!AT$67="R",0,IF(AS285&gt;=100,0,IF(AS286+1&gt;=IF(OR('5-man'!$F$46=TRUE,'5-man'!$F$46="TRUE",'5-man'!$F$46="Yes"),25,50),0,AS286+1)))</f>
        <v/>
      </c>
      <c r="AU286">
        <f>IF('5-man'!AU$67="R",0,IF(AT285&gt;=100,0,IF(AT286+1&gt;=IF(OR('5-man'!$F$46=TRUE,'5-man'!$F$46="TRUE",'5-man'!$F$46="Yes"),25,50),0,AT286+1)))</f>
        <v/>
      </c>
      <c r="AV286">
        <f>IF('5-man'!AV$67="R",0,IF(AU285&gt;=100,0,IF(AU286+1&gt;=IF(OR('5-man'!$F$46=TRUE,'5-man'!$F$46="TRUE",'5-man'!$F$46="Yes"),25,50),0,AU286+1)))</f>
        <v/>
      </c>
      <c r="AW286">
        <f>IF('5-man'!AW$67="R",0,IF(AV285&gt;=100,0,IF(AV286+1&gt;=IF(OR('5-man'!$F$46=TRUE,'5-man'!$F$46="TRUE",'5-man'!$F$46="Yes"),25,50),0,AV286+1)))</f>
        <v/>
      </c>
      <c r="AX286">
        <f>IF('5-man'!AX$67="R",0,IF(AW285&gt;=100,0,IF(AW286+1&gt;=IF(OR('5-man'!$F$46=TRUE,'5-man'!$F$46="TRUE",'5-man'!$F$46="Yes"),25,50),0,AW286+1)))</f>
        <v/>
      </c>
      <c r="AY286">
        <f>IF('5-man'!AY$67="R",0,IF(AX285&gt;=100,0,IF(AX286+1&gt;=IF(OR('5-man'!$F$46=TRUE,'5-man'!$F$46="TRUE",'5-man'!$F$46="Yes"),25,50),0,AX286+1)))</f>
        <v/>
      </c>
      <c r="AZ286">
        <f>IF('5-man'!AZ$67="R",0,IF(AY285&gt;=100,0,IF(AY286+1&gt;=IF(OR('5-man'!$F$46=TRUE,'5-man'!$F$46="TRUE",'5-man'!$F$46="Yes"),25,50),0,AY286+1)))</f>
        <v/>
      </c>
      <c r="BA286">
        <f>IF('5-man'!BA$67="R",0,IF(AZ285&gt;=100,0,IF(AZ286+1&gt;=IF(OR('5-man'!$F$46=TRUE,'5-man'!$F$46="TRUE",'5-man'!$F$46="Yes"),25,50),0,AZ286+1)))</f>
        <v/>
      </c>
      <c r="BB286">
        <f>IF('5-man'!BB$67="R",0,IF(BA285&gt;=100,0,IF(BA286+1&gt;=IF(OR('5-man'!$F$46=TRUE,'5-man'!$F$46="TRUE",'5-man'!$F$46="Yes"),25,50),0,BA286+1)))</f>
        <v/>
      </c>
      <c r="BC286">
        <f>IF('5-man'!BC$67="R",0,IF(BB285&gt;=100,0,IF(BB286+1&gt;=IF(OR('5-man'!$F$46=TRUE,'5-man'!$F$46="TRUE",'5-man'!$F$46="Yes"),25,50),0,BB286+1)))</f>
        <v/>
      </c>
      <c r="BD286">
        <f>IF('5-man'!BD$67="R",0,IF(BC285&gt;=100,0,IF(BC286+1&gt;=IF(OR('5-man'!$F$46=TRUE,'5-man'!$F$46="TRUE",'5-man'!$F$46="Yes"),25,50),0,BC286+1)))</f>
        <v/>
      </c>
      <c r="BE286">
        <f>IF('5-man'!BE$67="R",0,IF(BD285&gt;=100,0,IF(BD286+1&gt;=IF(OR('5-man'!$F$46=TRUE,'5-man'!$F$46="TRUE",'5-man'!$F$46="Yes"),25,50),0,BD286+1)))</f>
        <v/>
      </c>
      <c r="BF286">
        <f>IF('5-man'!BF$67="R",0,IF(BE285&gt;=100,0,IF(BE286+1&gt;=IF(OR('5-man'!$F$46=TRUE,'5-man'!$F$46="TRUE",'5-man'!$F$46="Yes"),25,50),0,BE286+1)))</f>
        <v/>
      </c>
      <c r="BG286">
        <f>IF('5-man'!BG$67="R",0,IF(BF285&gt;=100,0,IF(BF286+1&gt;=IF(OR('5-man'!$F$46=TRUE,'5-man'!$F$46="TRUE",'5-man'!$F$46="Yes"),25,50),0,BF286+1)))</f>
        <v/>
      </c>
      <c r="BH286">
        <f>IF('5-man'!BH$67="R",0,IF(BG285&gt;=100,0,IF(BG286+1&gt;=IF(OR('5-man'!$F$46=TRUE,'5-man'!$F$46="TRUE",'5-man'!$F$46="Yes"),25,50),0,BG286+1)))</f>
        <v/>
      </c>
      <c r="BI286">
        <f>IF('5-man'!BI$67="R",0,IF(BH285&gt;=100,0,IF(BH286+1&gt;=IF(OR('5-man'!$F$46=TRUE,'5-man'!$F$46="TRUE",'5-man'!$F$46="Yes"),25,50),0,BH286+1)))</f>
        <v/>
      </c>
      <c r="BJ286">
        <f>IF('5-man'!BJ$67="R",0,IF(BI285&gt;=100,0,IF(BI286+1&gt;=IF(OR('5-man'!$F$46=TRUE,'5-man'!$F$46="TRUE",'5-man'!$F$46="Yes"),25,50),0,BI286+1)))</f>
        <v/>
      </c>
      <c r="BK286">
        <f>IF('5-man'!BK$67="R",0,IF(BJ285&gt;=100,0,IF(BJ286+1&gt;=IF(OR('5-man'!$F$46=TRUE,'5-man'!$F$46="TRUE",'5-man'!$F$46="Yes"),25,50),0,BJ286+1)))</f>
        <v/>
      </c>
      <c r="BL286">
        <f>IF('5-man'!BL$67="R",0,IF(BK285&gt;=100,0,IF(BK286+1&gt;=IF(OR('5-man'!$F$46=TRUE,'5-man'!$F$46="TRUE",'5-man'!$F$46="Yes"),25,50),0,BK286+1)))</f>
        <v/>
      </c>
      <c r="BM286">
        <f>IF('5-man'!BM$67="R",0,IF(BL285&gt;=100,0,IF(BL286+1&gt;=IF(OR('5-man'!$F$46=TRUE,'5-man'!$F$46="TRUE",'5-man'!$F$46="Yes"),25,50),0,BL286+1)))</f>
        <v/>
      </c>
      <c r="BN286">
        <f>IF('5-man'!BN$67="R",0,IF(BM285&gt;=100,0,IF(BM286+1&gt;=IF(OR('5-man'!$F$46=TRUE,'5-man'!$F$46="TRUE",'5-man'!$F$46="Yes"),25,50),0,BM286+1)))</f>
        <v/>
      </c>
      <c r="BO286">
        <f>IF('5-man'!BO$67="R",0,IF(BN285&gt;=100,0,IF(BN286+1&gt;=IF(OR('5-man'!$F$46=TRUE,'5-man'!$F$46="TRUE",'5-man'!$F$46="Yes"),25,50),0,BN286+1)))</f>
        <v/>
      </c>
      <c r="BP286">
        <f>IF('5-man'!BP$67="R",0,IF(BO285&gt;=100,0,IF(BO286+1&gt;=IF(OR('5-man'!$F$46=TRUE,'5-man'!$F$46="TRUE",'5-man'!$F$46="Yes"),25,50),0,BO286+1)))</f>
        <v/>
      </c>
      <c r="BQ286">
        <f>IF('5-man'!BQ$67="R",0,IF(BP285&gt;=100,0,IF(BP286+1&gt;=IF(OR('5-man'!$F$46=TRUE,'5-man'!$F$46="TRUE",'5-man'!$F$46="Yes"),25,50),0,BP286+1)))</f>
        <v/>
      </c>
      <c r="BR286">
        <f>IF('5-man'!BR$67="R",0,IF(BQ285&gt;=100,0,IF(BQ286+1&gt;=IF(OR('5-man'!$F$46=TRUE,'5-man'!$F$46="TRUE",'5-man'!$F$46="Yes"),25,50),0,BQ286+1)))</f>
        <v/>
      </c>
      <c r="BS286">
        <f>IF('5-man'!BS$67="R",0,IF(BR285&gt;=100,0,IF(BR286+1&gt;=IF(OR('5-man'!$F$46=TRUE,'5-man'!$F$46="TRUE",'5-man'!$F$46="Yes"),25,50),0,BR286+1)))</f>
        <v/>
      </c>
      <c r="BT286">
        <f>IF('5-man'!BT$67="R",0,IF(BS285&gt;=100,0,IF(BS286+1&gt;=IF(OR('5-man'!$F$46=TRUE,'5-man'!$F$46="TRUE",'5-man'!$F$46="Yes"),25,50),0,BS286+1)))</f>
        <v/>
      </c>
      <c r="BU286">
        <f>IF('5-man'!BU$67="R",0,IF(BT285&gt;=100,0,IF(BT286+1&gt;=IF(OR('5-man'!$F$46=TRUE,'5-man'!$F$46="TRUE",'5-man'!$F$46="Yes"),25,50),0,BT286+1)))</f>
        <v/>
      </c>
      <c r="BV286">
        <f>IF('5-man'!BV$67="R",0,IF(BU285&gt;=100,0,IF(BU286+1&gt;=IF(OR('5-man'!$F$46=TRUE,'5-man'!$F$46="TRUE",'5-man'!$F$46="Yes"),25,50),0,BU286+1)))</f>
        <v/>
      </c>
      <c r="BW286">
        <f>IF('5-man'!BW$67="R",0,IF(BV285&gt;=100,0,IF(BV286+1&gt;=IF(OR('5-man'!$F$46=TRUE,'5-man'!$F$46="TRUE",'5-man'!$F$46="Yes"),25,50),0,BV286+1)))</f>
        <v/>
      </c>
      <c r="BX286">
        <f>IF('5-man'!BX$67="R",0,IF(BW285&gt;=100,0,IF(BW286+1&gt;=IF(OR('5-man'!$F$46=TRUE,'5-man'!$F$46="TRUE",'5-man'!$F$46="Yes"),25,50),0,BW286+1)))</f>
        <v/>
      </c>
      <c r="BY286">
        <f>IF('5-man'!BY$67="R",0,IF(BX285&gt;=100,0,IF(BX286+1&gt;=IF(OR('5-man'!$F$46=TRUE,'5-man'!$F$46="TRUE",'5-man'!$F$46="Yes"),25,50),0,BX286+1)))</f>
        <v/>
      </c>
      <c r="BZ286">
        <f>IF('5-man'!BZ$67="R",0,IF(BY285&gt;=100,0,IF(BY286+1&gt;=IF(OR('5-man'!$F$46=TRUE,'5-man'!$F$46="TRUE",'5-man'!$F$46="Yes"),25,50),0,BY286+1)))</f>
        <v/>
      </c>
      <c r="CA286">
        <f>IF('5-man'!CA$67="R",0,IF(BZ285&gt;=100,0,IF(BZ286+1&gt;=IF(OR('5-man'!$F$46=TRUE,'5-man'!$F$46="TRUE",'5-man'!$F$46="Yes"),25,50),0,BZ286+1)))</f>
        <v/>
      </c>
      <c r="CB286">
        <f>IF('5-man'!CB$67="R",0,IF(CA285&gt;=100,0,IF(CA286+1&gt;=IF(OR('5-man'!$F$46=TRUE,'5-man'!$F$46="TRUE",'5-man'!$F$46="Yes"),25,50),0,CA286+1)))</f>
        <v/>
      </c>
      <c r="CC286">
        <f>IF('5-man'!CC$67="R",0,IF(CB285&gt;=100,0,IF(CB286+1&gt;=IF(OR('5-man'!$F$46=TRUE,'5-man'!$F$46="TRUE",'5-man'!$F$46="Yes"),25,50),0,CB286+1)))</f>
        <v/>
      </c>
      <c r="CD286">
        <f>IF('5-man'!CD$67="R",0,IF(CC285&gt;=100,0,IF(CC286+1&gt;=IF(OR('5-man'!$F$46=TRUE,'5-man'!$F$46="TRUE",'5-man'!$F$46="Yes"),25,50),0,CC286+1)))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row>
    <row r="291">
      <c r="A291" t="inlineStr">
        <is>
          <t>P5 act</t>
        </is>
      </c>
      <c r="C291">
        <f>IF(OR('5-man'!C$67="P",'5-man'!C$67="R",AND('5-man'!C$62&lt;=IF('5-man'!$BF$42="",999,'5-man'!$BF$42),OR('5-man'!C$67="D",LEFT('5-man'!C$67,3)="ST&gt;",OR(AND('5-man'!C$63="ST&gt;5",C252&gt;=100),AND('5-man'!C$64="ST&gt;5",C260&gt;=100),AND('5-man'!C$65="ST&gt;5",C268&gt;=100),AND('5-man'!C$66="ST&gt;5",C276&gt;=100))))),'5-man'!C$62,0)</f>
        <v/>
      </c>
      <c r="D291">
        <f>IF(OR('5-man'!D$67="P",'5-man'!D$67="R",AND('5-man'!D$62&lt;=IF('5-man'!$BF$42="",999,'5-man'!$BF$42),OR('5-man'!D$67="D",LEFT('5-man'!D$67,3)="ST&gt;",OR(AND('5-man'!D$63="ST&gt;5",D252&gt;=100),AND('5-man'!D$64="ST&gt;5",D260&gt;=100),AND('5-man'!D$65="ST&gt;5",D268&gt;=100),AND('5-man'!D$66="ST&gt;5",D276&gt;=100))))),'5-man'!D$62,0)</f>
        <v/>
      </c>
      <c r="E291">
        <f>IF(OR('5-man'!E$67="P",'5-man'!E$67="R",AND('5-man'!E$62&lt;=IF('5-man'!$BF$42="",999,'5-man'!$BF$42),OR('5-man'!E$67="D",LEFT('5-man'!E$67,3)="ST&gt;",OR(AND('5-man'!E$63="ST&gt;5",E252&gt;=100),AND('5-man'!E$64="ST&gt;5",E260&gt;=100),AND('5-man'!E$65="ST&gt;5",E268&gt;=100),AND('5-man'!E$66="ST&gt;5",E276&gt;=100))))),'5-man'!E$62,0)</f>
        <v/>
      </c>
      <c r="F291">
        <f>IF(OR('5-man'!F$67="P",'5-man'!F$67="R",AND('5-man'!F$62&lt;=IF('5-man'!$BF$42="",999,'5-man'!$BF$42),OR('5-man'!F$67="D",LEFT('5-man'!F$67,3)="ST&gt;",OR(AND('5-man'!F$63="ST&gt;5",F252&gt;=100),AND('5-man'!F$64="ST&gt;5",F260&gt;=100),AND('5-man'!F$65="ST&gt;5",F268&gt;=100),AND('5-man'!F$66="ST&gt;5",F276&gt;=100))))),'5-man'!F$62,0)</f>
        <v/>
      </c>
      <c r="G291">
        <f>IF(OR('5-man'!G$67="P",'5-man'!G$67="R",AND('5-man'!G$62&lt;=IF('5-man'!$BF$42="",999,'5-man'!$BF$42),OR('5-man'!G$67="D",LEFT('5-man'!G$67,3)="ST&gt;",OR(AND('5-man'!G$63="ST&gt;5",G252&gt;=100),AND('5-man'!G$64="ST&gt;5",G260&gt;=100),AND('5-man'!G$65="ST&gt;5",G268&gt;=100),AND('5-man'!G$66="ST&gt;5",G276&gt;=100))))),'5-man'!G$62,0)</f>
        <v/>
      </c>
      <c r="H291">
        <f>IF(OR('5-man'!H$67="P",'5-man'!H$67="R",AND('5-man'!H$62&lt;=IF('5-man'!$BF$42="",999,'5-man'!$BF$42),OR('5-man'!H$67="D",LEFT('5-man'!H$67,3)="ST&gt;",OR(AND('5-man'!H$63="ST&gt;5",H252&gt;=100),AND('5-man'!H$64="ST&gt;5",H260&gt;=100),AND('5-man'!H$65="ST&gt;5",H268&gt;=100),AND('5-man'!H$66="ST&gt;5",H276&gt;=100))))),'5-man'!H$62,0)</f>
        <v/>
      </c>
      <c r="I291">
        <f>IF(OR('5-man'!I$67="P",'5-man'!I$67="R",AND('5-man'!I$62&lt;=IF('5-man'!$BF$42="",999,'5-man'!$BF$42),OR('5-man'!I$67="D",LEFT('5-man'!I$67,3)="ST&gt;",OR(AND('5-man'!I$63="ST&gt;5",I252&gt;=100),AND('5-man'!I$64="ST&gt;5",I260&gt;=100),AND('5-man'!I$65="ST&gt;5",I268&gt;=100),AND('5-man'!I$66="ST&gt;5",I276&gt;=100))))),'5-man'!I$62,0)</f>
        <v/>
      </c>
      <c r="J291">
        <f>IF(OR('5-man'!J$67="P",'5-man'!J$67="R",AND('5-man'!J$62&lt;=IF('5-man'!$BF$42="",999,'5-man'!$BF$42),OR('5-man'!J$67="D",LEFT('5-man'!J$67,3)="ST&gt;",OR(AND('5-man'!J$63="ST&gt;5",J252&gt;=100),AND('5-man'!J$64="ST&gt;5",J260&gt;=100),AND('5-man'!J$65="ST&gt;5",J268&gt;=100),AND('5-man'!J$66="ST&gt;5",J276&gt;=100))))),'5-man'!J$62,0)</f>
        <v/>
      </c>
      <c r="K291">
        <f>IF(OR('5-man'!K$67="P",'5-man'!K$67="R",AND('5-man'!K$62&lt;=IF('5-man'!$BF$42="",999,'5-man'!$BF$42),OR('5-man'!K$67="D",LEFT('5-man'!K$67,3)="ST&gt;",OR(AND('5-man'!K$63="ST&gt;5",K252&gt;=100),AND('5-man'!K$64="ST&gt;5",K260&gt;=100),AND('5-man'!K$65="ST&gt;5",K268&gt;=100),AND('5-man'!K$66="ST&gt;5",K276&gt;=100))))),'5-man'!K$62,0)</f>
        <v/>
      </c>
      <c r="L291">
        <f>IF(OR('5-man'!L$67="P",'5-man'!L$67="R",AND('5-man'!L$62&lt;=IF('5-man'!$BF$42="",999,'5-man'!$BF$42),OR('5-man'!L$67="D",LEFT('5-man'!L$67,3)="ST&gt;",OR(AND('5-man'!L$63="ST&gt;5",L252&gt;=100),AND('5-man'!L$64="ST&gt;5",L260&gt;=100),AND('5-man'!L$65="ST&gt;5",L268&gt;=100),AND('5-man'!L$66="ST&gt;5",L276&gt;=100))))),'5-man'!L$62,0)</f>
        <v/>
      </c>
      <c r="M291">
        <f>IF(OR('5-man'!M$67="P",'5-man'!M$67="R",AND('5-man'!M$62&lt;=IF('5-man'!$BF$42="",999,'5-man'!$BF$42),OR('5-man'!M$67="D",LEFT('5-man'!M$67,3)="ST&gt;",OR(AND('5-man'!M$63="ST&gt;5",M252&gt;=100),AND('5-man'!M$64="ST&gt;5",M260&gt;=100),AND('5-man'!M$65="ST&gt;5",M268&gt;=100),AND('5-man'!M$66="ST&gt;5",M276&gt;=100))))),'5-man'!M$62,0)</f>
        <v/>
      </c>
      <c r="N291">
        <f>IF(OR('5-man'!N$67="P",'5-man'!N$67="R",AND('5-man'!N$62&lt;=IF('5-man'!$BF$42="",999,'5-man'!$BF$42),OR('5-man'!N$67="D",LEFT('5-man'!N$67,3)="ST&gt;",OR(AND('5-man'!N$63="ST&gt;5",N252&gt;=100),AND('5-man'!N$64="ST&gt;5",N260&gt;=100),AND('5-man'!N$65="ST&gt;5",N268&gt;=100),AND('5-man'!N$66="ST&gt;5",N276&gt;=100))))),'5-man'!N$62,0)</f>
        <v/>
      </c>
      <c r="O291">
        <f>IF(OR('5-man'!O$67="P",'5-man'!O$67="R",AND('5-man'!O$62&lt;=IF('5-man'!$BF$42="",999,'5-man'!$BF$42),OR('5-man'!O$67="D",LEFT('5-man'!O$67,3)="ST&gt;",OR(AND('5-man'!O$63="ST&gt;5",O252&gt;=100),AND('5-man'!O$64="ST&gt;5",O260&gt;=100),AND('5-man'!O$65="ST&gt;5",O268&gt;=100),AND('5-man'!O$66="ST&gt;5",O276&gt;=100))))),'5-man'!O$62,0)</f>
        <v/>
      </c>
      <c r="P291">
        <f>IF(OR('5-man'!P$67="P",'5-man'!P$67="R",AND('5-man'!P$62&lt;=IF('5-man'!$BF$42="",999,'5-man'!$BF$42),OR('5-man'!P$67="D",LEFT('5-man'!P$67,3)="ST&gt;",OR(AND('5-man'!P$63="ST&gt;5",P252&gt;=100),AND('5-man'!P$64="ST&gt;5",P260&gt;=100),AND('5-man'!P$65="ST&gt;5",P268&gt;=100),AND('5-man'!P$66="ST&gt;5",P276&gt;=100))))),'5-man'!P$62,0)</f>
        <v/>
      </c>
      <c r="Q291">
        <f>IF(OR('5-man'!Q$67="P",'5-man'!Q$67="R",AND('5-man'!Q$62&lt;=IF('5-man'!$BF$42="",999,'5-man'!$BF$42),OR('5-man'!Q$67="D",LEFT('5-man'!Q$67,3)="ST&gt;",OR(AND('5-man'!Q$63="ST&gt;5",Q252&gt;=100),AND('5-man'!Q$64="ST&gt;5",Q260&gt;=100),AND('5-man'!Q$65="ST&gt;5",Q268&gt;=100),AND('5-man'!Q$66="ST&gt;5",Q276&gt;=100))))),'5-man'!Q$62,0)</f>
        <v/>
      </c>
      <c r="R291">
        <f>IF(OR('5-man'!R$67="P",'5-man'!R$67="R",AND('5-man'!R$62&lt;=IF('5-man'!$BF$42="",999,'5-man'!$BF$42),OR('5-man'!R$67="D",LEFT('5-man'!R$67,3)="ST&gt;",OR(AND('5-man'!R$63="ST&gt;5",R252&gt;=100),AND('5-man'!R$64="ST&gt;5",R260&gt;=100),AND('5-man'!R$65="ST&gt;5",R268&gt;=100),AND('5-man'!R$66="ST&gt;5",R276&gt;=100))))),'5-man'!R$62,0)</f>
        <v/>
      </c>
      <c r="S291">
        <f>IF(OR('5-man'!S$67="P",'5-man'!S$67="R",AND('5-man'!S$62&lt;=IF('5-man'!$BF$42="",999,'5-man'!$BF$42),OR('5-man'!S$67="D",LEFT('5-man'!S$67,3)="ST&gt;",OR(AND('5-man'!S$63="ST&gt;5",S252&gt;=100),AND('5-man'!S$64="ST&gt;5",S260&gt;=100),AND('5-man'!S$65="ST&gt;5",S268&gt;=100),AND('5-man'!S$66="ST&gt;5",S276&gt;=100))))),'5-man'!S$62,0)</f>
        <v/>
      </c>
      <c r="T291">
        <f>IF(OR('5-man'!T$67="P",'5-man'!T$67="R",AND('5-man'!T$62&lt;=IF('5-man'!$BF$42="",999,'5-man'!$BF$42),OR('5-man'!T$67="D",LEFT('5-man'!T$67,3)="ST&gt;",OR(AND('5-man'!T$63="ST&gt;5",T252&gt;=100),AND('5-man'!T$64="ST&gt;5",T260&gt;=100),AND('5-man'!T$65="ST&gt;5",T268&gt;=100),AND('5-man'!T$66="ST&gt;5",T276&gt;=100))))),'5-man'!T$62,0)</f>
        <v/>
      </c>
      <c r="U291">
        <f>IF(OR('5-man'!U$67="P",'5-man'!U$67="R",AND('5-man'!U$62&lt;=IF('5-man'!$BF$42="",999,'5-man'!$BF$42),OR('5-man'!U$67="D",LEFT('5-man'!U$67,3)="ST&gt;",OR(AND('5-man'!U$63="ST&gt;5",U252&gt;=100),AND('5-man'!U$64="ST&gt;5",U260&gt;=100),AND('5-man'!U$65="ST&gt;5",U268&gt;=100),AND('5-man'!U$66="ST&gt;5",U276&gt;=100))))),'5-man'!U$62,0)</f>
        <v/>
      </c>
      <c r="V291">
        <f>IF(OR('5-man'!V$67="P",'5-man'!V$67="R",AND('5-man'!V$62&lt;=IF('5-man'!$BF$42="",999,'5-man'!$BF$42),OR('5-man'!V$67="D",LEFT('5-man'!V$67,3)="ST&gt;",OR(AND('5-man'!V$63="ST&gt;5",V252&gt;=100),AND('5-man'!V$64="ST&gt;5",V260&gt;=100),AND('5-man'!V$65="ST&gt;5",V268&gt;=100),AND('5-man'!V$66="ST&gt;5",V276&gt;=100))))),'5-man'!V$62,0)</f>
        <v/>
      </c>
      <c r="W291">
        <f>IF(OR('5-man'!W$67="P",'5-man'!W$67="R",AND('5-man'!W$62&lt;=IF('5-man'!$BF$42="",999,'5-man'!$BF$42),OR('5-man'!W$67="D",LEFT('5-man'!W$67,3)="ST&gt;",OR(AND('5-man'!W$63="ST&gt;5",W252&gt;=100),AND('5-man'!W$64="ST&gt;5",W260&gt;=100),AND('5-man'!W$65="ST&gt;5",W268&gt;=100),AND('5-man'!W$66="ST&gt;5",W276&gt;=100))))),'5-man'!W$62,0)</f>
        <v/>
      </c>
      <c r="X291">
        <f>IF(OR('5-man'!X$67="P",'5-man'!X$67="R",AND('5-man'!X$62&lt;=IF('5-man'!$BF$42="",999,'5-man'!$BF$42),OR('5-man'!X$67="D",LEFT('5-man'!X$67,3)="ST&gt;",OR(AND('5-man'!X$63="ST&gt;5",X252&gt;=100),AND('5-man'!X$64="ST&gt;5",X260&gt;=100),AND('5-man'!X$65="ST&gt;5",X268&gt;=100),AND('5-man'!X$66="ST&gt;5",X276&gt;=100))))),'5-man'!X$62,0)</f>
        <v/>
      </c>
      <c r="Y291">
        <f>IF(OR('5-man'!Y$67="P",'5-man'!Y$67="R",AND('5-man'!Y$62&lt;=IF('5-man'!$BF$42="",999,'5-man'!$BF$42),OR('5-man'!Y$67="D",LEFT('5-man'!Y$67,3)="ST&gt;",OR(AND('5-man'!Y$63="ST&gt;5",Y252&gt;=100),AND('5-man'!Y$64="ST&gt;5",Y260&gt;=100),AND('5-man'!Y$65="ST&gt;5",Y268&gt;=100),AND('5-man'!Y$66="ST&gt;5",Y276&gt;=100))))),'5-man'!Y$62,0)</f>
        <v/>
      </c>
      <c r="Z291">
        <f>IF(OR('5-man'!Z$67="P",'5-man'!Z$67="R",AND('5-man'!Z$62&lt;=IF('5-man'!$BF$42="",999,'5-man'!$BF$42),OR('5-man'!Z$67="D",LEFT('5-man'!Z$67,3)="ST&gt;",OR(AND('5-man'!Z$63="ST&gt;5",Z252&gt;=100),AND('5-man'!Z$64="ST&gt;5",Z260&gt;=100),AND('5-man'!Z$65="ST&gt;5",Z268&gt;=100),AND('5-man'!Z$66="ST&gt;5",Z276&gt;=100))))),'5-man'!Z$62,0)</f>
        <v/>
      </c>
      <c r="AA291">
        <f>IF(OR('5-man'!AA$67="P",'5-man'!AA$67="R",AND('5-man'!AA$62&lt;=IF('5-man'!$BF$42="",999,'5-man'!$BF$42),OR('5-man'!AA$67="D",LEFT('5-man'!AA$67,3)="ST&gt;",OR(AND('5-man'!AA$63="ST&gt;5",AA252&gt;=100),AND('5-man'!AA$64="ST&gt;5",AA260&gt;=100),AND('5-man'!AA$65="ST&gt;5",AA268&gt;=100),AND('5-man'!AA$66="ST&gt;5",AA276&gt;=100))))),'5-man'!AA$62,0)</f>
        <v/>
      </c>
      <c r="AB291">
        <f>IF(OR('5-man'!AB$67="P",'5-man'!AB$67="R",AND('5-man'!AB$62&lt;=IF('5-man'!$BF$42="",999,'5-man'!$BF$42),OR('5-man'!AB$67="D",LEFT('5-man'!AB$67,3)="ST&gt;",OR(AND('5-man'!AB$63="ST&gt;5",AB252&gt;=100),AND('5-man'!AB$64="ST&gt;5",AB260&gt;=100),AND('5-man'!AB$65="ST&gt;5",AB268&gt;=100),AND('5-man'!AB$66="ST&gt;5",AB276&gt;=100))))),'5-man'!AB$62,0)</f>
        <v/>
      </c>
      <c r="AC291">
        <f>IF(OR('5-man'!AC$67="P",'5-man'!AC$67="R",AND('5-man'!AC$62&lt;=IF('5-man'!$BF$42="",999,'5-man'!$BF$42),OR('5-man'!AC$67="D",LEFT('5-man'!AC$67,3)="ST&gt;",OR(AND('5-man'!AC$63="ST&gt;5",AC252&gt;=100),AND('5-man'!AC$64="ST&gt;5",AC260&gt;=100),AND('5-man'!AC$65="ST&gt;5",AC268&gt;=100),AND('5-man'!AC$66="ST&gt;5",AC276&gt;=100))))),'5-man'!AC$62,0)</f>
        <v/>
      </c>
      <c r="AD291">
        <f>IF(OR('5-man'!AD$67="P",'5-man'!AD$67="R",AND('5-man'!AD$62&lt;=IF('5-man'!$BF$42="",999,'5-man'!$BF$42),OR('5-man'!AD$67="D",LEFT('5-man'!AD$67,3)="ST&gt;",OR(AND('5-man'!AD$63="ST&gt;5",AD252&gt;=100),AND('5-man'!AD$64="ST&gt;5",AD260&gt;=100),AND('5-man'!AD$65="ST&gt;5",AD268&gt;=100),AND('5-man'!AD$66="ST&gt;5",AD276&gt;=100))))),'5-man'!AD$62,0)</f>
        <v/>
      </c>
      <c r="AE291">
        <f>IF(OR('5-man'!AE$67="P",'5-man'!AE$67="R",AND('5-man'!AE$62&lt;=IF('5-man'!$BF$42="",999,'5-man'!$BF$42),OR('5-man'!AE$67="D",LEFT('5-man'!AE$67,3)="ST&gt;",OR(AND('5-man'!AE$63="ST&gt;5",AE252&gt;=100),AND('5-man'!AE$64="ST&gt;5",AE260&gt;=100),AND('5-man'!AE$65="ST&gt;5",AE268&gt;=100),AND('5-man'!AE$66="ST&gt;5",AE276&gt;=100))))),'5-man'!AE$62,0)</f>
        <v/>
      </c>
      <c r="AF291">
        <f>IF(OR('5-man'!AF$67="P",'5-man'!AF$67="R",AND('5-man'!AF$62&lt;=IF('5-man'!$BF$42="",999,'5-man'!$BF$42),OR('5-man'!AF$67="D",LEFT('5-man'!AF$67,3)="ST&gt;",OR(AND('5-man'!AF$63="ST&gt;5",AF252&gt;=100),AND('5-man'!AF$64="ST&gt;5",AF260&gt;=100),AND('5-man'!AF$65="ST&gt;5",AF268&gt;=100),AND('5-man'!AF$66="ST&gt;5",AF276&gt;=100))))),'5-man'!AF$62,0)</f>
        <v/>
      </c>
      <c r="AG291">
        <f>IF(OR('5-man'!AG$67="P",'5-man'!AG$67="R",AND('5-man'!AG$62&lt;=IF('5-man'!$BF$42="",999,'5-man'!$BF$42),OR('5-man'!AG$67="D",LEFT('5-man'!AG$67,3)="ST&gt;",OR(AND('5-man'!AG$63="ST&gt;5",AG252&gt;=100),AND('5-man'!AG$64="ST&gt;5",AG260&gt;=100),AND('5-man'!AG$65="ST&gt;5",AG268&gt;=100),AND('5-man'!AG$66="ST&gt;5",AG276&gt;=100))))),'5-man'!AG$62,0)</f>
        <v/>
      </c>
      <c r="AH291">
        <f>IF(OR('5-man'!AH$67="P",'5-man'!AH$67="R",AND('5-man'!AH$62&lt;=IF('5-man'!$BF$42="",999,'5-man'!$BF$42),OR('5-man'!AH$67="D",LEFT('5-man'!AH$67,3)="ST&gt;",OR(AND('5-man'!AH$63="ST&gt;5",AH252&gt;=100),AND('5-man'!AH$64="ST&gt;5",AH260&gt;=100),AND('5-man'!AH$65="ST&gt;5",AH268&gt;=100),AND('5-man'!AH$66="ST&gt;5",AH276&gt;=100))))),'5-man'!AH$62,0)</f>
        <v/>
      </c>
      <c r="AI291">
        <f>IF(OR('5-man'!AI$67="P",'5-man'!AI$67="R",AND('5-man'!AI$62&lt;=IF('5-man'!$BF$42="",999,'5-man'!$BF$42),OR('5-man'!AI$67="D",LEFT('5-man'!AI$67,3)="ST&gt;",OR(AND('5-man'!AI$63="ST&gt;5",AI252&gt;=100),AND('5-man'!AI$64="ST&gt;5",AI260&gt;=100),AND('5-man'!AI$65="ST&gt;5",AI268&gt;=100),AND('5-man'!AI$66="ST&gt;5",AI276&gt;=100))))),'5-man'!AI$62,0)</f>
        <v/>
      </c>
      <c r="AJ291">
        <f>IF(OR('5-man'!AJ$67="P",'5-man'!AJ$67="R",AND('5-man'!AJ$62&lt;=IF('5-man'!$BF$42="",999,'5-man'!$BF$42),OR('5-man'!AJ$67="D",LEFT('5-man'!AJ$67,3)="ST&gt;",OR(AND('5-man'!AJ$63="ST&gt;5",AJ252&gt;=100),AND('5-man'!AJ$64="ST&gt;5",AJ260&gt;=100),AND('5-man'!AJ$65="ST&gt;5",AJ268&gt;=100),AND('5-man'!AJ$66="ST&gt;5",AJ276&gt;=100))))),'5-man'!AJ$62,0)</f>
        <v/>
      </c>
      <c r="AK291">
        <f>IF(OR('5-man'!AK$67="P",'5-man'!AK$67="R",AND('5-man'!AK$62&lt;=IF('5-man'!$BF$42="",999,'5-man'!$BF$42),OR('5-man'!AK$67="D",LEFT('5-man'!AK$67,3)="ST&gt;",OR(AND('5-man'!AK$63="ST&gt;5",AK252&gt;=100),AND('5-man'!AK$64="ST&gt;5",AK260&gt;=100),AND('5-man'!AK$65="ST&gt;5",AK268&gt;=100),AND('5-man'!AK$66="ST&gt;5",AK276&gt;=100))))),'5-man'!AK$62,0)</f>
        <v/>
      </c>
      <c r="AL291">
        <f>IF(OR('5-man'!AL$67="P",'5-man'!AL$67="R",AND('5-man'!AL$62&lt;=IF('5-man'!$BF$42="",999,'5-man'!$BF$42),OR('5-man'!AL$67="D",LEFT('5-man'!AL$67,3)="ST&gt;",OR(AND('5-man'!AL$63="ST&gt;5",AL252&gt;=100),AND('5-man'!AL$64="ST&gt;5",AL260&gt;=100),AND('5-man'!AL$65="ST&gt;5",AL268&gt;=100),AND('5-man'!AL$66="ST&gt;5",AL276&gt;=100))))),'5-man'!AL$62,0)</f>
        <v/>
      </c>
      <c r="AM291">
        <f>IF(OR('5-man'!AM$67="P",'5-man'!AM$67="R",AND('5-man'!AM$62&lt;=IF('5-man'!$BF$42="",999,'5-man'!$BF$42),OR('5-man'!AM$67="D",LEFT('5-man'!AM$67,3)="ST&gt;",OR(AND('5-man'!AM$63="ST&gt;5",AM252&gt;=100),AND('5-man'!AM$64="ST&gt;5",AM260&gt;=100),AND('5-man'!AM$65="ST&gt;5",AM268&gt;=100),AND('5-man'!AM$66="ST&gt;5",AM276&gt;=100))))),'5-man'!AM$62,0)</f>
        <v/>
      </c>
      <c r="AN291">
        <f>IF(OR('5-man'!AN$67="P",'5-man'!AN$67="R",AND('5-man'!AN$62&lt;=IF('5-man'!$BF$42="",999,'5-man'!$BF$42),OR('5-man'!AN$67="D",LEFT('5-man'!AN$67,3)="ST&gt;",OR(AND('5-man'!AN$63="ST&gt;5",AN252&gt;=100),AND('5-man'!AN$64="ST&gt;5",AN260&gt;=100),AND('5-man'!AN$65="ST&gt;5",AN268&gt;=100),AND('5-man'!AN$66="ST&gt;5",AN276&gt;=100))))),'5-man'!AN$62,0)</f>
        <v/>
      </c>
      <c r="AO291">
        <f>IF(OR('5-man'!AO$67="P",'5-man'!AO$67="R",AND('5-man'!AO$62&lt;=IF('5-man'!$BF$42="",999,'5-man'!$BF$42),OR('5-man'!AO$67="D",LEFT('5-man'!AO$67,3)="ST&gt;",OR(AND('5-man'!AO$63="ST&gt;5",AO252&gt;=100),AND('5-man'!AO$64="ST&gt;5",AO260&gt;=100),AND('5-man'!AO$65="ST&gt;5",AO268&gt;=100),AND('5-man'!AO$66="ST&gt;5",AO276&gt;=100))))),'5-man'!AO$62,0)</f>
        <v/>
      </c>
      <c r="AP291">
        <f>IF(OR('5-man'!AP$67="P",'5-man'!AP$67="R",AND('5-man'!AP$62&lt;=IF('5-man'!$BF$42="",999,'5-man'!$BF$42),OR('5-man'!AP$67="D",LEFT('5-man'!AP$67,3)="ST&gt;",OR(AND('5-man'!AP$63="ST&gt;5",AP252&gt;=100),AND('5-man'!AP$64="ST&gt;5",AP260&gt;=100),AND('5-man'!AP$65="ST&gt;5",AP268&gt;=100),AND('5-man'!AP$66="ST&gt;5",AP276&gt;=100))))),'5-man'!AP$62,0)</f>
        <v/>
      </c>
      <c r="AQ291">
        <f>IF(OR('5-man'!AQ$67="P",'5-man'!AQ$67="R",AND('5-man'!AQ$62&lt;=IF('5-man'!$BF$42="",999,'5-man'!$BF$42),OR('5-man'!AQ$67="D",LEFT('5-man'!AQ$67,3)="ST&gt;",OR(AND('5-man'!AQ$63="ST&gt;5",AQ252&gt;=100),AND('5-man'!AQ$64="ST&gt;5",AQ260&gt;=100),AND('5-man'!AQ$65="ST&gt;5",AQ268&gt;=100),AND('5-man'!AQ$66="ST&gt;5",AQ276&gt;=100))))),'5-man'!AQ$62,0)</f>
        <v/>
      </c>
      <c r="AR291">
        <f>IF(OR('5-man'!AR$67="P",'5-man'!AR$67="R",AND('5-man'!AR$62&lt;=IF('5-man'!$BF$42="",999,'5-man'!$BF$42),OR('5-man'!AR$67="D",LEFT('5-man'!AR$67,3)="ST&gt;",OR(AND('5-man'!AR$63="ST&gt;5",AR252&gt;=100),AND('5-man'!AR$64="ST&gt;5",AR260&gt;=100),AND('5-man'!AR$65="ST&gt;5",AR268&gt;=100),AND('5-man'!AR$66="ST&gt;5",AR276&gt;=100))))),'5-man'!AR$62,0)</f>
        <v/>
      </c>
      <c r="AS291">
        <f>IF(OR('5-man'!AS$67="P",'5-man'!AS$67="R",AND('5-man'!AS$62&lt;=IF('5-man'!$BF$42="",999,'5-man'!$BF$42),OR('5-man'!AS$67="D",LEFT('5-man'!AS$67,3)="ST&gt;",OR(AND('5-man'!AS$63="ST&gt;5",AS252&gt;=100),AND('5-man'!AS$64="ST&gt;5",AS260&gt;=100),AND('5-man'!AS$65="ST&gt;5",AS268&gt;=100),AND('5-man'!AS$66="ST&gt;5",AS276&gt;=100))))),'5-man'!AS$62,0)</f>
        <v/>
      </c>
      <c r="AT291">
        <f>IF(OR('5-man'!AT$67="P",'5-man'!AT$67="R",AND('5-man'!AT$62&lt;=IF('5-man'!$BF$42="",999,'5-man'!$BF$42),OR('5-man'!AT$67="D",LEFT('5-man'!AT$67,3)="ST&gt;",OR(AND('5-man'!AT$63="ST&gt;5",AT252&gt;=100),AND('5-man'!AT$64="ST&gt;5",AT260&gt;=100),AND('5-man'!AT$65="ST&gt;5",AT268&gt;=100),AND('5-man'!AT$66="ST&gt;5",AT276&gt;=100))))),'5-man'!AT$62,0)</f>
        <v/>
      </c>
      <c r="AU291">
        <f>IF(OR('5-man'!AU$67="P",'5-man'!AU$67="R",AND('5-man'!AU$62&lt;=IF('5-man'!$BF$42="",999,'5-man'!$BF$42),OR('5-man'!AU$67="D",LEFT('5-man'!AU$67,3)="ST&gt;",OR(AND('5-man'!AU$63="ST&gt;5",AU252&gt;=100),AND('5-man'!AU$64="ST&gt;5",AU260&gt;=100),AND('5-man'!AU$65="ST&gt;5",AU268&gt;=100),AND('5-man'!AU$66="ST&gt;5",AU276&gt;=100))))),'5-man'!AU$62,0)</f>
        <v/>
      </c>
      <c r="AV291">
        <f>IF(OR('5-man'!AV$67="P",'5-man'!AV$67="R",AND('5-man'!AV$62&lt;=IF('5-man'!$BF$42="",999,'5-man'!$BF$42),OR('5-man'!AV$67="D",LEFT('5-man'!AV$67,3)="ST&gt;",OR(AND('5-man'!AV$63="ST&gt;5",AV252&gt;=100),AND('5-man'!AV$64="ST&gt;5",AV260&gt;=100),AND('5-man'!AV$65="ST&gt;5",AV268&gt;=100),AND('5-man'!AV$66="ST&gt;5",AV276&gt;=100))))),'5-man'!AV$62,0)</f>
        <v/>
      </c>
      <c r="AW291">
        <f>IF(OR('5-man'!AW$67="P",'5-man'!AW$67="R",AND('5-man'!AW$62&lt;=IF('5-man'!$BF$42="",999,'5-man'!$BF$42),OR('5-man'!AW$67="D",LEFT('5-man'!AW$67,3)="ST&gt;",OR(AND('5-man'!AW$63="ST&gt;5",AW252&gt;=100),AND('5-man'!AW$64="ST&gt;5",AW260&gt;=100),AND('5-man'!AW$65="ST&gt;5",AW268&gt;=100),AND('5-man'!AW$66="ST&gt;5",AW276&gt;=100))))),'5-man'!AW$62,0)</f>
        <v/>
      </c>
      <c r="AX291">
        <f>IF(OR('5-man'!AX$67="P",'5-man'!AX$67="R",AND('5-man'!AX$62&lt;=IF('5-man'!$BF$42="",999,'5-man'!$BF$42),OR('5-man'!AX$67="D",LEFT('5-man'!AX$67,3)="ST&gt;",OR(AND('5-man'!AX$63="ST&gt;5",AX252&gt;=100),AND('5-man'!AX$64="ST&gt;5",AX260&gt;=100),AND('5-man'!AX$65="ST&gt;5",AX268&gt;=100),AND('5-man'!AX$66="ST&gt;5",AX276&gt;=100))))),'5-man'!AX$62,0)</f>
        <v/>
      </c>
      <c r="AY291">
        <f>IF(OR('5-man'!AY$67="P",'5-man'!AY$67="R",AND('5-man'!AY$62&lt;=IF('5-man'!$BF$42="",999,'5-man'!$BF$42),OR('5-man'!AY$67="D",LEFT('5-man'!AY$67,3)="ST&gt;",OR(AND('5-man'!AY$63="ST&gt;5",AY252&gt;=100),AND('5-man'!AY$64="ST&gt;5",AY260&gt;=100),AND('5-man'!AY$65="ST&gt;5",AY268&gt;=100),AND('5-man'!AY$66="ST&gt;5",AY276&gt;=100))))),'5-man'!AY$62,0)</f>
        <v/>
      </c>
      <c r="AZ291">
        <f>IF(OR('5-man'!AZ$67="P",'5-man'!AZ$67="R",AND('5-man'!AZ$62&lt;=IF('5-man'!$BF$42="",999,'5-man'!$BF$42),OR('5-man'!AZ$67="D",LEFT('5-man'!AZ$67,3)="ST&gt;",OR(AND('5-man'!AZ$63="ST&gt;5",AZ252&gt;=100),AND('5-man'!AZ$64="ST&gt;5",AZ260&gt;=100),AND('5-man'!AZ$65="ST&gt;5",AZ268&gt;=100),AND('5-man'!AZ$66="ST&gt;5",AZ276&gt;=100))))),'5-man'!AZ$62,0)</f>
        <v/>
      </c>
      <c r="BA291">
        <f>IF(OR('5-man'!BA$67="P",'5-man'!BA$67="R",AND('5-man'!BA$62&lt;=IF('5-man'!$BF$42="",999,'5-man'!$BF$42),OR('5-man'!BA$67="D",LEFT('5-man'!BA$67,3)="ST&gt;",OR(AND('5-man'!BA$63="ST&gt;5",BA252&gt;=100),AND('5-man'!BA$64="ST&gt;5",BA260&gt;=100),AND('5-man'!BA$65="ST&gt;5",BA268&gt;=100),AND('5-man'!BA$66="ST&gt;5",BA276&gt;=100))))),'5-man'!BA$62,0)</f>
        <v/>
      </c>
      <c r="BB291">
        <f>IF(OR('5-man'!BB$67="P",'5-man'!BB$67="R",AND('5-man'!BB$62&lt;=IF('5-man'!$BF$42="",999,'5-man'!$BF$42),OR('5-man'!BB$67="D",LEFT('5-man'!BB$67,3)="ST&gt;",OR(AND('5-man'!BB$63="ST&gt;5",BB252&gt;=100),AND('5-man'!BB$64="ST&gt;5",BB260&gt;=100),AND('5-man'!BB$65="ST&gt;5",BB268&gt;=100),AND('5-man'!BB$66="ST&gt;5",BB276&gt;=100))))),'5-man'!BB$62,0)</f>
        <v/>
      </c>
      <c r="BC291">
        <f>IF(OR('5-man'!BC$67="P",'5-man'!BC$67="R",AND('5-man'!BC$62&lt;=IF('5-man'!$BF$42="",999,'5-man'!$BF$42),OR('5-man'!BC$67="D",LEFT('5-man'!BC$67,3)="ST&gt;",OR(AND('5-man'!BC$63="ST&gt;5",BC252&gt;=100),AND('5-man'!BC$64="ST&gt;5",BC260&gt;=100),AND('5-man'!BC$65="ST&gt;5",BC268&gt;=100),AND('5-man'!BC$66="ST&gt;5",BC276&gt;=100))))),'5-man'!BC$62,0)</f>
        <v/>
      </c>
      <c r="BD291">
        <f>IF(OR('5-man'!BD$67="P",'5-man'!BD$67="R",AND('5-man'!BD$62&lt;=IF('5-man'!$BF$42="",999,'5-man'!$BF$42),OR('5-man'!BD$67="D",LEFT('5-man'!BD$67,3)="ST&gt;",OR(AND('5-man'!BD$63="ST&gt;5",BD252&gt;=100),AND('5-man'!BD$64="ST&gt;5",BD260&gt;=100),AND('5-man'!BD$65="ST&gt;5",BD268&gt;=100),AND('5-man'!BD$66="ST&gt;5",BD276&gt;=100))))),'5-man'!BD$62,0)</f>
        <v/>
      </c>
      <c r="BE291">
        <f>IF(OR('5-man'!BE$67="P",'5-man'!BE$67="R",AND('5-man'!BE$62&lt;=IF('5-man'!$BF$42="",999,'5-man'!$BF$42),OR('5-man'!BE$67="D",LEFT('5-man'!BE$67,3)="ST&gt;",OR(AND('5-man'!BE$63="ST&gt;5",BE252&gt;=100),AND('5-man'!BE$64="ST&gt;5",BE260&gt;=100),AND('5-man'!BE$65="ST&gt;5",BE268&gt;=100),AND('5-man'!BE$66="ST&gt;5",BE276&gt;=100))))),'5-man'!BE$62,0)</f>
        <v/>
      </c>
      <c r="BF291">
        <f>IF(OR('5-man'!BF$67="P",'5-man'!BF$67="R",AND('5-man'!BF$62&lt;=IF('5-man'!$BF$42="",999,'5-man'!$BF$42),OR('5-man'!BF$67="D",LEFT('5-man'!BF$67,3)="ST&gt;",OR(AND('5-man'!BF$63="ST&gt;5",BF252&gt;=100),AND('5-man'!BF$64="ST&gt;5",BF260&gt;=100),AND('5-man'!BF$65="ST&gt;5",BF268&gt;=100),AND('5-man'!BF$66="ST&gt;5",BF276&gt;=100))))),'5-man'!BF$62,0)</f>
        <v/>
      </c>
      <c r="BG291">
        <f>IF(OR('5-man'!BG$67="P",'5-man'!BG$67="R",AND('5-man'!BG$62&lt;=IF('5-man'!$BF$42="",999,'5-man'!$BF$42),OR('5-man'!BG$67="D",LEFT('5-man'!BG$67,3)="ST&gt;",OR(AND('5-man'!BG$63="ST&gt;5",BG252&gt;=100),AND('5-man'!BG$64="ST&gt;5",BG260&gt;=100),AND('5-man'!BG$65="ST&gt;5",BG268&gt;=100),AND('5-man'!BG$66="ST&gt;5",BG276&gt;=100))))),'5-man'!BG$62,0)</f>
        <v/>
      </c>
      <c r="BH291">
        <f>IF(OR('5-man'!BH$67="P",'5-man'!BH$67="R",AND('5-man'!BH$62&lt;=IF('5-man'!$BF$42="",999,'5-man'!$BF$42),OR('5-man'!BH$67="D",LEFT('5-man'!BH$67,3)="ST&gt;",OR(AND('5-man'!BH$63="ST&gt;5",BH252&gt;=100),AND('5-man'!BH$64="ST&gt;5",BH260&gt;=100),AND('5-man'!BH$65="ST&gt;5",BH268&gt;=100),AND('5-man'!BH$66="ST&gt;5",BH276&gt;=100))))),'5-man'!BH$62,0)</f>
        <v/>
      </c>
      <c r="BI291">
        <f>IF(OR('5-man'!BI$67="P",'5-man'!BI$67="R",AND('5-man'!BI$62&lt;=IF('5-man'!$BF$42="",999,'5-man'!$BF$42),OR('5-man'!BI$67="D",LEFT('5-man'!BI$67,3)="ST&gt;",OR(AND('5-man'!BI$63="ST&gt;5",BI252&gt;=100),AND('5-man'!BI$64="ST&gt;5",BI260&gt;=100),AND('5-man'!BI$65="ST&gt;5",BI268&gt;=100),AND('5-man'!BI$66="ST&gt;5",BI276&gt;=100))))),'5-man'!BI$62,0)</f>
        <v/>
      </c>
      <c r="BJ291">
        <f>IF(OR('5-man'!BJ$67="P",'5-man'!BJ$67="R",AND('5-man'!BJ$62&lt;=IF('5-man'!$BF$42="",999,'5-man'!$BF$42),OR('5-man'!BJ$67="D",LEFT('5-man'!BJ$67,3)="ST&gt;",OR(AND('5-man'!BJ$63="ST&gt;5",BJ252&gt;=100),AND('5-man'!BJ$64="ST&gt;5",BJ260&gt;=100),AND('5-man'!BJ$65="ST&gt;5",BJ268&gt;=100),AND('5-man'!BJ$66="ST&gt;5",BJ276&gt;=100))))),'5-man'!BJ$62,0)</f>
        <v/>
      </c>
      <c r="BK291">
        <f>IF(OR('5-man'!BK$67="P",'5-man'!BK$67="R",AND('5-man'!BK$62&lt;=IF('5-man'!$BF$42="",999,'5-man'!$BF$42),OR('5-man'!BK$67="D",LEFT('5-man'!BK$67,3)="ST&gt;",OR(AND('5-man'!BK$63="ST&gt;5",BK252&gt;=100),AND('5-man'!BK$64="ST&gt;5",BK260&gt;=100),AND('5-man'!BK$65="ST&gt;5",BK268&gt;=100),AND('5-man'!BK$66="ST&gt;5",BK276&gt;=100))))),'5-man'!BK$62,0)</f>
        <v/>
      </c>
      <c r="BL291">
        <f>IF(OR('5-man'!BL$67="P",'5-man'!BL$67="R",AND('5-man'!BL$62&lt;=IF('5-man'!$BF$42="",999,'5-man'!$BF$42),OR('5-man'!BL$67="D",LEFT('5-man'!BL$67,3)="ST&gt;",OR(AND('5-man'!BL$63="ST&gt;5",BL252&gt;=100),AND('5-man'!BL$64="ST&gt;5",BL260&gt;=100),AND('5-man'!BL$65="ST&gt;5",BL268&gt;=100),AND('5-man'!BL$66="ST&gt;5",BL276&gt;=100))))),'5-man'!BL$62,0)</f>
        <v/>
      </c>
      <c r="BM291">
        <f>IF(OR('5-man'!BM$67="P",'5-man'!BM$67="R",AND('5-man'!BM$62&lt;=IF('5-man'!$BF$42="",999,'5-man'!$BF$42),OR('5-man'!BM$67="D",LEFT('5-man'!BM$67,3)="ST&gt;",OR(AND('5-man'!BM$63="ST&gt;5",BM252&gt;=100),AND('5-man'!BM$64="ST&gt;5",BM260&gt;=100),AND('5-man'!BM$65="ST&gt;5",BM268&gt;=100),AND('5-man'!BM$66="ST&gt;5",BM276&gt;=100))))),'5-man'!BM$62,0)</f>
        <v/>
      </c>
      <c r="BN291">
        <f>IF(OR('5-man'!BN$67="P",'5-man'!BN$67="R",AND('5-man'!BN$62&lt;=IF('5-man'!$BF$42="",999,'5-man'!$BF$42),OR('5-man'!BN$67="D",LEFT('5-man'!BN$67,3)="ST&gt;",OR(AND('5-man'!BN$63="ST&gt;5",BN252&gt;=100),AND('5-man'!BN$64="ST&gt;5",BN260&gt;=100),AND('5-man'!BN$65="ST&gt;5",BN268&gt;=100),AND('5-man'!BN$66="ST&gt;5",BN276&gt;=100))))),'5-man'!BN$62,0)</f>
        <v/>
      </c>
      <c r="BO291">
        <f>IF(OR('5-man'!BO$67="P",'5-man'!BO$67="R",AND('5-man'!BO$62&lt;=IF('5-man'!$BF$42="",999,'5-man'!$BF$42),OR('5-man'!BO$67="D",LEFT('5-man'!BO$67,3)="ST&gt;",OR(AND('5-man'!BO$63="ST&gt;5",BO252&gt;=100),AND('5-man'!BO$64="ST&gt;5",BO260&gt;=100),AND('5-man'!BO$65="ST&gt;5",BO268&gt;=100),AND('5-man'!BO$66="ST&gt;5",BO276&gt;=100))))),'5-man'!BO$62,0)</f>
        <v/>
      </c>
      <c r="BP291">
        <f>IF(OR('5-man'!BP$67="P",'5-man'!BP$67="R",AND('5-man'!BP$62&lt;=IF('5-man'!$BF$42="",999,'5-man'!$BF$42),OR('5-man'!BP$67="D",LEFT('5-man'!BP$67,3)="ST&gt;",OR(AND('5-man'!BP$63="ST&gt;5",BP252&gt;=100),AND('5-man'!BP$64="ST&gt;5",BP260&gt;=100),AND('5-man'!BP$65="ST&gt;5",BP268&gt;=100),AND('5-man'!BP$66="ST&gt;5",BP276&gt;=100))))),'5-man'!BP$62,0)</f>
        <v/>
      </c>
      <c r="BQ291">
        <f>IF(OR('5-man'!BQ$67="P",'5-man'!BQ$67="R",AND('5-man'!BQ$62&lt;=IF('5-man'!$BF$42="",999,'5-man'!$BF$42),OR('5-man'!BQ$67="D",LEFT('5-man'!BQ$67,3)="ST&gt;",OR(AND('5-man'!BQ$63="ST&gt;5",BQ252&gt;=100),AND('5-man'!BQ$64="ST&gt;5",BQ260&gt;=100),AND('5-man'!BQ$65="ST&gt;5",BQ268&gt;=100),AND('5-man'!BQ$66="ST&gt;5",BQ276&gt;=100))))),'5-man'!BQ$62,0)</f>
        <v/>
      </c>
      <c r="BR291">
        <f>IF(OR('5-man'!BR$67="P",'5-man'!BR$67="R",AND('5-man'!BR$62&lt;=IF('5-man'!$BF$42="",999,'5-man'!$BF$42),OR('5-man'!BR$67="D",LEFT('5-man'!BR$67,3)="ST&gt;",OR(AND('5-man'!BR$63="ST&gt;5",BR252&gt;=100),AND('5-man'!BR$64="ST&gt;5",BR260&gt;=100),AND('5-man'!BR$65="ST&gt;5",BR268&gt;=100),AND('5-man'!BR$66="ST&gt;5",BR276&gt;=100))))),'5-man'!BR$62,0)</f>
        <v/>
      </c>
      <c r="BS291">
        <f>IF(OR('5-man'!BS$67="P",'5-man'!BS$67="R",AND('5-man'!BS$62&lt;=IF('5-man'!$BF$42="",999,'5-man'!$BF$42),OR('5-man'!BS$67="D",LEFT('5-man'!BS$67,3)="ST&gt;",OR(AND('5-man'!BS$63="ST&gt;5",BS252&gt;=100),AND('5-man'!BS$64="ST&gt;5",BS260&gt;=100),AND('5-man'!BS$65="ST&gt;5",BS268&gt;=100),AND('5-man'!BS$66="ST&gt;5",BS276&gt;=100))))),'5-man'!BS$62,0)</f>
        <v/>
      </c>
      <c r="BT291">
        <f>IF(OR('5-man'!BT$67="P",'5-man'!BT$67="R",AND('5-man'!BT$62&lt;=IF('5-man'!$BF$42="",999,'5-man'!$BF$42),OR('5-man'!BT$67="D",LEFT('5-man'!BT$67,3)="ST&gt;",OR(AND('5-man'!BT$63="ST&gt;5",BT252&gt;=100),AND('5-man'!BT$64="ST&gt;5",BT260&gt;=100),AND('5-man'!BT$65="ST&gt;5",BT268&gt;=100),AND('5-man'!BT$66="ST&gt;5",BT276&gt;=100))))),'5-man'!BT$62,0)</f>
        <v/>
      </c>
      <c r="BU291">
        <f>IF(OR('5-man'!BU$67="P",'5-man'!BU$67="R",AND('5-man'!BU$62&lt;=IF('5-man'!$BF$42="",999,'5-man'!$BF$42),OR('5-man'!BU$67="D",LEFT('5-man'!BU$67,3)="ST&gt;",OR(AND('5-man'!BU$63="ST&gt;5",BU252&gt;=100),AND('5-man'!BU$64="ST&gt;5",BU260&gt;=100),AND('5-man'!BU$65="ST&gt;5",BU268&gt;=100),AND('5-man'!BU$66="ST&gt;5",BU276&gt;=100))))),'5-man'!BU$62,0)</f>
        <v/>
      </c>
      <c r="BV291">
        <f>IF(OR('5-man'!BV$67="P",'5-man'!BV$67="R",AND('5-man'!BV$62&lt;=IF('5-man'!$BF$42="",999,'5-man'!$BF$42),OR('5-man'!BV$67="D",LEFT('5-man'!BV$67,3)="ST&gt;",OR(AND('5-man'!BV$63="ST&gt;5",BV252&gt;=100),AND('5-man'!BV$64="ST&gt;5",BV260&gt;=100),AND('5-man'!BV$65="ST&gt;5",BV268&gt;=100),AND('5-man'!BV$66="ST&gt;5",BV276&gt;=100))))),'5-man'!BV$62,0)</f>
        <v/>
      </c>
      <c r="BW291">
        <f>IF(OR('5-man'!BW$67="P",'5-man'!BW$67="R",AND('5-man'!BW$62&lt;=IF('5-man'!$BF$42="",999,'5-man'!$BF$42),OR('5-man'!BW$67="D",LEFT('5-man'!BW$67,3)="ST&gt;",OR(AND('5-man'!BW$63="ST&gt;5",BW252&gt;=100),AND('5-man'!BW$64="ST&gt;5",BW260&gt;=100),AND('5-man'!BW$65="ST&gt;5",BW268&gt;=100),AND('5-man'!BW$66="ST&gt;5",BW276&gt;=100))))),'5-man'!BW$62,0)</f>
        <v/>
      </c>
      <c r="BX291">
        <f>IF(OR('5-man'!BX$67="P",'5-man'!BX$67="R",AND('5-man'!BX$62&lt;=IF('5-man'!$BF$42="",999,'5-man'!$BF$42),OR('5-man'!BX$67="D",LEFT('5-man'!BX$67,3)="ST&gt;",OR(AND('5-man'!BX$63="ST&gt;5",BX252&gt;=100),AND('5-man'!BX$64="ST&gt;5",BX260&gt;=100),AND('5-man'!BX$65="ST&gt;5",BX268&gt;=100),AND('5-man'!BX$66="ST&gt;5",BX276&gt;=100))))),'5-man'!BX$62,0)</f>
        <v/>
      </c>
      <c r="BY291">
        <f>IF(OR('5-man'!BY$67="P",'5-man'!BY$67="R",AND('5-man'!BY$62&lt;=IF('5-man'!$BF$42="",999,'5-man'!$BF$42),OR('5-man'!BY$67="D",LEFT('5-man'!BY$67,3)="ST&gt;",OR(AND('5-man'!BY$63="ST&gt;5",BY252&gt;=100),AND('5-man'!BY$64="ST&gt;5",BY260&gt;=100),AND('5-man'!BY$65="ST&gt;5",BY268&gt;=100),AND('5-man'!BY$66="ST&gt;5",BY276&gt;=100))))),'5-man'!BY$62,0)</f>
        <v/>
      </c>
      <c r="BZ291">
        <f>IF(OR('5-man'!BZ$67="P",'5-man'!BZ$67="R",AND('5-man'!BZ$62&lt;=IF('5-man'!$BF$42="",999,'5-man'!$BF$42),OR('5-man'!BZ$67="D",LEFT('5-man'!BZ$67,3)="ST&gt;",OR(AND('5-man'!BZ$63="ST&gt;5",BZ252&gt;=100),AND('5-man'!BZ$64="ST&gt;5",BZ260&gt;=100),AND('5-man'!BZ$65="ST&gt;5",BZ268&gt;=100),AND('5-man'!BZ$66="ST&gt;5",BZ276&gt;=100))))),'5-man'!BZ$62,0)</f>
        <v/>
      </c>
      <c r="CA291">
        <f>IF(OR('5-man'!CA$67="P",'5-man'!CA$67="R",AND('5-man'!CA$62&lt;=IF('5-man'!$BF$42="",999,'5-man'!$BF$42),OR('5-man'!CA$67="D",LEFT('5-man'!CA$67,3)="ST&gt;",OR(AND('5-man'!CA$63="ST&gt;5",CA252&gt;=100),AND('5-man'!CA$64="ST&gt;5",CA260&gt;=100),AND('5-man'!CA$65="ST&gt;5",CA268&gt;=100),AND('5-man'!CA$66="ST&gt;5",CA276&gt;=100))))),'5-man'!CA$62,0)</f>
        <v/>
      </c>
      <c r="CB291">
        <f>IF(OR('5-man'!CB$67="P",'5-man'!CB$67="R",AND('5-man'!CB$62&lt;=IF('5-man'!$BF$42="",999,'5-man'!$BF$42),OR('5-man'!CB$67="D",LEFT('5-man'!CB$67,3)="ST&gt;",OR(AND('5-man'!CB$63="ST&gt;5",CB252&gt;=100),AND('5-man'!CB$64="ST&gt;5",CB260&gt;=100),AND('5-man'!CB$65="ST&gt;5",CB268&gt;=100),AND('5-man'!CB$66="ST&gt;5",CB276&gt;=100))))),'5-man'!CB$62,0)</f>
        <v/>
      </c>
      <c r="CC291">
        <f>IF(OR('5-man'!CC$67="P",'5-man'!CC$67="R",AND('5-man'!CC$62&lt;=IF('5-man'!$BF$42="",999,'5-man'!$BF$42),OR('5-man'!CC$67="D",LEFT('5-man'!CC$67,3)="ST&gt;",OR(AND('5-man'!CC$63="ST&gt;5",CC252&gt;=100),AND('5-man'!CC$64="ST&gt;5",CC260&gt;=100),AND('5-man'!CC$65="ST&gt;5",CC268&gt;=100),AND('5-man'!CC$66="ST&gt;5",CC276&gt;=100))))),'5-man'!CC$62,0)</f>
        <v/>
      </c>
      <c r="CD291">
        <f>IF(OR('5-man'!CD$67="P",'5-man'!CD$67="R",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